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as\Desktop\learningtorch\"/>
    </mc:Choice>
  </mc:AlternateContent>
  <xr:revisionPtr revIDLastSave="0" documentId="13_ncr:1_{1183463C-46B9-4BC1-AF88-31E27FBE1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N1" sheetId="1" r:id="rId1"/>
    <sheet name="CuN2" sheetId="2" r:id="rId2"/>
    <sheet name="CuN3" sheetId="3" r:id="rId3"/>
    <sheet name="CuN4" sheetId="5" r:id="rId4"/>
    <sheet name="CuN5" sheetId="6" r:id="rId5"/>
    <sheet name="CuN6" sheetId="7" r:id="rId6"/>
    <sheet name="CuN7" sheetId="8" r:id="rId7"/>
    <sheet name="CuN8" sheetId="9" r:id="rId8"/>
    <sheet name="CuN9" sheetId="10" r:id="rId9"/>
    <sheet name="CuP1" sheetId="11" r:id="rId10"/>
    <sheet name="FeN1" sheetId="12" r:id="rId11"/>
    <sheet name="FeN2" sheetId="13" r:id="rId12"/>
    <sheet name="FeN3" sheetId="14" r:id="rId13"/>
    <sheet name="FeN4" sheetId="15" r:id="rId14"/>
    <sheet name="FeN5" sheetId="16" r:id="rId15"/>
    <sheet name="FeN6" sheetId="17" r:id="rId16"/>
    <sheet name="FeN7" sheetId="18" r:id="rId17"/>
    <sheet name="FeN8" sheetId="19" r:id="rId18"/>
    <sheet name="FeN9" sheetId="20" r:id="rId19"/>
    <sheet name="FeP1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H5" i="1"/>
  <c r="BM25" i="12" l="1"/>
  <c r="CQ25" i="20"/>
  <c r="CO25" i="20"/>
  <c r="CK25" i="20"/>
  <c r="CI25" i="20"/>
  <c r="CE25" i="20"/>
  <c r="CC25" i="20"/>
  <c r="BY25" i="20"/>
  <c r="BW25" i="20"/>
  <c r="BS25" i="20"/>
  <c r="BQ25" i="20"/>
  <c r="BM25" i="20"/>
  <c r="BK25" i="20"/>
  <c r="BG25" i="20"/>
  <c r="BE25" i="20"/>
  <c r="BA25" i="20"/>
  <c r="AY25" i="20"/>
  <c r="AU25" i="20"/>
  <c r="AS25" i="20"/>
  <c r="AO25" i="20"/>
  <c r="AM25" i="20"/>
  <c r="AI25" i="20"/>
  <c r="AG25" i="20"/>
  <c r="AC25" i="20"/>
  <c r="AA25" i="20"/>
  <c r="CQ25" i="19"/>
  <c r="CO25" i="19"/>
  <c r="CK25" i="19"/>
  <c r="CI25" i="19"/>
  <c r="CE25" i="19"/>
  <c r="CC25" i="19"/>
  <c r="BY25" i="19"/>
  <c r="BW25" i="19"/>
  <c r="BS25" i="19"/>
  <c r="BQ25" i="19"/>
  <c r="BM25" i="19"/>
  <c r="BK25" i="19"/>
  <c r="BG25" i="19"/>
  <c r="BE25" i="19"/>
  <c r="BA25" i="19"/>
  <c r="AY25" i="19"/>
  <c r="AU25" i="19"/>
  <c r="AS25" i="19"/>
  <c r="AO25" i="19"/>
  <c r="AM25" i="19"/>
  <c r="AI25" i="19"/>
  <c r="AG25" i="19"/>
  <c r="AC25" i="19"/>
  <c r="AA25" i="19"/>
  <c r="CQ25" i="18"/>
  <c r="CO25" i="18"/>
  <c r="CK25" i="18"/>
  <c r="CI25" i="18"/>
  <c r="CE25" i="18"/>
  <c r="CC25" i="18"/>
  <c r="BY25" i="18"/>
  <c r="BW25" i="18"/>
  <c r="BS25" i="18"/>
  <c r="BQ25" i="18"/>
  <c r="BM25" i="18"/>
  <c r="BK25" i="18"/>
  <c r="BG25" i="18"/>
  <c r="BE25" i="18"/>
  <c r="BA25" i="18"/>
  <c r="AY25" i="18"/>
  <c r="AU25" i="18"/>
  <c r="AS25" i="18"/>
  <c r="AO25" i="18"/>
  <c r="AM25" i="18"/>
  <c r="AI25" i="18"/>
  <c r="AG25" i="18"/>
  <c r="AC25" i="18"/>
  <c r="AA25" i="18"/>
  <c r="CQ25" i="17"/>
  <c r="CO25" i="17"/>
  <c r="CK25" i="17"/>
  <c r="CI25" i="17"/>
  <c r="CE25" i="17"/>
  <c r="CC25" i="17"/>
  <c r="BY25" i="17"/>
  <c r="BW25" i="17"/>
  <c r="BS25" i="17"/>
  <c r="BQ25" i="17"/>
  <c r="BM25" i="17"/>
  <c r="BK25" i="17"/>
  <c r="BG25" i="17"/>
  <c r="BE25" i="17"/>
  <c r="BA25" i="17"/>
  <c r="AY25" i="17"/>
  <c r="AU25" i="17"/>
  <c r="AS25" i="17"/>
  <c r="AO25" i="17"/>
  <c r="AM25" i="17"/>
  <c r="AI25" i="17"/>
  <c r="AG25" i="17"/>
  <c r="AC25" i="17"/>
  <c r="AA25" i="17"/>
  <c r="CQ25" i="16"/>
  <c r="CO25" i="16"/>
  <c r="CK25" i="16"/>
  <c r="CI25" i="16"/>
  <c r="CE25" i="16"/>
  <c r="CC25" i="16"/>
  <c r="BY25" i="16"/>
  <c r="BW25" i="16"/>
  <c r="BS25" i="16"/>
  <c r="BQ25" i="16"/>
  <c r="BM25" i="16"/>
  <c r="BK25" i="16"/>
  <c r="BG25" i="16"/>
  <c r="BE25" i="16"/>
  <c r="BA25" i="16"/>
  <c r="AY25" i="16"/>
  <c r="AU25" i="16"/>
  <c r="AS25" i="16"/>
  <c r="AO25" i="16"/>
  <c r="AM25" i="16"/>
  <c r="AI25" i="16"/>
  <c r="AG25" i="16"/>
  <c r="AC25" i="16"/>
  <c r="AA25" i="16"/>
  <c r="CQ25" i="15"/>
  <c r="CO25" i="15"/>
  <c r="CK25" i="15"/>
  <c r="CI25" i="15"/>
  <c r="CE25" i="15"/>
  <c r="CC25" i="15"/>
  <c r="BY25" i="15"/>
  <c r="BW25" i="15"/>
  <c r="BS25" i="15"/>
  <c r="BQ25" i="15"/>
  <c r="BM25" i="15"/>
  <c r="BK25" i="15"/>
  <c r="BG25" i="15"/>
  <c r="BE25" i="15"/>
  <c r="BA25" i="15"/>
  <c r="AY25" i="15"/>
  <c r="AU25" i="15"/>
  <c r="AS25" i="15"/>
  <c r="AO25" i="15"/>
  <c r="AM25" i="15"/>
  <c r="AI25" i="15"/>
  <c r="AG25" i="15"/>
  <c r="AC25" i="15"/>
  <c r="AA25" i="15"/>
  <c r="CQ25" i="13"/>
  <c r="CO25" i="13"/>
  <c r="CK25" i="13"/>
  <c r="CI25" i="13"/>
  <c r="CE25" i="13"/>
  <c r="CC25" i="13"/>
  <c r="BY25" i="13"/>
  <c r="BW25" i="13"/>
  <c r="BS25" i="13"/>
  <c r="BQ25" i="13"/>
  <c r="BM25" i="13"/>
  <c r="BK25" i="13"/>
  <c r="BG25" i="13"/>
  <c r="BE25" i="13"/>
  <c r="BA25" i="13"/>
  <c r="AY25" i="13"/>
  <c r="AU25" i="13"/>
  <c r="AS25" i="13"/>
  <c r="AO25" i="13"/>
  <c r="AM25" i="13"/>
  <c r="AI25" i="13"/>
  <c r="AG25" i="13"/>
  <c r="AC25" i="13"/>
  <c r="AA25" i="13"/>
  <c r="BM25" i="14"/>
  <c r="CQ25" i="14"/>
  <c r="CO25" i="14"/>
  <c r="CK25" i="14"/>
  <c r="CI25" i="14"/>
  <c r="CE25" i="14"/>
  <c r="CC25" i="14"/>
  <c r="BY25" i="14"/>
  <c r="BW25" i="14"/>
  <c r="BS25" i="14"/>
  <c r="BQ25" i="14"/>
  <c r="BK25" i="14"/>
  <c r="BG25" i="14"/>
  <c r="BE25" i="14"/>
  <c r="BA25" i="14"/>
  <c r="AY25" i="14"/>
  <c r="AU25" i="14"/>
  <c r="AS25" i="14"/>
  <c r="AO25" i="14"/>
  <c r="AM25" i="14"/>
  <c r="AI25" i="14"/>
  <c r="AG25" i="14"/>
  <c r="AC25" i="14"/>
  <c r="AA25" i="14"/>
  <c r="CQ25" i="12"/>
  <c r="CK25" i="12"/>
  <c r="CE25" i="12"/>
  <c r="BY25" i="12"/>
  <c r="BS25" i="12"/>
  <c r="BG25" i="12"/>
  <c r="BA25" i="12"/>
  <c r="AU25" i="12"/>
  <c r="AO25" i="12"/>
  <c r="AI25" i="12"/>
  <c r="AC25" i="12"/>
  <c r="BY25" i="21"/>
  <c r="BS25" i="21"/>
  <c r="BM25" i="21"/>
  <c r="BG25" i="21"/>
  <c r="BA25" i="21"/>
  <c r="AU25" i="21"/>
  <c r="AO25" i="21"/>
  <c r="AI25" i="21"/>
  <c r="AC25" i="21"/>
  <c r="AJ39" i="2"/>
  <c r="AI39" i="2"/>
  <c r="AH39" i="2"/>
  <c r="AG39" i="2"/>
  <c r="AF39" i="2"/>
  <c r="AE39" i="2"/>
  <c r="AD39" i="2"/>
  <c r="AC39" i="2"/>
  <c r="AB39" i="2"/>
  <c r="AA39" i="2"/>
  <c r="Z39" i="2"/>
  <c r="Y39" i="2"/>
  <c r="AJ38" i="2"/>
  <c r="AI38" i="2"/>
  <c r="AH38" i="2"/>
  <c r="AG38" i="2"/>
  <c r="AF38" i="2"/>
  <c r="AE38" i="2"/>
  <c r="AD38" i="2"/>
  <c r="AC38" i="2"/>
  <c r="AB38" i="2"/>
  <c r="AJ37" i="2"/>
  <c r="AI37" i="2"/>
  <c r="AH37" i="2"/>
  <c r="AG37" i="2"/>
  <c r="AF37" i="2"/>
  <c r="AE37" i="2"/>
  <c r="AJ36" i="2"/>
  <c r="AI36" i="2"/>
  <c r="AH36" i="2"/>
  <c r="AJ35" i="2"/>
  <c r="AI35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AJ38" i="1"/>
  <c r="AJ39" i="1"/>
  <c r="AJ28" i="1"/>
  <c r="AI38" i="1"/>
  <c r="AI39" i="1"/>
  <c r="AI28" i="1"/>
  <c r="AH39" i="1"/>
  <c r="AH28" i="1"/>
  <c r="AG38" i="1"/>
  <c r="AG39" i="1"/>
  <c r="AG28" i="1"/>
  <c r="AF39" i="1"/>
  <c r="AF28" i="1"/>
  <c r="AE39" i="1"/>
  <c r="AE28" i="1"/>
  <c r="AD39" i="1"/>
  <c r="AD28" i="1"/>
  <c r="AC39" i="1"/>
  <c r="AC28" i="1"/>
  <c r="AB39" i="1"/>
  <c r="AB28" i="1"/>
  <c r="AA28" i="1"/>
  <c r="Z28" i="1"/>
  <c r="Y28" i="1"/>
  <c r="I127" i="11" l="1"/>
  <c r="G127" i="11"/>
  <c r="F127" i="11"/>
  <c r="I126" i="11"/>
  <c r="G126" i="11"/>
  <c r="F126" i="11"/>
  <c r="H126" i="11" s="1"/>
  <c r="I125" i="11"/>
  <c r="G125" i="11"/>
  <c r="F125" i="11"/>
  <c r="I124" i="11"/>
  <c r="G124" i="11"/>
  <c r="F124" i="11"/>
  <c r="I123" i="11"/>
  <c r="G123" i="11"/>
  <c r="F123" i="11"/>
  <c r="I122" i="11"/>
  <c r="G122" i="11"/>
  <c r="F122" i="11"/>
  <c r="I121" i="11"/>
  <c r="G121" i="11"/>
  <c r="F121" i="11"/>
  <c r="I120" i="11"/>
  <c r="G120" i="11"/>
  <c r="F120" i="11"/>
  <c r="I119" i="11"/>
  <c r="G119" i="11"/>
  <c r="F119" i="11"/>
  <c r="I118" i="11"/>
  <c r="G118" i="11"/>
  <c r="F118" i="11"/>
  <c r="H118" i="11" s="1"/>
  <c r="I117" i="11"/>
  <c r="G117" i="11"/>
  <c r="F117" i="11"/>
  <c r="I113" i="11"/>
  <c r="G113" i="11"/>
  <c r="F113" i="11"/>
  <c r="I112" i="11"/>
  <c r="G112" i="11"/>
  <c r="F112" i="11"/>
  <c r="I111" i="11"/>
  <c r="G111" i="11"/>
  <c r="F111" i="11"/>
  <c r="I110" i="11"/>
  <c r="G110" i="11"/>
  <c r="F110" i="11"/>
  <c r="I109" i="11"/>
  <c r="G109" i="11"/>
  <c r="F109" i="11"/>
  <c r="I108" i="11"/>
  <c r="G108" i="11"/>
  <c r="F108" i="11"/>
  <c r="I107" i="11"/>
  <c r="G107" i="11"/>
  <c r="F107" i="11"/>
  <c r="H107" i="11" s="1"/>
  <c r="I106" i="11"/>
  <c r="G106" i="11"/>
  <c r="F106" i="11"/>
  <c r="I105" i="11"/>
  <c r="G105" i="11"/>
  <c r="F105" i="11"/>
  <c r="I104" i="11"/>
  <c r="G104" i="11"/>
  <c r="F104" i="11"/>
  <c r="I103" i="11"/>
  <c r="G103" i="11"/>
  <c r="F103" i="11"/>
  <c r="Z3" i="3"/>
  <c r="Z4" i="3"/>
  <c r="Z4" i="2"/>
  <c r="Z3" i="2"/>
  <c r="H110" i="11" l="1"/>
  <c r="H121" i="11"/>
  <c r="BX18" i="11" s="1"/>
  <c r="H103" i="11"/>
  <c r="BR14" i="11" s="1"/>
  <c r="H111" i="11"/>
  <c r="H122" i="11"/>
  <c r="BX19" i="11" s="1"/>
  <c r="H106" i="11"/>
  <c r="BR17" i="11" s="1"/>
  <c r="H117" i="11"/>
  <c r="BX14" i="11" s="1"/>
  <c r="H125" i="11"/>
  <c r="H104" i="11"/>
  <c r="Q104" i="11" s="1"/>
  <c r="H108" i="11"/>
  <c r="H112" i="11"/>
  <c r="H119" i="11"/>
  <c r="BX16" i="11" s="1"/>
  <c r="H123" i="11"/>
  <c r="Q123" i="11" s="1"/>
  <c r="H127" i="11"/>
  <c r="Q127" i="11" s="1"/>
  <c r="H105" i="11"/>
  <c r="BR16" i="11" s="1"/>
  <c r="BR18" i="11"/>
  <c r="H109" i="11"/>
  <c r="BR20" i="11" s="1"/>
  <c r="H113" i="11"/>
  <c r="BX15" i="11"/>
  <c r="H120" i="11"/>
  <c r="BX17" i="11" s="1"/>
  <c r="H124" i="11"/>
  <c r="BR15" i="11"/>
  <c r="BR19" i="11"/>
  <c r="R127" i="11"/>
  <c r="N127" i="11"/>
  <c r="O127" i="11" s="1"/>
  <c r="V127" i="11" s="1"/>
  <c r="M127" i="11"/>
  <c r="R126" i="11"/>
  <c r="Q126" i="11"/>
  <c r="O126" i="11"/>
  <c r="V126" i="11" s="1"/>
  <c r="N126" i="11"/>
  <c r="M126" i="11"/>
  <c r="R125" i="11"/>
  <c r="Q125" i="11"/>
  <c r="N125" i="11"/>
  <c r="O125" i="11" s="1"/>
  <c r="V125" i="11" s="1"/>
  <c r="M125" i="11"/>
  <c r="R124" i="11"/>
  <c r="Q124" i="11"/>
  <c r="N124" i="11"/>
  <c r="O124" i="11" s="1"/>
  <c r="V124" i="11" s="1"/>
  <c r="M124" i="11"/>
  <c r="R123" i="11"/>
  <c r="N123" i="11"/>
  <c r="O123" i="11" s="1"/>
  <c r="V123" i="11" s="1"/>
  <c r="M123" i="11"/>
  <c r="R122" i="11"/>
  <c r="BY19" i="11" s="1"/>
  <c r="N122" i="11"/>
  <c r="O122" i="11" s="1"/>
  <c r="M122" i="11"/>
  <c r="R121" i="11"/>
  <c r="BY18" i="11" s="1"/>
  <c r="Q121" i="11"/>
  <c r="N121" i="11"/>
  <c r="O121" i="11" s="1"/>
  <c r="M121" i="11"/>
  <c r="R120" i="11"/>
  <c r="BY17" i="11" s="1"/>
  <c r="Q120" i="11"/>
  <c r="N120" i="11"/>
  <c r="O120" i="11" s="1"/>
  <c r="M120" i="11"/>
  <c r="R119" i="11"/>
  <c r="BY16" i="11" s="1"/>
  <c r="N119" i="11"/>
  <c r="O119" i="11" s="1"/>
  <c r="M119" i="11"/>
  <c r="R118" i="11"/>
  <c r="BY15" i="11" s="1"/>
  <c r="Q118" i="11"/>
  <c r="N118" i="11"/>
  <c r="O118" i="11" s="1"/>
  <c r="M118" i="11"/>
  <c r="R117" i="11"/>
  <c r="BY14" i="11" s="1"/>
  <c r="Q117" i="11"/>
  <c r="N117" i="11"/>
  <c r="O117" i="11" s="1"/>
  <c r="M117" i="11"/>
  <c r="R113" i="11"/>
  <c r="Q113" i="11"/>
  <c r="N113" i="11"/>
  <c r="O113" i="11" s="1"/>
  <c r="V113" i="11" s="1"/>
  <c r="M113" i="11"/>
  <c r="R112" i="11"/>
  <c r="Q112" i="11"/>
  <c r="N112" i="11"/>
  <c r="O112" i="11" s="1"/>
  <c r="V112" i="11" s="1"/>
  <c r="M112" i="11"/>
  <c r="R111" i="11"/>
  <c r="Q111" i="11"/>
  <c r="N111" i="11"/>
  <c r="O111" i="11" s="1"/>
  <c r="V111" i="11" s="1"/>
  <c r="M111" i="11"/>
  <c r="R110" i="11"/>
  <c r="Q110" i="11"/>
  <c r="N110" i="11"/>
  <c r="O110" i="11" s="1"/>
  <c r="V110" i="11" s="1"/>
  <c r="M110" i="11"/>
  <c r="R109" i="11"/>
  <c r="BS20" i="11" s="1"/>
  <c r="Q109" i="11"/>
  <c r="N109" i="11"/>
  <c r="O109" i="11" s="1"/>
  <c r="M109" i="11"/>
  <c r="R108" i="11"/>
  <c r="BS19" i="11" s="1"/>
  <c r="Q108" i="11"/>
  <c r="N108" i="11"/>
  <c r="O108" i="11" s="1"/>
  <c r="M108" i="11"/>
  <c r="R107" i="11"/>
  <c r="BS18" i="11" s="1"/>
  <c r="Q107" i="11"/>
  <c r="N107" i="11"/>
  <c r="O107" i="11" s="1"/>
  <c r="M107" i="11"/>
  <c r="R106" i="11"/>
  <c r="BS17" i="11" s="1"/>
  <c r="N106" i="11"/>
  <c r="O106" i="11" s="1"/>
  <c r="M106" i="11"/>
  <c r="R105" i="11"/>
  <c r="BS16" i="11" s="1"/>
  <c r="N105" i="11"/>
  <c r="O105" i="11" s="1"/>
  <c r="M105" i="11"/>
  <c r="R104" i="11"/>
  <c r="BS15" i="11" s="1"/>
  <c r="N104" i="11"/>
  <c r="O104" i="11" s="1"/>
  <c r="M104" i="11"/>
  <c r="R103" i="11"/>
  <c r="BS14" i="11" s="1"/>
  <c r="Q103" i="11"/>
  <c r="N103" i="11"/>
  <c r="O103" i="11" s="1"/>
  <c r="M103" i="11"/>
  <c r="N99" i="11"/>
  <c r="O99" i="11" s="1"/>
  <c r="V99" i="11" s="1"/>
  <c r="M99" i="11"/>
  <c r="N98" i="11"/>
  <c r="O98" i="11" s="1"/>
  <c r="V98" i="11" s="1"/>
  <c r="M98" i="11"/>
  <c r="N97" i="11"/>
  <c r="O97" i="11" s="1"/>
  <c r="V97" i="11" s="1"/>
  <c r="M97" i="11"/>
  <c r="N96" i="11"/>
  <c r="O96" i="11" s="1"/>
  <c r="V96" i="11" s="1"/>
  <c r="M96" i="11"/>
  <c r="N95" i="11"/>
  <c r="O95" i="11" s="1"/>
  <c r="M95" i="11"/>
  <c r="N94" i="11"/>
  <c r="O94" i="11" s="1"/>
  <c r="M94" i="11"/>
  <c r="N93" i="11"/>
  <c r="O93" i="11" s="1"/>
  <c r="M93" i="11"/>
  <c r="N92" i="11"/>
  <c r="O92" i="11" s="1"/>
  <c r="M92" i="11"/>
  <c r="N91" i="11"/>
  <c r="O91" i="11" s="1"/>
  <c r="M91" i="11"/>
  <c r="N90" i="11"/>
  <c r="O90" i="11" s="1"/>
  <c r="M90" i="11"/>
  <c r="N89" i="11"/>
  <c r="O89" i="11" s="1"/>
  <c r="M89" i="11"/>
  <c r="N85" i="11"/>
  <c r="O85" i="11" s="1"/>
  <c r="V85" i="11" s="1"/>
  <c r="M85" i="11"/>
  <c r="N84" i="11"/>
  <c r="O84" i="11" s="1"/>
  <c r="V84" i="11" s="1"/>
  <c r="M84" i="11"/>
  <c r="N83" i="11"/>
  <c r="O83" i="11" s="1"/>
  <c r="V83" i="11" s="1"/>
  <c r="M83" i="11"/>
  <c r="N82" i="11"/>
  <c r="O82" i="11" s="1"/>
  <c r="M82" i="11"/>
  <c r="N81" i="11"/>
  <c r="O81" i="11" s="1"/>
  <c r="M81" i="11"/>
  <c r="N80" i="11"/>
  <c r="O80" i="11" s="1"/>
  <c r="M80" i="11"/>
  <c r="N79" i="11"/>
  <c r="O79" i="11" s="1"/>
  <c r="M79" i="11"/>
  <c r="N78" i="11"/>
  <c r="O78" i="11" s="1"/>
  <c r="M78" i="11"/>
  <c r="N77" i="11"/>
  <c r="O77" i="11" s="1"/>
  <c r="M77" i="11"/>
  <c r="N76" i="11"/>
  <c r="O76" i="11" s="1"/>
  <c r="M76" i="11"/>
  <c r="N75" i="11"/>
  <c r="O75" i="11" s="1"/>
  <c r="M75" i="11"/>
  <c r="N71" i="11"/>
  <c r="O71" i="11" s="1"/>
  <c r="V71" i="11" s="1"/>
  <c r="M71" i="11"/>
  <c r="N70" i="11"/>
  <c r="O70" i="11" s="1"/>
  <c r="V70" i="11" s="1"/>
  <c r="M70" i="11"/>
  <c r="N69" i="11"/>
  <c r="O69" i="11" s="1"/>
  <c r="M69" i="11"/>
  <c r="N68" i="11"/>
  <c r="O68" i="11" s="1"/>
  <c r="M68" i="11"/>
  <c r="N67" i="11"/>
  <c r="O67" i="11" s="1"/>
  <c r="M67" i="11"/>
  <c r="N66" i="11"/>
  <c r="O66" i="11" s="1"/>
  <c r="M66" i="11"/>
  <c r="N65" i="11"/>
  <c r="O65" i="11" s="1"/>
  <c r="M65" i="11"/>
  <c r="N64" i="11"/>
  <c r="O64" i="11" s="1"/>
  <c r="M64" i="11"/>
  <c r="N63" i="11"/>
  <c r="O63" i="11" s="1"/>
  <c r="M63" i="11"/>
  <c r="N62" i="11"/>
  <c r="O62" i="11" s="1"/>
  <c r="M62" i="11"/>
  <c r="N61" i="11"/>
  <c r="O61" i="11" s="1"/>
  <c r="M61" i="11"/>
  <c r="N57" i="11"/>
  <c r="O57" i="11" s="1"/>
  <c r="V57" i="11" s="1"/>
  <c r="M57" i="11"/>
  <c r="N56" i="11"/>
  <c r="O56" i="11" s="1"/>
  <c r="M56" i="11"/>
  <c r="N55" i="11"/>
  <c r="O55" i="11" s="1"/>
  <c r="M55" i="11"/>
  <c r="N54" i="11"/>
  <c r="O54" i="11" s="1"/>
  <c r="M54" i="11"/>
  <c r="O53" i="11"/>
  <c r="N53" i="11"/>
  <c r="M53" i="11"/>
  <c r="N52" i="11"/>
  <c r="O52" i="11" s="1"/>
  <c r="M52" i="11"/>
  <c r="N51" i="11"/>
  <c r="O51" i="11" s="1"/>
  <c r="M51" i="11"/>
  <c r="N50" i="11"/>
  <c r="O50" i="11" s="1"/>
  <c r="M50" i="11"/>
  <c r="N49" i="11"/>
  <c r="O49" i="11" s="1"/>
  <c r="M49" i="11"/>
  <c r="N48" i="11"/>
  <c r="O48" i="11" s="1"/>
  <c r="M48" i="11"/>
  <c r="N47" i="11"/>
  <c r="O47" i="11" s="1"/>
  <c r="M47" i="11"/>
  <c r="N43" i="11"/>
  <c r="O43" i="11" s="1"/>
  <c r="V43" i="11" s="1"/>
  <c r="M43" i="11"/>
  <c r="N42" i="11"/>
  <c r="O42" i="11" s="1"/>
  <c r="M42" i="11"/>
  <c r="N41" i="11"/>
  <c r="O41" i="11" s="1"/>
  <c r="M41" i="11"/>
  <c r="N40" i="11"/>
  <c r="O40" i="11" s="1"/>
  <c r="M40" i="11"/>
  <c r="N39" i="11"/>
  <c r="O39" i="11" s="1"/>
  <c r="M39" i="11"/>
  <c r="N38" i="11"/>
  <c r="O38" i="11" s="1"/>
  <c r="M38" i="11"/>
  <c r="N37" i="11"/>
  <c r="O37" i="11" s="1"/>
  <c r="M37" i="11"/>
  <c r="N36" i="11"/>
  <c r="O36" i="11" s="1"/>
  <c r="M36" i="11"/>
  <c r="N35" i="11"/>
  <c r="O35" i="11" s="1"/>
  <c r="M35" i="11"/>
  <c r="N34" i="11"/>
  <c r="O34" i="11" s="1"/>
  <c r="M34" i="11"/>
  <c r="N33" i="11"/>
  <c r="O33" i="11" s="1"/>
  <c r="M33" i="11"/>
  <c r="N29" i="11"/>
  <c r="O29" i="11" s="1"/>
  <c r="M29" i="11"/>
  <c r="N28" i="11"/>
  <c r="O28" i="11" s="1"/>
  <c r="M28" i="11"/>
  <c r="N27" i="11"/>
  <c r="O27" i="11" s="1"/>
  <c r="M27" i="11"/>
  <c r="N26" i="11"/>
  <c r="O26" i="11" s="1"/>
  <c r="M26" i="11"/>
  <c r="N25" i="11"/>
  <c r="O25" i="11" s="1"/>
  <c r="M25" i="11"/>
  <c r="N24" i="11"/>
  <c r="O24" i="11" s="1"/>
  <c r="M24" i="11"/>
  <c r="N23" i="11"/>
  <c r="O23" i="11" s="1"/>
  <c r="M23" i="11"/>
  <c r="N22" i="11"/>
  <c r="O22" i="11" s="1"/>
  <c r="M22" i="11"/>
  <c r="N21" i="11"/>
  <c r="O21" i="11" s="1"/>
  <c r="M21" i="11"/>
  <c r="N20" i="11"/>
  <c r="O20" i="11" s="1"/>
  <c r="M20" i="11"/>
  <c r="N19" i="11"/>
  <c r="O19" i="11" s="1"/>
  <c r="M19" i="11"/>
  <c r="N15" i="11"/>
  <c r="O15" i="11" s="1"/>
  <c r="M15" i="11"/>
  <c r="N14" i="11"/>
  <c r="O14" i="11" s="1"/>
  <c r="M14" i="11"/>
  <c r="N13" i="11"/>
  <c r="O13" i="11" s="1"/>
  <c r="M13" i="11"/>
  <c r="O12" i="11"/>
  <c r="N12" i="11"/>
  <c r="M12" i="11"/>
  <c r="N11" i="11"/>
  <c r="O11" i="11" s="1"/>
  <c r="M11" i="11"/>
  <c r="N10" i="11"/>
  <c r="O10" i="11" s="1"/>
  <c r="M10" i="11"/>
  <c r="N9" i="11"/>
  <c r="O9" i="11" s="1"/>
  <c r="M9" i="11"/>
  <c r="N8" i="11"/>
  <c r="O8" i="11" s="1"/>
  <c r="M8" i="11"/>
  <c r="N7" i="11"/>
  <c r="O7" i="11" s="1"/>
  <c r="M7" i="11"/>
  <c r="N6" i="11"/>
  <c r="O6" i="11" s="1"/>
  <c r="M6" i="11"/>
  <c r="N5" i="11"/>
  <c r="O5" i="11" s="1"/>
  <c r="M5" i="11"/>
  <c r="Z4" i="11"/>
  <c r="Z3" i="11"/>
  <c r="I127" i="21"/>
  <c r="G127" i="21"/>
  <c r="F127" i="21"/>
  <c r="I126" i="21"/>
  <c r="G126" i="21"/>
  <c r="F126" i="21"/>
  <c r="I125" i="21"/>
  <c r="G125" i="21"/>
  <c r="F125" i="21"/>
  <c r="I124" i="21"/>
  <c r="G124" i="21"/>
  <c r="F124" i="21"/>
  <c r="I123" i="21"/>
  <c r="G123" i="21"/>
  <c r="F123" i="21"/>
  <c r="I122" i="21"/>
  <c r="G122" i="21"/>
  <c r="F122" i="21"/>
  <c r="I121" i="21"/>
  <c r="G121" i="21"/>
  <c r="F121" i="21"/>
  <c r="I120" i="21"/>
  <c r="G120" i="21"/>
  <c r="F120" i="21"/>
  <c r="I119" i="21"/>
  <c r="G119" i="21"/>
  <c r="F119" i="21"/>
  <c r="H119" i="21" s="1"/>
  <c r="I118" i="21"/>
  <c r="G118" i="21"/>
  <c r="F118" i="21"/>
  <c r="I117" i="21"/>
  <c r="G117" i="21"/>
  <c r="F117" i="21"/>
  <c r="I113" i="21"/>
  <c r="G113" i="21"/>
  <c r="F113" i="21"/>
  <c r="I112" i="21"/>
  <c r="G112" i="21"/>
  <c r="F112" i="21"/>
  <c r="I111" i="21"/>
  <c r="G111" i="21"/>
  <c r="F111" i="21"/>
  <c r="H111" i="21" s="1"/>
  <c r="I110" i="21"/>
  <c r="G110" i="21"/>
  <c r="F110" i="21"/>
  <c r="I109" i="21"/>
  <c r="G109" i="21"/>
  <c r="F109" i="21"/>
  <c r="I108" i="21"/>
  <c r="G108" i="21"/>
  <c r="F108" i="21"/>
  <c r="H108" i="21" s="1"/>
  <c r="I107" i="21"/>
  <c r="G107" i="21"/>
  <c r="F107" i="21"/>
  <c r="I106" i="21"/>
  <c r="G106" i="21"/>
  <c r="F106" i="21"/>
  <c r="I105" i="21"/>
  <c r="G105" i="21"/>
  <c r="F105" i="21"/>
  <c r="I104" i="21"/>
  <c r="G104" i="21"/>
  <c r="F104" i="21"/>
  <c r="I103" i="21"/>
  <c r="G103" i="21"/>
  <c r="F103" i="21"/>
  <c r="N127" i="21"/>
  <c r="O127" i="21" s="1"/>
  <c r="V127" i="21" s="1"/>
  <c r="M127" i="21"/>
  <c r="N126" i="21"/>
  <c r="O126" i="21" s="1"/>
  <c r="M126" i="21"/>
  <c r="N125" i="21"/>
  <c r="O125" i="21" s="1"/>
  <c r="M125" i="21"/>
  <c r="N124" i="21"/>
  <c r="O124" i="21" s="1"/>
  <c r="M124" i="21"/>
  <c r="N123" i="21"/>
  <c r="O123" i="21" s="1"/>
  <c r="M123" i="21"/>
  <c r="N122" i="21"/>
  <c r="O122" i="21" s="1"/>
  <c r="M122" i="21"/>
  <c r="N121" i="21"/>
  <c r="O121" i="21" s="1"/>
  <c r="M121" i="21"/>
  <c r="N120" i="21"/>
  <c r="O120" i="21" s="1"/>
  <c r="M120" i="21"/>
  <c r="N119" i="21"/>
  <c r="O119" i="21" s="1"/>
  <c r="M119" i="21"/>
  <c r="R118" i="21"/>
  <c r="BY15" i="21" s="1"/>
  <c r="N118" i="21"/>
  <c r="O118" i="21" s="1"/>
  <c r="M118" i="21"/>
  <c r="N117" i="21"/>
  <c r="O117" i="21" s="1"/>
  <c r="M117" i="21"/>
  <c r="N113" i="21"/>
  <c r="O113" i="21" s="1"/>
  <c r="M113" i="21"/>
  <c r="N112" i="21"/>
  <c r="O112" i="21" s="1"/>
  <c r="M112" i="21"/>
  <c r="N111" i="21"/>
  <c r="O111" i="21" s="1"/>
  <c r="M111" i="21"/>
  <c r="N110" i="21"/>
  <c r="O110" i="21" s="1"/>
  <c r="M110" i="21"/>
  <c r="N109" i="21"/>
  <c r="O109" i="21" s="1"/>
  <c r="M109" i="21"/>
  <c r="N108" i="21"/>
  <c r="O108" i="21" s="1"/>
  <c r="M108" i="21"/>
  <c r="N107" i="21"/>
  <c r="O107" i="21" s="1"/>
  <c r="M107" i="21"/>
  <c r="N106" i="21"/>
  <c r="O106" i="21" s="1"/>
  <c r="M106" i="21"/>
  <c r="N105" i="21"/>
  <c r="O105" i="21" s="1"/>
  <c r="M105" i="21"/>
  <c r="N104" i="21"/>
  <c r="O104" i="21" s="1"/>
  <c r="M104" i="21"/>
  <c r="R103" i="21"/>
  <c r="BS14" i="21" s="1"/>
  <c r="N103" i="21"/>
  <c r="O103" i="21" s="1"/>
  <c r="M103" i="21"/>
  <c r="N99" i="21"/>
  <c r="O99" i="21" s="1"/>
  <c r="M99" i="21"/>
  <c r="N98" i="21"/>
  <c r="O98" i="21" s="1"/>
  <c r="M98" i="21"/>
  <c r="N97" i="21"/>
  <c r="O97" i="21" s="1"/>
  <c r="M97" i="21"/>
  <c r="N96" i="21"/>
  <c r="O96" i="21" s="1"/>
  <c r="M96" i="21"/>
  <c r="N95" i="21"/>
  <c r="O95" i="21" s="1"/>
  <c r="M95" i="21"/>
  <c r="N94" i="21"/>
  <c r="O94" i="21" s="1"/>
  <c r="M94" i="21"/>
  <c r="N93" i="21"/>
  <c r="O93" i="21" s="1"/>
  <c r="M93" i="21"/>
  <c r="N92" i="21"/>
  <c r="O92" i="21" s="1"/>
  <c r="M92" i="21"/>
  <c r="N91" i="21"/>
  <c r="O91" i="21" s="1"/>
  <c r="M91" i="21"/>
  <c r="N90" i="21"/>
  <c r="O90" i="21" s="1"/>
  <c r="M90" i="21"/>
  <c r="N89" i="21"/>
  <c r="O89" i="21" s="1"/>
  <c r="M89" i="21"/>
  <c r="N85" i="21"/>
  <c r="O85" i="21" s="1"/>
  <c r="M85" i="21"/>
  <c r="N84" i="21"/>
  <c r="O84" i="21" s="1"/>
  <c r="M84" i="21"/>
  <c r="N83" i="21"/>
  <c r="O83" i="21" s="1"/>
  <c r="M83" i="21"/>
  <c r="N82" i="21"/>
  <c r="O82" i="21" s="1"/>
  <c r="M82" i="21"/>
  <c r="N81" i="21"/>
  <c r="O81" i="21" s="1"/>
  <c r="M81" i="21"/>
  <c r="N80" i="21"/>
  <c r="O80" i="21" s="1"/>
  <c r="M80" i="21"/>
  <c r="N79" i="21"/>
  <c r="O79" i="21" s="1"/>
  <c r="M79" i="21"/>
  <c r="N78" i="21"/>
  <c r="O78" i="21" s="1"/>
  <c r="M78" i="21"/>
  <c r="N77" i="21"/>
  <c r="O77" i="21" s="1"/>
  <c r="M77" i="21"/>
  <c r="N76" i="21"/>
  <c r="O76" i="21" s="1"/>
  <c r="M76" i="21"/>
  <c r="N75" i="21"/>
  <c r="O75" i="21" s="1"/>
  <c r="M75" i="21"/>
  <c r="N71" i="21"/>
  <c r="O71" i="21" s="1"/>
  <c r="M71" i="21"/>
  <c r="N70" i="21"/>
  <c r="O70" i="21" s="1"/>
  <c r="M70" i="21"/>
  <c r="N69" i="21"/>
  <c r="O69" i="21" s="1"/>
  <c r="M69" i="21"/>
  <c r="N68" i="21"/>
  <c r="O68" i="21" s="1"/>
  <c r="M68" i="21"/>
  <c r="N67" i="21"/>
  <c r="O67" i="21" s="1"/>
  <c r="M67" i="21"/>
  <c r="N66" i="21"/>
  <c r="O66" i="21" s="1"/>
  <c r="M66" i="21"/>
  <c r="N65" i="21"/>
  <c r="O65" i="21" s="1"/>
  <c r="M65" i="21"/>
  <c r="N64" i="21"/>
  <c r="O64" i="21" s="1"/>
  <c r="M64" i="21"/>
  <c r="N63" i="21"/>
  <c r="O63" i="21" s="1"/>
  <c r="M63" i="21"/>
  <c r="N62" i="21"/>
  <c r="O62" i="21" s="1"/>
  <c r="M62" i="21"/>
  <c r="N61" i="21"/>
  <c r="O61" i="21" s="1"/>
  <c r="M61" i="21"/>
  <c r="N57" i="21"/>
  <c r="O57" i="21" s="1"/>
  <c r="M57" i="21"/>
  <c r="N56" i="21"/>
  <c r="O56" i="21" s="1"/>
  <c r="M56" i="21"/>
  <c r="N55" i="21"/>
  <c r="O55" i="21" s="1"/>
  <c r="M55" i="21"/>
  <c r="N54" i="21"/>
  <c r="O54" i="21" s="1"/>
  <c r="M54" i="21"/>
  <c r="N53" i="21"/>
  <c r="O53" i="21" s="1"/>
  <c r="M53" i="21"/>
  <c r="N52" i="21"/>
  <c r="O52" i="21" s="1"/>
  <c r="M52" i="21"/>
  <c r="N51" i="21"/>
  <c r="O51" i="21" s="1"/>
  <c r="M51" i="21"/>
  <c r="N50" i="21"/>
  <c r="O50" i="21" s="1"/>
  <c r="M50" i="21"/>
  <c r="N49" i="21"/>
  <c r="O49" i="21" s="1"/>
  <c r="M49" i="21"/>
  <c r="N48" i="21"/>
  <c r="O48" i="21" s="1"/>
  <c r="M48" i="21"/>
  <c r="N47" i="21"/>
  <c r="O47" i="21" s="1"/>
  <c r="M47" i="21"/>
  <c r="N43" i="21"/>
  <c r="O43" i="21" s="1"/>
  <c r="M43" i="21"/>
  <c r="N42" i="21"/>
  <c r="O42" i="21" s="1"/>
  <c r="M42" i="21"/>
  <c r="N41" i="21"/>
  <c r="O41" i="21" s="1"/>
  <c r="M41" i="21"/>
  <c r="N40" i="21"/>
  <c r="O40" i="21" s="1"/>
  <c r="M40" i="21"/>
  <c r="N39" i="21"/>
  <c r="O39" i="21" s="1"/>
  <c r="M39" i="21"/>
  <c r="N38" i="21"/>
  <c r="O38" i="21" s="1"/>
  <c r="M38" i="21"/>
  <c r="N37" i="21"/>
  <c r="O37" i="21" s="1"/>
  <c r="M37" i="21"/>
  <c r="N36" i="21"/>
  <c r="O36" i="21" s="1"/>
  <c r="M36" i="21"/>
  <c r="N35" i="21"/>
  <c r="O35" i="21" s="1"/>
  <c r="M35" i="21"/>
  <c r="N34" i="21"/>
  <c r="O34" i="21" s="1"/>
  <c r="M34" i="21"/>
  <c r="N33" i="21"/>
  <c r="O33" i="21" s="1"/>
  <c r="M33" i="21"/>
  <c r="N29" i="21"/>
  <c r="O29" i="21" s="1"/>
  <c r="M29" i="21"/>
  <c r="N28" i="21"/>
  <c r="O28" i="21" s="1"/>
  <c r="M28" i="21"/>
  <c r="N27" i="21"/>
  <c r="O27" i="21" s="1"/>
  <c r="M27" i="21"/>
  <c r="N26" i="21"/>
  <c r="O26" i="21" s="1"/>
  <c r="M26" i="21"/>
  <c r="N25" i="21"/>
  <c r="O25" i="21" s="1"/>
  <c r="M25" i="21"/>
  <c r="N24" i="21"/>
  <c r="O24" i="21" s="1"/>
  <c r="M24" i="21"/>
  <c r="N23" i="21"/>
  <c r="O23" i="21" s="1"/>
  <c r="M23" i="21"/>
  <c r="N22" i="21"/>
  <c r="O22" i="21" s="1"/>
  <c r="M22" i="21"/>
  <c r="N21" i="21"/>
  <c r="O21" i="21" s="1"/>
  <c r="M21" i="21"/>
  <c r="N20" i="21"/>
  <c r="O20" i="21" s="1"/>
  <c r="M20" i="21"/>
  <c r="N19" i="21"/>
  <c r="O19" i="21" s="1"/>
  <c r="M19" i="21"/>
  <c r="N15" i="21"/>
  <c r="O15" i="21" s="1"/>
  <c r="M15" i="21"/>
  <c r="N14" i="21"/>
  <c r="O14" i="21" s="1"/>
  <c r="M14" i="21"/>
  <c r="N13" i="21"/>
  <c r="O13" i="21" s="1"/>
  <c r="M13" i="21"/>
  <c r="N12" i="21"/>
  <c r="O12" i="21" s="1"/>
  <c r="M12" i="21"/>
  <c r="N11" i="21"/>
  <c r="O11" i="21" s="1"/>
  <c r="M11" i="21"/>
  <c r="N10" i="21"/>
  <c r="O10" i="21" s="1"/>
  <c r="M10" i="21"/>
  <c r="N9" i="21"/>
  <c r="O9" i="21" s="1"/>
  <c r="M9" i="21"/>
  <c r="N8" i="21"/>
  <c r="O8" i="21" s="1"/>
  <c r="M8" i="21"/>
  <c r="N7" i="21"/>
  <c r="O7" i="21" s="1"/>
  <c r="M7" i="21"/>
  <c r="N6" i="21"/>
  <c r="O6" i="21" s="1"/>
  <c r="M6" i="21"/>
  <c r="N5" i="21"/>
  <c r="O5" i="21" s="1"/>
  <c r="M5" i="21"/>
  <c r="Z4" i="21"/>
  <c r="Z3" i="21"/>
  <c r="N169" i="20"/>
  <c r="O169" i="20" s="1"/>
  <c r="V169" i="20" s="1"/>
  <c r="M169" i="20"/>
  <c r="N168" i="20"/>
  <c r="O168" i="20" s="1"/>
  <c r="V168" i="20" s="1"/>
  <c r="M168" i="20"/>
  <c r="N167" i="20"/>
  <c r="O167" i="20" s="1"/>
  <c r="V167" i="20" s="1"/>
  <c r="M167" i="20"/>
  <c r="N166" i="20"/>
  <c r="O166" i="20" s="1"/>
  <c r="V166" i="20" s="1"/>
  <c r="M166" i="20"/>
  <c r="N165" i="20"/>
  <c r="O165" i="20" s="1"/>
  <c r="V165" i="20" s="1"/>
  <c r="M165" i="20"/>
  <c r="N164" i="20"/>
  <c r="O164" i="20" s="1"/>
  <c r="V164" i="20" s="1"/>
  <c r="M164" i="20"/>
  <c r="N163" i="20"/>
  <c r="O163" i="20" s="1"/>
  <c r="V163" i="20" s="1"/>
  <c r="M163" i="20"/>
  <c r="N162" i="20"/>
  <c r="O162" i="20" s="1"/>
  <c r="M162" i="20"/>
  <c r="N161" i="20"/>
  <c r="O161" i="20" s="1"/>
  <c r="M161" i="20"/>
  <c r="N160" i="20"/>
  <c r="O160" i="20" s="1"/>
  <c r="M160" i="20"/>
  <c r="N159" i="20"/>
  <c r="O159" i="20" s="1"/>
  <c r="M159" i="20"/>
  <c r="N155" i="20"/>
  <c r="O155" i="20" s="1"/>
  <c r="V155" i="20" s="1"/>
  <c r="M155" i="20"/>
  <c r="N154" i="20"/>
  <c r="O154" i="20" s="1"/>
  <c r="V154" i="20" s="1"/>
  <c r="M154" i="20"/>
  <c r="N153" i="20"/>
  <c r="O153" i="20" s="1"/>
  <c r="V153" i="20" s="1"/>
  <c r="M153" i="20"/>
  <c r="N152" i="20"/>
  <c r="O152" i="20" s="1"/>
  <c r="V152" i="20" s="1"/>
  <c r="M152" i="20"/>
  <c r="N151" i="20"/>
  <c r="O151" i="20" s="1"/>
  <c r="V151" i="20" s="1"/>
  <c r="M151" i="20"/>
  <c r="N150" i="20"/>
  <c r="O150" i="20" s="1"/>
  <c r="V150" i="20" s="1"/>
  <c r="M150" i="20"/>
  <c r="N149" i="20"/>
  <c r="O149" i="20" s="1"/>
  <c r="M149" i="20"/>
  <c r="N148" i="20"/>
  <c r="O148" i="20" s="1"/>
  <c r="M148" i="20"/>
  <c r="N147" i="20"/>
  <c r="O147" i="20" s="1"/>
  <c r="M147" i="20"/>
  <c r="N146" i="20"/>
  <c r="O146" i="20" s="1"/>
  <c r="M146" i="20"/>
  <c r="N145" i="20"/>
  <c r="O145" i="20" s="1"/>
  <c r="M145" i="20"/>
  <c r="N141" i="20"/>
  <c r="O141" i="20" s="1"/>
  <c r="V141" i="20" s="1"/>
  <c r="M141" i="20"/>
  <c r="N140" i="20"/>
  <c r="O140" i="20" s="1"/>
  <c r="V140" i="20" s="1"/>
  <c r="M140" i="20"/>
  <c r="N139" i="20"/>
  <c r="O139" i="20" s="1"/>
  <c r="V139" i="20" s="1"/>
  <c r="M139" i="20"/>
  <c r="N138" i="20"/>
  <c r="O138" i="20" s="1"/>
  <c r="V138" i="20" s="1"/>
  <c r="M138" i="20"/>
  <c r="N137" i="20"/>
  <c r="O137" i="20" s="1"/>
  <c r="V137" i="20" s="1"/>
  <c r="M137" i="20"/>
  <c r="O136" i="20"/>
  <c r="V136" i="20" s="1"/>
  <c r="N136" i="20"/>
  <c r="M136" i="20"/>
  <c r="N135" i="20"/>
  <c r="O135" i="20" s="1"/>
  <c r="M135" i="20"/>
  <c r="N134" i="20"/>
  <c r="O134" i="20" s="1"/>
  <c r="M134" i="20"/>
  <c r="N133" i="20"/>
  <c r="O133" i="20" s="1"/>
  <c r="M133" i="20"/>
  <c r="N132" i="20"/>
  <c r="O132" i="20" s="1"/>
  <c r="M132" i="20"/>
  <c r="N131" i="20"/>
  <c r="O131" i="20" s="1"/>
  <c r="M131" i="20"/>
  <c r="N127" i="20"/>
  <c r="O127" i="20" s="1"/>
  <c r="V127" i="20" s="1"/>
  <c r="M127" i="20"/>
  <c r="N126" i="20"/>
  <c r="O126" i="20" s="1"/>
  <c r="V126" i="20" s="1"/>
  <c r="M126" i="20"/>
  <c r="N125" i="20"/>
  <c r="O125" i="20" s="1"/>
  <c r="V125" i="20" s="1"/>
  <c r="M125" i="20"/>
  <c r="N124" i="20"/>
  <c r="O124" i="20" s="1"/>
  <c r="V124" i="20" s="1"/>
  <c r="M124" i="20"/>
  <c r="N123" i="20"/>
  <c r="O123" i="20" s="1"/>
  <c r="V123" i="20" s="1"/>
  <c r="M123" i="20"/>
  <c r="N122" i="20"/>
  <c r="O122" i="20" s="1"/>
  <c r="V122" i="20" s="1"/>
  <c r="M122" i="20"/>
  <c r="N121" i="20"/>
  <c r="O121" i="20" s="1"/>
  <c r="V121" i="20" s="1"/>
  <c r="M121" i="20"/>
  <c r="N120" i="20"/>
  <c r="O120" i="20" s="1"/>
  <c r="M120" i="20"/>
  <c r="N119" i="20"/>
  <c r="O119" i="20" s="1"/>
  <c r="M119" i="20"/>
  <c r="N118" i="20"/>
  <c r="O118" i="20" s="1"/>
  <c r="M118" i="20"/>
  <c r="N117" i="20"/>
  <c r="O117" i="20" s="1"/>
  <c r="M117" i="20"/>
  <c r="O113" i="20"/>
  <c r="V113" i="20" s="1"/>
  <c r="N113" i="20"/>
  <c r="M113" i="20"/>
  <c r="N112" i="20"/>
  <c r="O112" i="20" s="1"/>
  <c r="V112" i="20" s="1"/>
  <c r="M112" i="20"/>
  <c r="N111" i="20"/>
  <c r="O111" i="20" s="1"/>
  <c r="V111" i="20" s="1"/>
  <c r="M111" i="20"/>
  <c r="N110" i="20"/>
  <c r="O110" i="20" s="1"/>
  <c r="V110" i="20" s="1"/>
  <c r="M110" i="20"/>
  <c r="N109" i="20"/>
  <c r="O109" i="20" s="1"/>
  <c r="V109" i="20" s="1"/>
  <c r="M109" i="20"/>
  <c r="N108" i="20"/>
  <c r="O108" i="20" s="1"/>
  <c r="V108" i="20" s="1"/>
  <c r="M108" i="20"/>
  <c r="N107" i="20"/>
  <c r="O107" i="20" s="1"/>
  <c r="V107" i="20" s="1"/>
  <c r="M107" i="20"/>
  <c r="N106" i="20"/>
  <c r="O106" i="20" s="1"/>
  <c r="M106" i="20"/>
  <c r="N105" i="20"/>
  <c r="O105" i="20" s="1"/>
  <c r="M105" i="20"/>
  <c r="N104" i="20"/>
  <c r="O104" i="20" s="1"/>
  <c r="M104" i="20"/>
  <c r="N103" i="20"/>
  <c r="O103" i="20" s="1"/>
  <c r="M103" i="20"/>
  <c r="N99" i="20"/>
  <c r="O99" i="20" s="1"/>
  <c r="V99" i="20" s="1"/>
  <c r="M99" i="20"/>
  <c r="N98" i="20"/>
  <c r="O98" i="20" s="1"/>
  <c r="V98" i="20" s="1"/>
  <c r="M98" i="20"/>
  <c r="N97" i="20"/>
  <c r="O97" i="20" s="1"/>
  <c r="V97" i="20" s="1"/>
  <c r="M97" i="20"/>
  <c r="N96" i="20"/>
  <c r="O96" i="20" s="1"/>
  <c r="V96" i="20" s="1"/>
  <c r="M96" i="20"/>
  <c r="N95" i="20"/>
  <c r="O95" i="20" s="1"/>
  <c r="V95" i="20" s="1"/>
  <c r="M95" i="20"/>
  <c r="N94" i="20"/>
  <c r="O94" i="20" s="1"/>
  <c r="V94" i="20" s="1"/>
  <c r="M94" i="20"/>
  <c r="N93" i="20"/>
  <c r="O93" i="20" s="1"/>
  <c r="V93" i="20" s="1"/>
  <c r="M93" i="20"/>
  <c r="N92" i="20"/>
  <c r="O92" i="20" s="1"/>
  <c r="M92" i="20"/>
  <c r="N91" i="20"/>
  <c r="O91" i="20" s="1"/>
  <c r="M91" i="20"/>
  <c r="N90" i="20"/>
  <c r="O90" i="20" s="1"/>
  <c r="M90" i="20"/>
  <c r="N89" i="20"/>
  <c r="O89" i="20" s="1"/>
  <c r="M89" i="20"/>
  <c r="N85" i="20"/>
  <c r="O85" i="20" s="1"/>
  <c r="V85" i="20" s="1"/>
  <c r="M85" i="20"/>
  <c r="N84" i="20"/>
  <c r="O84" i="20" s="1"/>
  <c r="V84" i="20" s="1"/>
  <c r="M84" i="20"/>
  <c r="N83" i="20"/>
  <c r="O83" i="20" s="1"/>
  <c r="V83" i="20" s="1"/>
  <c r="M83" i="20"/>
  <c r="N82" i="20"/>
  <c r="O82" i="20" s="1"/>
  <c r="V82" i="20" s="1"/>
  <c r="M82" i="20"/>
  <c r="N81" i="20"/>
  <c r="O81" i="20" s="1"/>
  <c r="V81" i="20" s="1"/>
  <c r="M81" i="20"/>
  <c r="N80" i="20"/>
  <c r="O80" i="20" s="1"/>
  <c r="V80" i="20" s="1"/>
  <c r="M80" i="20"/>
  <c r="N79" i="20"/>
  <c r="O79" i="20" s="1"/>
  <c r="V79" i="20" s="1"/>
  <c r="M79" i="20"/>
  <c r="N78" i="20"/>
  <c r="O78" i="20" s="1"/>
  <c r="M78" i="20"/>
  <c r="N77" i="20"/>
  <c r="O77" i="20" s="1"/>
  <c r="M77" i="20"/>
  <c r="N76" i="20"/>
  <c r="O76" i="20" s="1"/>
  <c r="M76" i="20"/>
  <c r="N75" i="20"/>
  <c r="O75" i="20" s="1"/>
  <c r="M75" i="20"/>
  <c r="N71" i="20"/>
  <c r="O71" i="20" s="1"/>
  <c r="V71" i="20" s="1"/>
  <c r="M71" i="20"/>
  <c r="N70" i="20"/>
  <c r="O70" i="20" s="1"/>
  <c r="V70" i="20" s="1"/>
  <c r="M70" i="20"/>
  <c r="N69" i="20"/>
  <c r="O69" i="20" s="1"/>
  <c r="V69" i="20" s="1"/>
  <c r="M69" i="20"/>
  <c r="N68" i="20"/>
  <c r="O68" i="20" s="1"/>
  <c r="V68" i="20" s="1"/>
  <c r="M68" i="20"/>
  <c r="N67" i="20"/>
  <c r="O67" i="20" s="1"/>
  <c r="V67" i="20" s="1"/>
  <c r="M67" i="20"/>
  <c r="N66" i="20"/>
  <c r="O66" i="20" s="1"/>
  <c r="V66" i="20" s="1"/>
  <c r="M66" i="20"/>
  <c r="N65" i="20"/>
  <c r="O65" i="20" s="1"/>
  <c r="V65" i="20" s="1"/>
  <c r="M65" i="20"/>
  <c r="N64" i="20"/>
  <c r="O64" i="20" s="1"/>
  <c r="M64" i="20"/>
  <c r="N63" i="20"/>
  <c r="O63" i="20" s="1"/>
  <c r="M63" i="20"/>
  <c r="N62" i="20"/>
  <c r="O62" i="20" s="1"/>
  <c r="M62" i="20"/>
  <c r="N61" i="20"/>
  <c r="O61" i="20" s="1"/>
  <c r="M61" i="20"/>
  <c r="N57" i="20"/>
  <c r="O57" i="20" s="1"/>
  <c r="V57" i="20" s="1"/>
  <c r="M57" i="20"/>
  <c r="N56" i="20"/>
  <c r="O56" i="20" s="1"/>
  <c r="V56" i="20" s="1"/>
  <c r="M56" i="20"/>
  <c r="N55" i="20"/>
  <c r="O55" i="20" s="1"/>
  <c r="V55" i="20" s="1"/>
  <c r="M55" i="20"/>
  <c r="N54" i="20"/>
  <c r="O54" i="20" s="1"/>
  <c r="V54" i="20" s="1"/>
  <c r="M54" i="20"/>
  <c r="N53" i="20"/>
  <c r="O53" i="20" s="1"/>
  <c r="V53" i="20" s="1"/>
  <c r="M53" i="20"/>
  <c r="N52" i="20"/>
  <c r="O52" i="20" s="1"/>
  <c r="M52" i="20"/>
  <c r="N51" i="20"/>
  <c r="O51" i="20" s="1"/>
  <c r="M51" i="20"/>
  <c r="N50" i="20"/>
  <c r="O50" i="20" s="1"/>
  <c r="M50" i="20"/>
  <c r="N49" i="20"/>
  <c r="O49" i="20" s="1"/>
  <c r="M49" i="20"/>
  <c r="O48" i="20"/>
  <c r="N48" i="20"/>
  <c r="M48" i="20"/>
  <c r="N47" i="20"/>
  <c r="O47" i="20" s="1"/>
  <c r="M47" i="20"/>
  <c r="N43" i="20"/>
  <c r="O43" i="20" s="1"/>
  <c r="V43" i="20" s="1"/>
  <c r="M43" i="20"/>
  <c r="N42" i="20"/>
  <c r="O42" i="20" s="1"/>
  <c r="V42" i="20" s="1"/>
  <c r="M42" i="20"/>
  <c r="N41" i="20"/>
  <c r="O41" i="20" s="1"/>
  <c r="V41" i="20" s="1"/>
  <c r="M41" i="20"/>
  <c r="N40" i="20"/>
  <c r="O40" i="20" s="1"/>
  <c r="V40" i="20" s="1"/>
  <c r="M40" i="20"/>
  <c r="N39" i="20"/>
  <c r="O39" i="20" s="1"/>
  <c r="M39" i="20"/>
  <c r="N38" i="20"/>
  <c r="O38" i="20" s="1"/>
  <c r="M38" i="20"/>
  <c r="N37" i="20"/>
  <c r="O37" i="20" s="1"/>
  <c r="M37" i="20"/>
  <c r="N36" i="20"/>
  <c r="O36" i="20" s="1"/>
  <c r="M36" i="20"/>
  <c r="N35" i="20"/>
  <c r="O35" i="20" s="1"/>
  <c r="M35" i="20"/>
  <c r="N34" i="20"/>
  <c r="O34" i="20" s="1"/>
  <c r="M34" i="20"/>
  <c r="N33" i="20"/>
  <c r="O33" i="20" s="1"/>
  <c r="M33" i="20"/>
  <c r="N29" i="20"/>
  <c r="O29" i="20" s="1"/>
  <c r="V29" i="20" s="1"/>
  <c r="M29" i="20"/>
  <c r="N28" i="20"/>
  <c r="O28" i="20" s="1"/>
  <c r="M28" i="20"/>
  <c r="N27" i="20"/>
  <c r="O27" i="20" s="1"/>
  <c r="M27" i="20"/>
  <c r="O26" i="20"/>
  <c r="N26" i="20"/>
  <c r="M26" i="20"/>
  <c r="N25" i="20"/>
  <c r="O25" i="20" s="1"/>
  <c r="M25" i="20"/>
  <c r="N24" i="20"/>
  <c r="O24" i="20" s="1"/>
  <c r="M24" i="20"/>
  <c r="N23" i="20"/>
  <c r="O23" i="20" s="1"/>
  <c r="M23" i="20"/>
  <c r="N22" i="20"/>
  <c r="O22" i="20" s="1"/>
  <c r="M22" i="20"/>
  <c r="N21" i="20"/>
  <c r="O21" i="20" s="1"/>
  <c r="M21" i="20"/>
  <c r="N20" i="20"/>
  <c r="O20" i="20" s="1"/>
  <c r="M20" i="20"/>
  <c r="N19" i="20"/>
  <c r="O19" i="20" s="1"/>
  <c r="M19" i="20"/>
  <c r="N15" i="20"/>
  <c r="O15" i="20" s="1"/>
  <c r="M15" i="20"/>
  <c r="N14" i="20"/>
  <c r="O14" i="20" s="1"/>
  <c r="M14" i="20"/>
  <c r="N13" i="20"/>
  <c r="O13" i="20" s="1"/>
  <c r="M13" i="20"/>
  <c r="N12" i="20"/>
  <c r="O12" i="20" s="1"/>
  <c r="M12" i="20"/>
  <c r="N11" i="20"/>
  <c r="O11" i="20" s="1"/>
  <c r="M11" i="20"/>
  <c r="N10" i="20"/>
  <c r="O10" i="20" s="1"/>
  <c r="M10" i="20"/>
  <c r="N9" i="20"/>
  <c r="O9" i="20" s="1"/>
  <c r="M9" i="20"/>
  <c r="N8" i="20"/>
  <c r="O8" i="20" s="1"/>
  <c r="M8" i="20"/>
  <c r="N7" i="20"/>
  <c r="O7" i="20" s="1"/>
  <c r="M7" i="20"/>
  <c r="N6" i="20"/>
  <c r="O6" i="20" s="1"/>
  <c r="M6" i="20"/>
  <c r="N5" i="20"/>
  <c r="O5" i="20" s="1"/>
  <c r="M5" i="20"/>
  <c r="Z4" i="20"/>
  <c r="Z3" i="20"/>
  <c r="N169" i="19"/>
  <c r="O169" i="19" s="1"/>
  <c r="V169" i="19" s="1"/>
  <c r="M169" i="19"/>
  <c r="N168" i="19"/>
  <c r="O168" i="19" s="1"/>
  <c r="V168" i="19" s="1"/>
  <c r="M168" i="19"/>
  <c r="N167" i="19"/>
  <c r="O167" i="19" s="1"/>
  <c r="V167" i="19" s="1"/>
  <c r="M167" i="19"/>
  <c r="N166" i="19"/>
  <c r="O166" i="19" s="1"/>
  <c r="V166" i="19" s="1"/>
  <c r="M166" i="19"/>
  <c r="N165" i="19"/>
  <c r="O165" i="19" s="1"/>
  <c r="V165" i="19" s="1"/>
  <c r="M165" i="19"/>
  <c r="N164" i="19"/>
  <c r="O164" i="19" s="1"/>
  <c r="V164" i="19" s="1"/>
  <c r="M164" i="19"/>
  <c r="N163" i="19"/>
  <c r="O163" i="19" s="1"/>
  <c r="V163" i="19" s="1"/>
  <c r="M163" i="19"/>
  <c r="N162" i="19"/>
  <c r="O162" i="19" s="1"/>
  <c r="M162" i="19"/>
  <c r="N161" i="19"/>
  <c r="O161" i="19" s="1"/>
  <c r="M161" i="19"/>
  <c r="N160" i="19"/>
  <c r="O160" i="19" s="1"/>
  <c r="M160" i="19"/>
  <c r="N159" i="19"/>
  <c r="O159" i="19" s="1"/>
  <c r="M159" i="19"/>
  <c r="N155" i="19"/>
  <c r="O155" i="19" s="1"/>
  <c r="V155" i="19" s="1"/>
  <c r="M155" i="19"/>
  <c r="N154" i="19"/>
  <c r="O154" i="19" s="1"/>
  <c r="V154" i="19" s="1"/>
  <c r="M154" i="19"/>
  <c r="N153" i="19"/>
  <c r="O153" i="19" s="1"/>
  <c r="V153" i="19" s="1"/>
  <c r="M153" i="19"/>
  <c r="N152" i="19"/>
  <c r="O152" i="19" s="1"/>
  <c r="V152" i="19" s="1"/>
  <c r="M152" i="19"/>
  <c r="O151" i="19"/>
  <c r="V151" i="19" s="1"/>
  <c r="N151" i="19"/>
  <c r="M151" i="19"/>
  <c r="N150" i="19"/>
  <c r="O150" i="19" s="1"/>
  <c r="V150" i="19" s="1"/>
  <c r="M150" i="19"/>
  <c r="N149" i="19"/>
  <c r="O149" i="19" s="1"/>
  <c r="M149" i="19"/>
  <c r="N148" i="19"/>
  <c r="O148" i="19" s="1"/>
  <c r="M148" i="19"/>
  <c r="N147" i="19"/>
  <c r="O147" i="19" s="1"/>
  <c r="M147" i="19"/>
  <c r="N146" i="19"/>
  <c r="O146" i="19" s="1"/>
  <c r="M146" i="19"/>
  <c r="N145" i="19"/>
  <c r="O145" i="19" s="1"/>
  <c r="M145" i="19"/>
  <c r="N141" i="19"/>
  <c r="O141" i="19" s="1"/>
  <c r="V141" i="19" s="1"/>
  <c r="M141" i="19"/>
  <c r="N140" i="19"/>
  <c r="O140" i="19" s="1"/>
  <c r="V140" i="19" s="1"/>
  <c r="M140" i="19"/>
  <c r="N139" i="19"/>
  <c r="O139" i="19" s="1"/>
  <c r="V139" i="19" s="1"/>
  <c r="M139" i="19"/>
  <c r="N138" i="19"/>
  <c r="O138" i="19" s="1"/>
  <c r="V138" i="19" s="1"/>
  <c r="M138" i="19"/>
  <c r="N137" i="19"/>
  <c r="O137" i="19" s="1"/>
  <c r="V137" i="19" s="1"/>
  <c r="M137" i="19"/>
  <c r="N136" i="19"/>
  <c r="O136" i="19" s="1"/>
  <c r="V136" i="19" s="1"/>
  <c r="M136" i="19"/>
  <c r="N135" i="19"/>
  <c r="O135" i="19" s="1"/>
  <c r="M135" i="19"/>
  <c r="N134" i="19"/>
  <c r="O134" i="19" s="1"/>
  <c r="M134" i="19"/>
  <c r="N133" i="19"/>
  <c r="O133" i="19" s="1"/>
  <c r="M133" i="19"/>
  <c r="O132" i="19"/>
  <c r="N132" i="19"/>
  <c r="M132" i="19"/>
  <c r="N131" i="19"/>
  <c r="O131" i="19" s="1"/>
  <c r="M131" i="19"/>
  <c r="N127" i="19"/>
  <c r="O127" i="19" s="1"/>
  <c r="V127" i="19" s="1"/>
  <c r="M127" i="19"/>
  <c r="N126" i="19"/>
  <c r="O126" i="19" s="1"/>
  <c r="V126" i="19" s="1"/>
  <c r="M126" i="19"/>
  <c r="N125" i="19"/>
  <c r="O125" i="19" s="1"/>
  <c r="V125" i="19" s="1"/>
  <c r="M125" i="19"/>
  <c r="N124" i="19"/>
  <c r="O124" i="19" s="1"/>
  <c r="V124" i="19" s="1"/>
  <c r="M124" i="19"/>
  <c r="N123" i="19"/>
  <c r="O123" i="19" s="1"/>
  <c r="V123" i="19" s="1"/>
  <c r="M123" i="19"/>
  <c r="N122" i="19"/>
  <c r="O122" i="19" s="1"/>
  <c r="V122" i="19" s="1"/>
  <c r="M122" i="19"/>
  <c r="N121" i="19"/>
  <c r="O121" i="19" s="1"/>
  <c r="V121" i="19" s="1"/>
  <c r="M121" i="19"/>
  <c r="N120" i="19"/>
  <c r="O120" i="19" s="1"/>
  <c r="V120" i="19" s="1"/>
  <c r="M120" i="19"/>
  <c r="N119" i="19"/>
  <c r="O119" i="19" s="1"/>
  <c r="M119" i="19"/>
  <c r="N118" i="19"/>
  <c r="O118" i="19" s="1"/>
  <c r="M118" i="19"/>
  <c r="N117" i="19"/>
  <c r="O117" i="19" s="1"/>
  <c r="M117" i="19"/>
  <c r="N113" i="19"/>
  <c r="O113" i="19" s="1"/>
  <c r="V113" i="19" s="1"/>
  <c r="M113" i="19"/>
  <c r="N112" i="19"/>
  <c r="O112" i="19" s="1"/>
  <c r="V112" i="19" s="1"/>
  <c r="M112" i="19"/>
  <c r="N111" i="19"/>
  <c r="O111" i="19" s="1"/>
  <c r="V111" i="19" s="1"/>
  <c r="M111" i="19"/>
  <c r="N110" i="19"/>
  <c r="O110" i="19" s="1"/>
  <c r="V110" i="19" s="1"/>
  <c r="M110" i="19"/>
  <c r="N109" i="19"/>
  <c r="O109" i="19" s="1"/>
  <c r="V109" i="19" s="1"/>
  <c r="M109" i="19"/>
  <c r="N108" i="19"/>
  <c r="O108" i="19" s="1"/>
  <c r="V108" i="19" s="1"/>
  <c r="M108" i="19"/>
  <c r="N107" i="19"/>
  <c r="O107" i="19" s="1"/>
  <c r="V107" i="19" s="1"/>
  <c r="M107" i="19"/>
  <c r="N106" i="19"/>
  <c r="O106" i="19" s="1"/>
  <c r="V106" i="19" s="1"/>
  <c r="M106" i="19"/>
  <c r="N105" i="19"/>
  <c r="O105" i="19" s="1"/>
  <c r="M105" i="19"/>
  <c r="N104" i="19"/>
  <c r="O104" i="19" s="1"/>
  <c r="M104" i="19"/>
  <c r="N103" i="19"/>
  <c r="O103" i="19" s="1"/>
  <c r="M103" i="19"/>
  <c r="N99" i="19"/>
  <c r="O99" i="19" s="1"/>
  <c r="V99" i="19" s="1"/>
  <c r="M99" i="19"/>
  <c r="N98" i="19"/>
  <c r="O98" i="19" s="1"/>
  <c r="V98" i="19" s="1"/>
  <c r="M98" i="19"/>
  <c r="N97" i="19"/>
  <c r="O97" i="19" s="1"/>
  <c r="V97" i="19" s="1"/>
  <c r="M97" i="19"/>
  <c r="N96" i="19"/>
  <c r="O96" i="19" s="1"/>
  <c r="V96" i="19" s="1"/>
  <c r="M96" i="19"/>
  <c r="N95" i="19"/>
  <c r="O95" i="19" s="1"/>
  <c r="V95" i="19" s="1"/>
  <c r="M95" i="19"/>
  <c r="N94" i="19"/>
  <c r="O94" i="19" s="1"/>
  <c r="V94" i="19" s="1"/>
  <c r="M94" i="19"/>
  <c r="N93" i="19"/>
  <c r="O93" i="19" s="1"/>
  <c r="V93" i="19" s="1"/>
  <c r="M93" i="19"/>
  <c r="N92" i="19"/>
  <c r="O92" i="19" s="1"/>
  <c r="V92" i="19" s="1"/>
  <c r="M92" i="19"/>
  <c r="N91" i="19"/>
  <c r="O91" i="19" s="1"/>
  <c r="M91" i="19"/>
  <c r="N90" i="19"/>
  <c r="O90" i="19" s="1"/>
  <c r="M90" i="19"/>
  <c r="N89" i="19"/>
  <c r="O89" i="19" s="1"/>
  <c r="M89" i="19"/>
  <c r="N85" i="19"/>
  <c r="O85" i="19" s="1"/>
  <c r="V85" i="19" s="1"/>
  <c r="M85" i="19"/>
  <c r="N84" i="19"/>
  <c r="O84" i="19" s="1"/>
  <c r="V84" i="19" s="1"/>
  <c r="M84" i="19"/>
  <c r="N83" i="19"/>
  <c r="O83" i="19" s="1"/>
  <c r="V83" i="19" s="1"/>
  <c r="M83" i="19"/>
  <c r="N82" i="19"/>
  <c r="O82" i="19" s="1"/>
  <c r="V82" i="19" s="1"/>
  <c r="M82" i="19"/>
  <c r="N81" i="19"/>
  <c r="O81" i="19" s="1"/>
  <c r="V81" i="19" s="1"/>
  <c r="M81" i="19"/>
  <c r="N80" i="19"/>
  <c r="O80" i="19" s="1"/>
  <c r="V80" i="19" s="1"/>
  <c r="M80" i="19"/>
  <c r="N79" i="19"/>
  <c r="O79" i="19" s="1"/>
  <c r="V79" i="19" s="1"/>
  <c r="M79" i="19"/>
  <c r="N78" i="19"/>
  <c r="O78" i="19" s="1"/>
  <c r="V78" i="19" s="1"/>
  <c r="M78" i="19"/>
  <c r="N77" i="19"/>
  <c r="O77" i="19" s="1"/>
  <c r="M77" i="19"/>
  <c r="N76" i="19"/>
  <c r="O76" i="19" s="1"/>
  <c r="M76" i="19"/>
  <c r="N75" i="19"/>
  <c r="O75" i="19" s="1"/>
  <c r="M75" i="19"/>
  <c r="N71" i="19"/>
  <c r="O71" i="19" s="1"/>
  <c r="V71" i="19" s="1"/>
  <c r="M71" i="19"/>
  <c r="N70" i="19"/>
  <c r="O70" i="19" s="1"/>
  <c r="V70" i="19" s="1"/>
  <c r="M70" i="19"/>
  <c r="N69" i="19"/>
  <c r="O69" i="19" s="1"/>
  <c r="V69" i="19" s="1"/>
  <c r="M69" i="19"/>
  <c r="N68" i="19"/>
  <c r="O68" i="19" s="1"/>
  <c r="V68" i="19" s="1"/>
  <c r="M68" i="19"/>
  <c r="N67" i="19"/>
  <c r="O67" i="19" s="1"/>
  <c r="V67" i="19" s="1"/>
  <c r="M67" i="19"/>
  <c r="N66" i="19"/>
  <c r="O66" i="19" s="1"/>
  <c r="V66" i="19" s="1"/>
  <c r="M66" i="19"/>
  <c r="N65" i="19"/>
  <c r="O65" i="19" s="1"/>
  <c r="V65" i="19" s="1"/>
  <c r="M65" i="19"/>
  <c r="N64" i="19"/>
  <c r="O64" i="19" s="1"/>
  <c r="M64" i="19"/>
  <c r="O63" i="19"/>
  <c r="N63" i="19"/>
  <c r="M63" i="19"/>
  <c r="N62" i="19"/>
  <c r="O62" i="19" s="1"/>
  <c r="M62" i="19"/>
  <c r="N61" i="19"/>
  <c r="O61" i="19" s="1"/>
  <c r="M61" i="19"/>
  <c r="N57" i="19"/>
  <c r="O57" i="19" s="1"/>
  <c r="V57" i="19" s="1"/>
  <c r="M57" i="19"/>
  <c r="N56" i="19"/>
  <c r="O56" i="19" s="1"/>
  <c r="V56" i="19" s="1"/>
  <c r="M56" i="19"/>
  <c r="N55" i="19"/>
  <c r="O55" i="19" s="1"/>
  <c r="V55" i="19" s="1"/>
  <c r="M55" i="19"/>
  <c r="N54" i="19"/>
  <c r="O54" i="19" s="1"/>
  <c r="V54" i="19" s="1"/>
  <c r="M54" i="19"/>
  <c r="N53" i="19"/>
  <c r="O53" i="19" s="1"/>
  <c r="V53" i="19" s="1"/>
  <c r="M53" i="19"/>
  <c r="N52" i="19"/>
  <c r="O52" i="19" s="1"/>
  <c r="V52" i="19" s="1"/>
  <c r="M52" i="19"/>
  <c r="N51" i="19"/>
  <c r="O51" i="19" s="1"/>
  <c r="V51" i="19" s="1"/>
  <c r="M51" i="19"/>
  <c r="N50" i="19"/>
  <c r="O50" i="19" s="1"/>
  <c r="M50" i="19"/>
  <c r="N49" i="19"/>
  <c r="O49" i="19" s="1"/>
  <c r="M49" i="19"/>
  <c r="N48" i="19"/>
  <c r="O48" i="19" s="1"/>
  <c r="M48" i="19"/>
  <c r="N47" i="19"/>
  <c r="O47" i="19" s="1"/>
  <c r="M47" i="19"/>
  <c r="N43" i="19"/>
  <c r="O43" i="19" s="1"/>
  <c r="V43" i="19" s="1"/>
  <c r="M43" i="19"/>
  <c r="N42" i="19"/>
  <c r="O42" i="19" s="1"/>
  <c r="V42" i="19" s="1"/>
  <c r="M42" i="19"/>
  <c r="N41" i="19"/>
  <c r="O41" i="19" s="1"/>
  <c r="V41" i="19" s="1"/>
  <c r="M41" i="19"/>
  <c r="N40" i="19"/>
  <c r="O40" i="19" s="1"/>
  <c r="V40" i="19" s="1"/>
  <c r="M40" i="19"/>
  <c r="N39" i="19"/>
  <c r="O39" i="19" s="1"/>
  <c r="V39" i="19" s="1"/>
  <c r="M39" i="19"/>
  <c r="N38" i="19"/>
  <c r="O38" i="19" s="1"/>
  <c r="V38" i="19" s="1"/>
  <c r="M38" i="19"/>
  <c r="N37" i="19"/>
  <c r="O37" i="19" s="1"/>
  <c r="M37" i="19"/>
  <c r="N36" i="19"/>
  <c r="O36" i="19" s="1"/>
  <c r="M36" i="19"/>
  <c r="N35" i="19"/>
  <c r="O35" i="19" s="1"/>
  <c r="M35" i="19"/>
  <c r="N34" i="19"/>
  <c r="O34" i="19" s="1"/>
  <c r="M34" i="19"/>
  <c r="N33" i="19"/>
  <c r="O33" i="19" s="1"/>
  <c r="M33" i="19"/>
  <c r="N29" i="19"/>
  <c r="O29" i="19" s="1"/>
  <c r="V29" i="19" s="1"/>
  <c r="M29" i="19"/>
  <c r="N28" i="19"/>
  <c r="O28" i="19" s="1"/>
  <c r="M28" i="19"/>
  <c r="N27" i="19"/>
  <c r="O27" i="19" s="1"/>
  <c r="M27" i="19"/>
  <c r="N26" i="19"/>
  <c r="O26" i="19" s="1"/>
  <c r="M26" i="19"/>
  <c r="N25" i="19"/>
  <c r="O25" i="19" s="1"/>
  <c r="M25" i="19"/>
  <c r="N24" i="19"/>
  <c r="O24" i="19" s="1"/>
  <c r="M24" i="19"/>
  <c r="N23" i="19"/>
  <c r="O23" i="19" s="1"/>
  <c r="M23" i="19"/>
  <c r="O22" i="19"/>
  <c r="N22" i="19"/>
  <c r="M22" i="19"/>
  <c r="N21" i="19"/>
  <c r="O21" i="19" s="1"/>
  <c r="M21" i="19"/>
  <c r="N20" i="19"/>
  <c r="O20" i="19" s="1"/>
  <c r="M20" i="19"/>
  <c r="N19" i="19"/>
  <c r="O19" i="19" s="1"/>
  <c r="M19" i="19"/>
  <c r="N15" i="19"/>
  <c r="O15" i="19" s="1"/>
  <c r="M15" i="19"/>
  <c r="N14" i="19"/>
  <c r="O14" i="19" s="1"/>
  <c r="M14" i="19"/>
  <c r="N13" i="19"/>
  <c r="O13" i="19" s="1"/>
  <c r="M13" i="19"/>
  <c r="N12" i="19"/>
  <c r="O12" i="19" s="1"/>
  <c r="M12" i="19"/>
  <c r="N11" i="19"/>
  <c r="O11" i="19" s="1"/>
  <c r="M11" i="19"/>
  <c r="N10" i="19"/>
  <c r="O10" i="19" s="1"/>
  <c r="M10" i="19"/>
  <c r="N9" i="19"/>
  <c r="O9" i="19" s="1"/>
  <c r="M9" i="19"/>
  <c r="N8" i="19"/>
  <c r="O8" i="19" s="1"/>
  <c r="M8" i="19"/>
  <c r="N7" i="19"/>
  <c r="O7" i="19" s="1"/>
  <c r="M7" i="19"/>
  <c r="N6" i="19"/>
  <c r="O6" i="19" s="1"/>
  <c r="M6" i="19"/>
  <c r="N5" i="19"/>
  <c r="O5" i="19" s="1"/>
  <c r="M5" i="19"/>
  <c r="Z4" i="19"/>
  <c r="Z3" i="19"/>
  <c r="N169" i="18"/>
  <c r="O169" i="18" s="1"/>
  <c r="V169" i="18" s="1"/>
  <c r="M169" i="18"/>
  <c r="N168" i="18"/>
  <c r="O168" i="18" s="1"/>
  <c r="V168" i="18" s="1"/>
  <c r="M168" i="18"/>
  <c r="N167" i="18"/>
  <c r="O167" i="18" s="1"/>
  <c r="V167" i="18" s="1"/>
  <c r="M167" i="18"/>
  <c r="N166" i="18"/>
  <c r="O166" i="18" s="1"/>
  <c r="V166" i="18" s="1"/>
  <c r="M166" i="18"/>
  <c r="N165" i="18"/>
  <c r="O165" i="18" s="1"/>
  <c r="V165" i="18" s="1"/>
  <c r="M165" i="18"/>
  <c r="N164" i="18"/>
  <c r="O164" i="18" s="1"/>
  <c r="V164" i="18" s="1"/>
  <c r="M164" i="18"/>
  <c r="N163" i="18"/>
  <c r="O163" i="18" s="1"/>
  <c r="V163" i="18" s="1"/>
  <c r="M163" i="18"/>
  <c r="N162" i="18"/>
  <c r="O162" i="18" s="1"/>
  <c r="M162" i="18"/>
  <c r="N161" i="18"/>
  <c r="O161" i="18" s="1"/>
  <c r="M161" i="18"/>
  <c r="N160" i="18"/>
  <c r="O160" i="18" s="1"/>
  <c r="M160" i="18"/>
  <c r="N159" i="18"/>
  <c r="O159" i="18" s="1"/>
  <c r="M159" i="18"/>
  <c r="N155" i="18"/>
  <c r="O155" i="18" s="1"/>
  <c r="V155" i="18" s="1"/>
  <c r="M155" i="18"/>
  <c r="O154" i="18"/>
  <c r="V154" i="18" s="1"/>
  <c r="N154" i="18"/>
  <c r="M154" i="18"/>
  <c r="N153" i="18"/>
  <c r="O153" i="18" s="1"/>
  <c r="V153" i="18" s="1"/>
  <c r="M153" i="18"/>
  <c r="N152" i="18"/>
  <c r="O152" i="18" s="1"/>
  <c r="V152" i="18" s="1"/>
  <c r="M152" i="18"/>
  <c r="N151" i="18"/>
  <c r="O151" i="18" s="1"/>
  <c r="V151" i="18" s="1"/>
  <c r="M151" i="18"/>
  <c r="N150" i="18"/>
  <c r="O150" i="18" s="1"/>
  <c r="V150" i="18" s="1"/>
  <c r="M150" i="18"/>
  <c r="N149" i="18"/>
  <c r="O149" i="18" s="1"/>
  <c r="V149" i="18" s="1"/>
  <c r="M149" i="18"/>
  <c r="N148" i="18"/>
  <c r="O148" i="18" s="1"/>
  <c r="M148" i="18"/>
  <c r="N147" i="18"/>
  <c r="O147" i="18" s="1"/>
  <c r="M147" i="18"/>
  <c r="N146" i="18"/>
  <c r="O146" i="18" s="1"/>
  <c r="M146" i="18"/>
  <c r="N145" i="18"/>
  <c r="O145" i="18" s="1"/>
  <c r="M145" i="18"/>
  <c r="N141" i="18"/>
  <c r="O141" i="18" s="1"/>
  <c r="V141" i="18" s="1"/>
  <c r="M141" i="18"/>
  <c r="N140" i="18"/>
  <c r="O140" i="18" s="1"/>
  <c r="V140" i="18" s="1"/>
  <c r="M140" i="18"/>
  <c r="N139" i="18"/>
  <c r="O139" i="18" s="1"/>
  <c r="V139" i="18" s="1"/>
  <c r="M139" i="18"/>
  <c r="N138" i="18"/>
  <c r="O138" i="18" s="1"/>
  <c r="V138" i="18" s="1"/>
  <c r="M138" i="18"/>
  <c r="N137" i="18"/>
  <c r="O137" i="18" s="1"/>
  <c r="V137" i="18" s="1"/>
  <c r="M137" i="18"/>
  <c r="N136" i="18"/>
  <c r="O136" i="18" s="1"/>
  <c r="V136" i="18" s="1"/>
  <c r="M136" i="18"/>
  <c r="N135" i="18"/>
  <c r="O135" i="18" s="1"/>
  <c r="V135" i="18" s="1"/>
  <c r="M135" i="18"/>
  <c r="N134" i="18"/>
  <c r="O134" i="18" s="1"/>
  <c r="M134" i="18"/>
  <c r="N133" i="18"/>
  <c r="O133" i="18" s="1"/>
  <c r="M133" i="18"/>
  <c r="N132" i="18"/>
  <c r="O132" i="18" s="1"/>
  <c r="M132" i="18"/>
  <c r="N131" i="18"/>
  <c r="O131" i="18" s="1"/>
  <c r="M131" i="18"/>
  <c r="N127" i="18"/>
  <c r="O127" i="18" s="1"/>
  <c r="V127" i="18" s="1"/>
  <c r="M127" i="18"/>
  <c r="N126" i="18"/>
  <c r="O126" i="18" s="1"/>
  <c r="V126" i="18" s="1"/>
  <c r="M126" i="18"/>
  <c r="N125" i="18"/>
  <c r="O125" i="18" s="1"/>
  <c r="V125" i="18" s="1"/>
  <c r="M125" i="18"/>
  <c r="N124" i="18"/>
  <c r="O124" i="18" s="1"/>
  <c r="V124" i="18" s="1"/>
  <c r="M124" i="18"/>
  <c r="N123" i="18"/>
  <c r="O123" i="18" s="1"/>
  <c r="V123" i="18" s="1"/>
  <c r="M123" i="18"/>
  <c r="N122" i="18"/>
  <c r="O122" i="18" s="1"/>
  <c r="V122" i="18" s="1"/>
  <c r="M122" i="18"/>
  <c r="N121" i="18"/>
  <c r="O121" i="18" s="1"/>
  <c r="V121" i="18" s="1"/>
  <c r="M121" i="18"/>
  <c r="N120" i="18"/>
  <c r="O120" i="18" s="1"/>
  <c r="V120" i="18" s="1"/>
  <c r="M120" i="18"/>
  <c r="N119" i="18"/>
  <c r="O119" i="18" s="1"/>
  <c r="M119" i="18"/>
  <c r="N118" i="18"/>
  <c r="O118" i="18" s="1"/>
  <c r="M118" i="18"/>
  <c r="N117" i="18"/>
  <c r="O117" i="18" s="1"/>
  <c r="M117" i="18"/>
  <c r="N113" i="18"/>
  <c r="O113" i="18" s="1"/>
  <c r="V113" i="18" s="1"/>
  <c r="M113" i="18"/>
  <c r="N112" i="18"/>
  <c r="O112" i="18" s="1"/>
  <c r="V112" i="18" s="1"/>
  <c r="M112" i="18"/>
  <c r="N111" i="18"/>
  <c r="O111" i="18" s="1"/>
  <c r="V111" i="18" s="1"/>
  <c r="M111" i="18"/>
  <c r="N110" i="18"/>
  <c r="O110" i="18" s="1"/>
  <c r="V110" i="18" s="1"/>
  <c r="M110" i="18"/>
  <c r="N109" i="18"/>
  <c r="O109" i="18" s="1"/>
  <c r="V109" i="18" s="1"/>
  <c r="M109" i="18"/>
  <c r="N108" i="18"/>
  <c r="O108" i="18" s="1"/>
  <c r="V108" i="18" s="1"/>
  <c r="M108" i="18"/>
  <c r="N107" i="18"/>
  <c r="O107" i="18" s="1"/>
  <c r="V107" i="18" s="1"/>
  <c r="M107" i="18"/>
  <c r="N106" i="18"/>
  <c r="O106" i="18" s="1"/>
  <c r="V106" i="18" s="1"/>
  <c r="M106" i="18"/>
  <c r="N105" i="18"/>
  <c r="O105" i="18" s="1"/>
  <c r="M105" i="18"/>
  <c r="N104" i="18"/>
  <c r="O104" i="18" s="1"/>
  <c r="M104" i="18"/>
  <c r="N103" i="18"/>
  <c r="O103" i="18" s="1"/>
  <c r="M103" i="18"/>
  <c r="N99" i="18"/>
  <c r="O99" i="18" s="1"/>
  <c r="V99" i="18" s="1"/>
  <c r="M99" i="18"/>
  <c r="N98" i="18"/>
  <c r="O98" i="18" s="1"/>
  <c r="V98" i="18" s="1"/>
  <c r="M98" i="18"/>
  <c r="N97" i="18"/>
  <c r="O97" i="18" s="1"/>
  <c r="V97" i="18" s="1"/>
  <c r="M97" i="18"/>
  <c r="N96" i="18"/>
  <c r="O96" i="18" s="1"/>
  <c r="V96" i="18" s="1"/>
  <c r="M96" i="18"/>
  <c r="N95" i="18"/>
  <c r="O95" i="18" s="1"/>
  <c r="V95" i="18" s="1"/>
  <c r="M95" i="18"/>
  <c r="N94" i="18"/>
  <c r="O94" i="18" s="1"/>
  <c r="V94" i="18" s="1"/>
  <c r="M94" i="18"/>
  <c r="O93" i="18"/>
  <c r="V93" i="18" s="1"/>
  <c r="N93" i="18"/>
  <c r="M93" i="18"/>
  <c r="N92" i="18"/>
  <c r="O92" i="18" s="1"/>
  <c r="V92" i="18" s="1"/>
  <c r="M92" i="18"/>
  <c r="N91" i="18"/>
  <c r="O91" i="18" s="1"/>
  <c r="M91" i="18"/>
  <c r="N90" i="18"/>
  <c r="O90" i="18" s="1"/>
  <c r="M90" i="18"/>
  <c r="N89" i="18"/>
  <c r="O89" i="18" s="1"/>
  <c r="M89" i="18"/>
  <c r="N85" i="18"/>
  <c r="O85" i="18" s="1"/>
  <c r="V85" i="18" s="1"/>
  <c r="M85" i="18"/>
  <c r="N84" i="18"/>
  <c r="O84" i="18" s="1"/>
  <c r="V84" i="18" s="1"/>
  <c r="M84" i="18"/>
  <c r="N83" i="18"/>
  <c r="O83" i="18" s="1"/>
  <c r="V83" i="18" s="1"/>
  <c r="M83" i="18"/>
  <c r="N82" i="18"/>
  <c r="O82" i="18" s="1"/>
  <c r="V82" i="18" s="1"/>
  <c r="M82" i="18"/>
  <c r="N81" i="18"/>
  <c r="O81" i="18" s="1"/>
  <c r="V81" i="18" s="1"/>
  <c r="M81" i="18"/>
  <c r="N80" i="18"/>
  <c r="O80" i="18" s="1"/>
  <c r="V80" i="18" s="1"/>
  <c r="M80" i="18"/>
  <c r="N79" i="18"/>
  <c r="O79" i="18" s="1"/>
  <c r="V79" i="18" s="1"/>
  <c r="M79" i="18"/>
  <c r="N78" i="18"/>
  <c r="O78" i="18" s="1"/>
  <c r="M78" i="18"/>
  <c r="N77" i="18"/>
  <c r="O77" i="18" s="1"/>
  <c r="M77" i="18"/>
  <c r="N76" i="18"/>
  <c r="O76" i="18" s="1"/>
  <c r="M76" i="18"/>
  <c r="N75" i="18"/>
  <c r="O75" i="18" s="1"/>
  <c r="M75" i="18"/>
  <c r="N71" i="18"/>
  <c r="O71" i="18" s="1"/>
  <c r="V71" i="18" s="1"/>
  <c r="M71" i="18"/>
  <c r="N70" i="18"/>
  <c r="O70" i="18" s="1"/>
  <c r="V70" i="18" s="1"/>
  <c r="M70" i="18"/>
  <c r="N69" i="18"/>
  <c r="O69" i="18" s="1"/>
  <c r="V69" i="18" s="1"/>
  <c r="M69" i="18"/>
  <c r="N68" i="18"/>
  <c r="O68" i="18" s="1"/>
  <c r="V68" i="18" s="1"/>
  <c r="M68" i="18"/>
  <c r="N67" i="18"/>
  <c r="O67" i="18" s="1"/>
  <c r="V67" i="18" s="1"/>
  <c r="M67" i="18"/>
  <c r="N66" i="18"/>
  <c r="O66" i="18" s="1"/>
  <c r="V66" i="18" s="1"/>
  <c r="M66" i="18"/>
  <c r="N65" i="18"/>
  <c r="O65" i="18" s="1"/>
  <c r="V65" i="18" s="1"/>
  <c r="M65" i="18"/>
  <c r="N64" i="18"/>
  <c r="O64" i="18" s="1"/>
  <c r="M64" i="18"/>
  <c r="N63" i="18"/>
  <c r="O63" i="18" s="1"/>
  <c r="M63" i="18"/>
  <c r="N62" i="18"/>
  <c r="O62" i="18" s="1"/>
  <c r="M62" i="18"/>
  <c r="N61" i="18"/>
  <c r="O61" i="18" s="1"/>
  <c r="M61" i="18"/>
  <c r="N57" i="18"/>
  <c r="O57" i="18" s="1"/>
  <c r="V57" i="18" s="1"/>
  <c r="M57" i="18"/>
  <c r="N56" i="18"/>
  <c r="O56" i="18" s="1"/>
  <c r="V56" i="18" s="1"/>
  <c r="M56" i="18"/>
  <c r="N55" i="18"/>
  <c r="O55" i="18" s="1"/>
  <c r="V55" i="18" s="1"/>
  <c r="M55" i="18"/>
  <c r="N54" i="18"/>
  <c r="O54" i="18" s="1"/>
  <c r="V54" i="18" s="1"/>
  <c r="M54" i="18"/>
  <c r="N53" i="18"/>
  <c r="O53" i="18" s="1"/>
  <c r="V53" i="18" s="1"/>
  <c r="M53" i="18"/>
  <c r="N52" i="18"/>
  <c r="O52" i="18" s="1"/>
  <c r="V52" i="18" s="1"/>
  <c r="M52" i="18"/>
  <c r="N51" i="18"/>
  <c r="O51" i="18" s="1"/>
  <c r="V51" i="18" s="1"/>
  <c r="M51" i="18"/>
  <c r="N50" i="18"/>
  <c r="O50" i="18" s="1"/>
  <c r="M50" i="18"/>
  <c r="N49" i="18"/>
  <c r="O49" i="18" s="1"/>
  <c r="M49" i="18"/>
  <c r="N48" i="18"/>
  <c r="O48" i="18" s="1"/>
  <c r="M48" i="18"/>
  <c r="N47" i="18"/>
  <c r="O47" i="18" s="1"/>
  <c r="M47" i="18"/>
  <c r="N43" i="18"/>
  <c r="O43" i="18" s="1"/>
  <c r="V43" i="18" s="1"/>
  <c r="M43" i="18"/>
  <c r="N42" i="18"/>
  <c r="O42" i="18" s="1"/>
  <c r="V42" i="18" s="1"/>
  <c r="M42" i="18"/>
  <c r="N41" i="18"/>
  <c r="O41" i="18" s="1"/>
  <c r="V41" i="18" s="1"/>
  <c r="M41" i="18"/>
  <c r="N40" i="18"/>
  <c r="O40" i="18" s="1"/>
  <c r="V40" i="18" s="1"/>
  <c r="M40" i="18"/>
  <c r="N39" i="18"/>
  <c r="O39" i="18" s="1"/>
  <c r="M39" i="18"/>
  <c r="N38" i="18"/>
  <c r="O38" i="18" s="1"/>
  <c r="M38" i="18"/>
  <c r="N37" i="18"/>
  <c r="O37" i="18" s="1"/>
  <c r="M37" i="18"/>
  <c r="N36" i="18"/>
  <c r="O36" i="18" s="1"/>
  <c r="M36" i="18"/>
  <c r="N35" i="18"/>
  <c r="O35" i="18" s="1"/>
  <c r="M35" i="18"/>
  <c r="N34" i="18"/>
  <c r="O34" i="18" s="1"/>
  <c r="M34" i="18"/>
  <c r="N33" i="18"/>
  <c r="O33" i="18" s="1"/>
  <c r="M33" i="18"/>
  <c r="O29" i="18"/>
  <c r="V29" i="18" s="1"/>
  <c r="N29" i="18"/>
  <c r="M29" i="18"/>
  <c r="N28" i="18"/>
  <c r="O28" i="18" s="1"/>
  <c r="M28" i="18"/>
  <c r="N27" i="18"/>
  <c r="O27" i="18" s="1"/>
  <c r="M27" i="18"/>
  <c r="N26" i="18"/>
  <c r="O26" i="18" s="1"/>
  <c r="M26" i="18"/>
  <c r="N25" i="18"/>
  <c r="O25" i="18" s="1"/>
  <c r="M25" i="18"/>
  <c r="N24" i="18"/>
  <c r="O24" i="18" s="1"/>
  <c r="M24" i="18"/>
  <c r="N23" i="18"/>
  <c r="O23" i="18" s="1"/>
  <c r="M23" i="18"/>
  <c r="N22" i="18"/>
  <c r="O22" i="18" s="1"/>
  <c r="M22" i="18"/>
  <c r="N21" i="18"/>
  <c r="O21" i="18" s="1"/>
  <c r="M21" i="18"/>
  <c r="N20" i="18"/>
  <c r="O20" i="18" s="1"/>
  <c r="M20" i="18"/>
  <c r="N19" i="18"/>
  <c r="O19" i="18" s="1"/>
  <c r="M19" i="18"/>
  <c r="N15" i="18"/>
  <c r="O15" i="18" s="1"/>
  <c r="M15" i="18"/>
  <c r="N14" i="18"/>
  <c r="O14" i="18" s="1"/>
  <c r="M14" i="18"/>
  <c r="N13" i="18"/>
  <c r="O13" i="18" s="1"/>
  <c r="M13" i="18"/>
  <c r="N12" i="18"/>
  <c r="O12" i="18" s="1"/>
  <c r="M12" i="18"/>
  <c r="N11" i="18"/>
  <c r="O11" i="18" s="1"/>
  <c r="M11" i="18"/>
  <c r="N10" i="18"/>
  <c r="O10" i="18" s="1"/>
  <c r="M10" i="18"/>
  <c r="N9" i="18"/>
  <c r="O9" i="18" s="1"/>
  <c r="M9" i="18"/>
  <c r="N8" i="18"/>
  <c r="O8" i="18" s="1"/>
  <c r="M8" i="18"/>
  <c r="N7" i="18"/>
  <c r="O7" i="18" s="1"/>
  <c r="M7" i="18"/>
  <c r="N6" i="18"/>
  <c r="O6" i="18" s="1"/>
  <c r="M6" i="18"/>
  <c r="N5" i="18"/>
  <c r="O5" i="18" s="1"/>
  <c r="M5" i="18"/>
  <c r="Z4" i="18"/>
  <c r="Z3" i="18"/>
  <c r="N169" i="17"/>
  <c r="O169" i="17" s="1"/>
  <c r="V169" i="17" s="1"/>
  <c r="M169" i="17"/>
  <c r="N168" i="17"/>
  <c r="O168" i="17" s="1"/>
  <c r="V168" i="17" s="1"/>
  <c r="M168" i="17"/>
  <c r="N167" i="17"/>
  <c r="O167" i="17" s="1"/>
  <c r="V167" i="17" s="1"/>
  <c r="M167" i="17"/>
  <c r="N166" i="17"/>
  <c r="O166" i="17" s="1"/>
  <c r="V166" i="17" s="1"/>
  <c r="M166" i="17"/>
  <c r="N165" i="17"/>
  <c r="O165" i="17" s="1"/>
  <c r="V165" i="17" s="1"/>
  <c r="M165" i="17"/>
  <c r="N164" i="17"/>
  <c r="O164" i="17" s="1"/>
  <c r="V164" i="17" s="1"/>
  <c r="M164" i="17"/>
  <c r="N163" i="17"/>
  <c r="O163" i="17" s="1"/>
  <c r="V163" i="17" s="1"/>
  <c r="M163" i="17"/>
  <c r="N162" i="17"/>
  <c r="O162" i="17" s="1"/>
  <c r="M162" i="17"/>
  <c r="N161" i="17"/>
  <c r="O161" i="17" s="1"/>
  <c r="M161" i="17"/>
  <c r="N160" i="17"/>
  <c r="O160" i="17" s="1"/>
  <c r="M160" i="17"/>
  <c r="N159" i="17"/>
  <c r="O159" i="17" s="1"/>
  <c r="M159" i="17"/>
  <c r="N155" i="17"/>
  <c r="O155" i="17" s="1"/>
  <c r="V155" i="17" s="1"/>
  <c r="M155" i="17"/>
  <c r="N154" i="17"/>
  <c r="O154" i="17" s="1"/>
  <c r="V154" i="17" s="1"/>
  <c r="M154" i="17"/>
  <c r="N153" i="17"/>
  <c r="O153" i="17" s="1"/>
  <c r="V153" i="17" s="1"/>
  <c r="M153" i="17"/>
  <c r="N152" i="17"/>
  <c r="O152" i="17" s="1"/>
  <c r="V152" i="17" s="1"/>
  <c r="M152" i="17"/>
  <c r="N151" i="17"/>
  <c r="O151" i="17" s="1"/>
  <c r="V151" i="17" s="1"/>
  <c r="M151" i="17"/>
  <c r="N150" i="17"/>
  <c r="O150" i="17" s="1"/>
  <c r="V150" i="17" s="1"/>
  <c r="M150" i="17"/>
  <c r="N149" i="17"/>
  <c r="O149" i="17" s="1"/>
  <c r="V149" i="17" s="1"/>
  <c r="M149" i="17"/>
  <c r="N148" i="17"/>
  <c r="O148" i="17" s="1"/>
  <c r="M148" i="17"/>
  <c r="N147" i="17"/>
  <c r="O147" i="17" s="1"/>
  <c r="M147" i="17"/>
  <c r="N146" i="17"/>
  <c r="O146" i="17" s="1"/>
  <c r="M146" i="17"/>
  <c r="N145" i="17"/>
  <c r="O145" i="17" s="1"/>
  <c r="M145" i="17"/>
  <c r="N141" i="17"/>
  <c r="O141" i="17" s="1"/>
  <c r="V141" i="17" s="1"/>
  <c r="M141" i="17"/>
  <c r="N140" i="17"/>
  <c r="O140" i="17" s="1"/>
  <c r="V140" i="17" s="1"/>
  <c r="M140" i="17"/>
  <c r="N139" i="17"/>
  <c r="O139" i="17" s="1"/>
  <c r="V139" i="17" s="1"/>
  <c r="M139" i="17"/>
  <c r="N138" i="17"/>
  <c r="O138" i="17" s="1"/>
  <c r="V138" i="17" s="1"/>
  <c r="M138" i="17"/>
  <c r="N137" i="17"/>
  <c r="O137" i="17" s="1"/>
  <c r="V137" i="17" s="1"/>
  <c r="M137" i="17"/>
  <c r="N136" i="17"/>
  <c r="O136" i="17" s="1"/>
  <c r="M136" i="17"/>
  <c r="N135" i="17"/>
  <c r="O135" i="17" s="1"/>
  <c r="M135" i="17"/>
  <c r="N134" i="17"/>
  <c r="O134" i="17" s="1"/>
  <c r="M134" i="17"/>
  <c r="N133" i="17"/>
  <c r="O133" i="17" s="1"/>
  <c r="M133" i="17"/>
  <c r="N132" i="17"/>
  <c r="O132" i="17" s="1"/>
  <c r="M132" i="17"/>
  <c r="N131" i="17"/>
  <c r="O131" i="17" s="1"/>
  <c r="M131" i="17"/>
  <c r="N127" i="17"/>
  <c r="O127" i="17" s="1"/>
  <c r="V127" i="17" s="1"/>
  <c r="M127" i="17"/>
  <c r="N126" i="17"/>
  <c r="O126" i="17" s="1"/>
  <c r="V126" i="17" s="1"/>
  <c r="M126" i="17"/>
  <c r="N125" i="17"/>
  <c r="O125" i="17" s="1"/>
  <c r="V125" i="17" s="1"/>
  <c r="M125" i="17"/>
  <c r="N124" i="17"/>
  <c r="O124" i="17" s="1"/>
  <c r="V124" i="17" s="1"/>
  <c r="M124" i="17"/>
  <c r="N123" i="17"/>
  <c r="O123" i="17" s="1"/>
  <c r="V123" i="17" s="1"/>
  <c r="M123" i="17"/>
  <c r="N122" i="17"/>
  <c r="O122" i="17" s="1"/>
  <c r="V122" i="17" s="1"/>
  <c r="M122" i="17"/>
  <c r="N121" i="17"/>
  <c r="O121" i="17" s="1"/>
  <c r="V121" i="17" s="1"/>
  <c r="M121" i="17"/>
  <c r="N120" i="17"/>
  <c r="O120" i="17" s="1"/>
  <c r="M120" i="17"/>
  <c r="N119" i="17"/>
  <c r="O119" i="17" s="1"/>
  <c r="M119" i="17"/>
  <c r="N118" i="17"/>
  <c r="O118" i="17" s="1"/>
  <c r="M118" i="17"/>
  <c r="N117" i="17"/>
  <c r="O117" i="17" s="1"/>
  <c r="M117" i="17"/>
  <c r="N113" i="17"/>
  <c r="O113" i="17" s="1"/>
  <c r="V113" i="17" s="1"/>
  <c r="M113" i="17"/>
  <c r="N112" i="17"/>
  <c r="O112" i="17" s="1"/>
  <c r="V112" i="17" s="1"/>
  <c r="M112" i="17"/>
  <c r="N111" i="17"/>
  <c r="O111" i="17" s="1"/>
  <c r="M111" i="17"/>
  <c r="N110" i="17"/>
  <c r="O110" i="17" s="1"/>
  <c r="M110" i="17"/>
  <c r="N109" i="17"/>
  <c r="O109" i="17" s="1"/>
  <c r="M109" i="17"/>
  <c r="N108" i="17"/>
  <c r="O108" i="17" s="1"/>
  <c r="M108" i="17"/>
  <c r="N107" i="17"/>
  <c r="O107" i="17" s="1"/>
  <c r="M107" i="17"/>
  <c r="N106" i="17"/>
  <c r="O106" i="17" s="1"/>
  <c r="M106" i="17"/>
  <c r="N105" i="17"/>
  <c r="O105" i="17" s="1"/>
  <c r="M105" i="17"/>
  <c r="N104" i="17"/>
  <c r="O104" i="17" s="1"/>
  <c r="M104" i="17"/>
  <c r="N103" i="17"/>
  <c r="O103" i="17" s="1"/>
  <c r="M103" i="17"/>
  <c r="N99" i="17"/>
  <c r="O99" i="17" s="1"/>
  <c r="V99" i="17" s="1"/>
  <c r="M99" i="17"/>
  <c r="N98" i="17"/>
  <c r="O98" i="17" s="1"/>
  <c r="V98" i="17" s="1"/>
  <c r="M98" i="17"/>
  <c r="N97" i="17"/>
  <c r="O97" i="17" s="1"/>
  <c r="M97" i="17"/>
  <c r="N96" i="17"/>
  <c r="O96" i="17" s="1"/>
  <c r="M96" i="17"/>
  <c r="N95" i="17"/>
  <c r="O95" i="17" s="1"/>
  <c r="M95" i="17"/>
  <c r="N94" i="17"/>
  <c r="O94" i="17" s="1"/>
  <c r="M94" i="17"/>
  <c r="N93" i="17"/>
  <c r="O93" i="17" s="1"/>
  <c r="M93" i="17"/>
  <c r="N92" i="17"/>
  <c r="O92" i="17" s="1"/>
  <c r="M92" i="17"/>
  <c r="N91" i="17"/>
  <c r="O91" i="17" s="1"/>
  <c r="M91" i="17"/>
  <c r="N90" i="17"/>
  <c r="O90" i="17" s="1"/>
  <c r="M90" i="17"/>
  <c r="N89" i="17"/>
  <c r="O89" i="17" s="1"/>
  <c r="M89" i="17"/>
  <c r="N85" i="17"/>
  <c r="O85" i="17" s="1"/>
  <c r="V85" i="17" s="1"/>
  <c r="M85" i="17"/>
  <c r="N84" i="17"/>
  <c r="O84" i="17" s="1"/>
  <c r="V84" i="17" s="1"/>
  <c r="M84" i="17"/>
  <c r="N83" i="17"/>
  <c r="O83" i="17" s="1"/>
  <c r="M83" i="17"/>
  <c r="N82" i="17"/>
  <c r="O82" i="17" s="1"/>
  <c r="M82" i="17"/>
  <c r="N81" i="17"/>
  <c r="O81" i="17" s="1"/>
  <c r="M81" i="17"/>
  <c r="N80" i="17"/>
  <c r="O80" i="17" s="1"/>
  <c r="M80" i="17"/>
  <c r="N79" i="17"/>
  <c r="O79" i="17" s="1"/>
  <c r="M79" i="17"/>
  <c r="N78" i="17"/>
  <c r="O78" i="17" s="1"/>
  <c r="M78" i="17"/>
  <c r="N77" i="17"/>
  <c r="O77" i="17" s="1"/>
  <c r="M77" i="17"/>
  <c r="N76" i="17"/>
  <c r="O76" i="17" s="1"/>
  <c r="M76" i="17"/>
  <c r="N75" i="17"/>
  <c r="O75" i="17" s="1"/>
  <c r="M75" i="17"/>
  <c r="N71" i="17"/>
  <c r="O71" i="17" s="1"/>
  <c r="V71" i="17" s="1"/>
  <c r="M71" i="17"/>
  <c r="N70" i="17"/>
  <c r="O70" i="17" s="1"/>
  <c r="V70" i="17" s="1"/>
  <c r="M70" i="17"/>
  <c r="N69" i="17"/>
  <c r="O69" i="17" s="1"/>
  <c r="M69" i="17"/>
  <c r="N68" i="17"/>
  <c r="O68" i="17" s="1"/>
  <c r="M68" i="17"/>
  <c r="N67" i="17"/>
  <c r="O67" i="17" s="1"/>
  <c r="M67" i="17"/>
  <c r="N66" i="17"/>
  <c r="O66" i="17" s="1"/>
  <c r="M66" i="17"/>
  <c r="N65" i="17"/>
  <c r="O65" i="17" s="1"/>
  <c r="M65" i="17"/>
  <c r="N64" i="17"/>
  <c r="O64" i="17" s="1"/>
  <c r="M64" i="17"/>
  <c r="N63" i="17"/>
  <c r="O63" i="17" s="1"/>
  <c r="M63" i="17"/>
  <c r="N62" i="17"/>
  <c r="O62" i="17" s="1"/>
  <c r="M62" i="17"/>
  <c r="N61" i="17"/>
  <c r="O61" i="17" s="1"/>
  <c r="M61" i="17"/>
  <c r="N57" i="17"/>
  <c r="O57" i="17" s="1"/>
  <c r="V57" i="17" s="1"/>
  <c r="M57" i="17"/>
  <c r="O56" i="17"/>
  <c r="V56" i="17" s="1"/>
  <c r="N56" i="17"/>
  <c r="M56" i="17"/>
  <c r="N55" i="17"/>
  <c r="O55" i="17" s="1"/>
  <c r="M55" i="17"/>
  <c r="N54" i="17"/>
  <c r="O54" i="17" s="1"/>
  <c r="M54" i="17"/>
  <c r="N53" i="17"/>
  <c r="O53" i="17" s="1"/>
  <c r="M53" i="17"/>
  <c r="N52" i="17"/>
  <c r="O52" i="17" s="1"/>
  <c r="M52" i="17"/>
  <c r="N51" i="17"/>
  <c r="O51" i="17" s="1"/>
  <c r="M51" i="17"/>
  <c r="N50" i="17"/>
  <c r="O50" i="17" s="1"/>
  <c r="M50" i="17"/>
  <c r="N49" i="17"/>
  <c r="O49" i="17" s="1"/>
  <c r="M49" i="17"/>
  <c r="N48" i="17"/>
  <c r="O48" i="17" s="1"/>
  <c r="M48" i="17"/>
  <c r="N47" i="17"/>
  <c r="O47" i="17" s="1"/>
  <c r="M47" i="17"/>
  <c r="N43" i="17"/>
  <c r="O43" i="17" s="1"/>
  <c r="V43" i="17" s="1"/>
  <c r="M43" i="17"/>
  <c r="N42" i="17"/>
  <c r="O42" i="17" s="1"/>
  <c r="M42" i="17"/>
  <c r="N41" i="17"/>
  <c r="O41" i="17" s="1"/>
  <c r="M41" i="17"/>
  <c r="N40" i="17"/>
  <c r="O40" i="17" s="1"/>
  <c r="M40" i="17"/>
  <c r="N39" i="17"/>
  <c r="O39" i="17" s="1"/>
  <c r="M39" i="17"/>
  <c r="N38" i="17"/>
  <c r="O38" i="17" s="1"/>
  <c r="M38" i="17"/>
  <c r="N37" i="17"/>
  <c r="O37" i="17" s="1"/>
  <c r="M37" i="17"/>
  <c r="N36" i="17"/>
  <c r="O36" i="17" s="1"/>
  <c r="M36" i="17"/>
  <c r="N35" i="17"/>
  <c r="O35" i="17" s="1"/>
  <c r="M35" i="17"/>
  <c r="N34" i="17"/>
  <c r="O34" i="17" s="1"/>
  <c r="M34" i="17"/>
  <c r="N33" i="17"/>
  <c r="O33" i="17" s="1"/>
  <c r="M33" i="17"/>
  <c r="N29" i="17"/>
  <c r="O29" i="17" s="1"/>
  <c r="V29" i="17" s="1"/>
  <c r="M29" i="17"/>
  <c r="N28" i="17"/>
  <c r="O28" i="17" s="1"/>
  <c r="M28" i="17"/>
  <c r="N27" i="17"/>
  <c r="O27" i="17" s="1"/>
  <c r="M27" i="17"/>
  <c r="N26" i="17"/>
  <c r="O26" i="17" s="1"/>
  <c r="M26" i="17"/>
  <c r="N25" i="17"/>
  <c r="O25" i="17" s="1"/>
  <c r="M25" i="17"/>
  <c r="N24" i="17"/>
  <c r="O24" i="17" s="1"/>
  <c r="M24" i="17"/>
  <c r="N23" i="17"/>
  <c r="O23" i="17" s="1"/>
  <c r="M23" i="17"/>
  <c r="N22" i="17"/>
  <c r="O22" i="17" s="1"/>
  <c r="M22" i="17"/>
  <c r="N21" i="17"/>
  <c r="O21" i="17" s="1"/>
  <c r="M21" i="17"/>
  <c r="N20" i="17"/>
  <c r="O20" i="17" s="1"/>
  <c r="M20" i="17"/>
  <c r="N19" i="17"/>
  <c r="O19" i="17" s="1"/>
  <c r="M19" i="17"/>
  <c r="N15" i="17"/>
  <c r="O15" i="17" s="1"/>
  <c r="M15" i="17"/>
  <c r="N14" i="17"/>
  <c r="O14" i="17" s="1"/>
  <c r="M14" i="17"/>
  <c r="N13" i="17"/>
  <c r="O13" i="17" s="1"/>
  <c r="M13" i="17"/>
  <c r="N12" i="17"/>
  <c r="O12" i="17" s="1"/>
  <c r="M12" i="17"/>
  <c r="N11" i="17"/>
  <c r="O11" i="17" s="1"/>
  <c r="M11" i="17"/>
  <c r="N10" i="17"/>
  <c r="O10" i="17" s="1"/>
  <c r="M10" i="17"/>
  <c r="N9" i="17"/>
  <c r="O9" i="17" s="1"/>
  <c r="M9" i="17"/>
  <c r="N8" i="17"/>
  <c r="O8" i="17" s="1"/>
  <c r="M8" i="17"/>
  <c r="N7" i="17"/>
  <c r="O7" i="17" s="1"/>
  <c r="M7" i="17"/>
  <c r="N6" i="17"/>
  <c r="O6" i="17" s="1"/>
  <c r="M6" i="17"/>
  <c r="N5" i="17"/>
  <c r="O5" i="17" s="1"/>
  <c r="M5" i="17"/>
  <c r="Z4" i="17"/>
  <c r="Z3" i="17"/>
  <c r="N169" i="16"/>
  <c r="O169" i="16" s="1"/>
  <c r="V169" i="16" s="1"/>
  <c r="M169" i="16"/>
  <c r="N168" i="16"/>
  <c r="O168" i="16" s="1"/>
  <c r="V168" i="16" s="1"/>
  <c r="M168" i="16"/>
  <c r="N167" i="16"/>
  <c r="O167" i="16" s="1"/>
  <c r="V167" i="16" s="1"/>
  <c r="M167" i="16"/>
  <c r="N166" i="16"/>
  <c r="O166" i="16" s="1"/>
  <c r="V166" i="16" s="1"/>
  <c r="M166" i="16"/>
  <c r="N165" i="16"/>
  <c r="O165" i="16" s="1"/>
  <c r="V165" i="16" s="1"/>
  <c r="M165" i="16"/>
  <c r="N164" i="16"/>
  <c r="O164" i="16" s="1"/>
  <c r="V164" i="16" s="1"/>
  <c r="M164" i="16"/>
  <c r="N163" i="16"/>
  <c r="O163" i="16" s="1"/>
  <c r="M163" i="16"/>
  <c r="N162" i="16"/>
  <c r="O162" i="16" s="1"/>
  <c r="M162" i="16"/>
  <c r="N161" i="16"/>
  <c r="O161" i="16" s="1"/>
  <c r="M161" i="16"/>
  <c r="N160" i="16"/>
  <c r="O160" i="16" s="1"/>
  <c r="M160" i="16"/>
  <c r="N159" i="16"/>
  <c r="O159" i="16" s="1"/>
  <c r="M159" i="16"/>
  <c r="N155" i="16"/>
  <c r="O155" i="16" s="1"/>
  <c r="V155" i="16" s="1"/>
  <c r="M155" i="16"/>
  <c r="N154" i="16"/>
  <c r="O154" i="16" s="1"/>
  <c r="V154" i="16" s="1"/>
  <c r="M154" i="16"/>
  <c r="N153" i="16"/>
  <c r="O153" i="16" s="1"/>
  <c r="V153" i="16" s="1"/>
  <c r="M153" i="16"/>
  <c r="N152" i="16"/>
  <c r="O152" i="16" s="1"/>
  <c r="V152" i="16" s="1"/>
  <c r="M152" i="16"/>
  <c r="N151" i="16"/>
  <c r="O151" i="16" s="1"/>
  <c r="V151" i="16" s="1"/>
  <c r="M151" i="16"/>
  <c r="N150" i="16"/>
  <c r="O150" i="16" s="1"/>
  <c r="V150" i="16" s="1"/>
  <c r="M150" i="16"/>
  <c r="N149" i="16"/>
  <c r="O149" i="16" s="1"/>
  <c r="M149" i="16"/>
  <c r="N148" i="16"/>
  <c r="O148" i="16" s="1"/>
  <c r="M148" i="16"/>
  <c r="N147" i="16"/>
  <c r="O147" i="16" s="1"/>
  <c r="M147" i="16"/>
  <c r="N146" i="16"/>
  <c r="O146" i="16" s="1"/>
  <c r="M146" i="16"/>
  <c r="N145" i="16"/>
  <c r="O145" i="16" s="1"/>
  <c r="M145" i="16"/>
  <c r="N141" i="16"/>
  <c r="O141" i="16" s="1"/>
  <c r="V141" i="16" s="1"/>
  <c r="M141" i="16"/>
  <c r="N140" i="16"/>
  <c r="O140" i="16" s="1"/>
  <c r="V140" i="16" s="1"/>
  <c r="M140" i="16"/>
  <c r="N139" i="16"/>
  <c r="O139" i="16" s="1"/>
  <c r="V139" i="16" s="1"/>
  <c r="M139" i="16"/>
  <c r="N138" i="16"/>
  <c r="O138" i="16" s="1"/>
  <c r="V138" i="16" s="1"/>
  <c r="M138" i="16"/>
  <c r="N137" i="16"/>
  <c r="O137" i="16" s="1"/>
  <c r="V137" i="16" s="1"/>
  <c r="M137" i="16"/>
  <c r="N136" i="16"/>
  <c r="O136" i="16" s="1"/>
  <c r="M136" i="16"/>
  <c r="N135" i="16"/>
  <c r="O135" i="16" s="1"/>
  <c r="M135" i="16"/>
  <c r="O134" i="16"/>
  <c r="N134" i="16"/>
  <c r="M134" i="16"/>
  <c r="N133" i="16"/>
  <c r="O133" i="16" s="1"/>
  <c r="M133" i="16"/>
  <c r="N132" i="16"/>
  <c r="O132" i="16" s="1"/>
  <c r="M132" i="16"/>
  <c r="N131" i="16"/>
  <c r="O131" i="16" s="1"/>
  <c r="M131" i="16"/>
  <c r="N127" i="16"/>
  <c r="O127" i="16" s="1"/>
  <c r="V127" i="16" s="1"/>
  <c r="M127" i="16"/>
  <c r="N126" i="16"/>
  <c r="O126" i="16" s="1"/>
  <c r="V126" i="16" s="1"/>
  <c r="M126" i="16"/>
  <c r="N125" i="16"/>
  <c r="O125" i="16" s="1"/>
  <c r="M125" i="16"/>
  <c r="N124" i="16"/>
  <c r="O124" i="16" s="1"/>
  <c r="M124" i="16"/>
  <c r="N123" i="16"/>
  <c r="O123" i="16" s="1"/>
  <c r="M123" i="16"/>
  <c r="N122" i="16"/>
  <c r="O122" i="16" s="1"/>
  <c r="M122" i="16"/>
  <c r="N121" i="16"/>
  <c r="O121" i="16" s="1"/>
  <c r="M121" i="16"/>
  <c r="N120" i="16"/>
  <c r="O120" i="16" s="1"/>
  <c r="M120" i="16"/>
  <c r="N119" i="16"/>
  <c r="O119" i="16" s="1"/>
  <c r="M119" i="16"/>
  <c r="N118" i="16"/>
  <c r="O118" i="16" s="1"/>
  <c r="M118" i="16"/>
  <c r="N117" i="16"/>
  <c r="O117" i="16" s="1"/>
  <c r="M117" i="16"/>
  <c r="N113" i="16"/>
  <c r="O113" i="16" s="1"/>
  <c r="V113" i="16" s="1"/>
  <c r="M113" i="16"/>
  <c r="N112" i="16"/>
  <c r="O112" i="16" s="1"/>
  <c r="V112" i="16" s="1"/>
  <c r="M112" i="16"/>
  <c r="N111" i="16"/>
  <c r="O111" i="16" s="1"/>
  <c r="M111" i="16"/>
  <c r="N110" i="16"/>
  <c r="O110" i="16" s="1"/>
  <c r="M110" i="16"/>
  <c r="N109" i="16"/>
  <c r="O109" i="16" s="1"/>
  <c r="M109" i="16"/>
  <c r="N108" i="16"/>
  <c r="O108" i="16" s="1"/>
  <c r="M108" i="16"/>
  <c r="N107" i="16"/>
  <c r="O107" i="16" s="1"/>
  <c r="M107" i="16"/>
  <c r="N106" i="16"/>
  <c r="O106" i="16" s="1"/>
  <c r="M106" i="16"/>
  <c r="N105" i="16"/>
  <c r="O105" i="16" s="1"/>
  <c r="M105" i="16"/>
  <c r="N104" i="16"/>
  <c r="O104" i="16" s="1"/>
  <c r="M104" i="16"/>
  <c r="N103" i="16"/>
  <c r="O103" i="16" s="1"/>
  <c r="M103" i="16"/>
  <c r="N99" i="16"/>
  <c r="O99" i="16" s="1"/>
  <c r="V99" i="16" s="1"/>
  <c r="M99" i="16"/>
  <c r="N98" i="16"/>
  <c r="O98" i="16" s="1"/>
  <c r="V98" i="16" s="1"/>
  <c r="M98" i="16"/>
  <c r="N97" i="16"/>
  <c r="O97" i="16" s="1"/>
  <c r="M97" i="16"/>
  <c r="N96" i="16"/>
  <c r="O96" i="16" s="1"/>
  <c r="M96" i="16"/>
  <c r="N95" i="16"/>
  <c r="O95" i="16" s="1"/>
  <c r="M95" i="16"/>
  <c r="N94" i="16"/>
  <c r="O94" i="16" s="1"/>
  <c r="M94" i="16"/>
  <c r="N93" i="16"/>
  <c r="O93" i="16" s="1"/>
  <c r="M93" i="16"/>
  <c r="N92" i="16"/>
  <c r="O92" i="16" s="1"/>
  <c r="M92" i="16"/>
  <c r="N91" i="16"/>
  <c r="O91" i="16" s="1"/>
  <c r="M91" i="16"/>
  <c r="N90" i="16"/>
  <c r="O90" i="16" s="1"/>
  <c r="M90" i="16"/>
  <c r="N89" i="16"/>
  <c r="O89" i="16" s="1"/>
  <c r="M89" i="16"/>
  <c r="N85" i="16"/>
  <c r="O85" i="16" s="1"/>
  <c r="V85" i="16" s="1"/>
  <c r="M85" i="16"/>
  <c r="N84" i="16"/>
  <c r="O84" i="16" s="1"/>
  <c r="M84" i="16"/>
  <c r="N83" i="16"/>
  <c r="O83" i="16" s="1"/>
  <c r="M83" i="16"/>
  <c r="N82" i="16"/>
  <c r="O82" i="16" s="1"/>
  <c r="M82" i="16"/>
  <c r="N81" i="16"/>
  <c r="O81" i="16" s="1"/>
  <c r="M81" i="16"/>
  <c r="N80" i="16"/>
  <c r="O80" i="16" s="1"/>
  <c r="M80" i="16"/>
  <c r="N79" i="16"/>
  <c r="O79" i="16" s="1"/>
  <c r="M79" i="16"/>
  <c r="N78" i="16"/>
  <c r="O78" i="16" s="1"/>
  <c r="M78" i="16"/>
  <c r="N77" i="16"/>
  <c r="O77" i="16" s="1"/>
  <c r="M77" i="16"/>
  <c r="N76" i="16"/>
  <c r="O76" i="16" s="1"/>
  <c r="M76" i="16"/>
  <c r="N75" i="16"/>
  <c r="O75" i="16" s="1"/>
  <c r="M75" i="16"/>
  <c r="N71" i="16"/>
  <c r="O71" i="16" s="1"/>
  <c r="V71" i="16" s="1"/>
  <c r="M71" i="16"/>
  <c r="N70" i="16"/>
  <c r="O70" i="16" s="1"/>
  <c r="M70" i="16"/>
  <c r="N69" i="16"/>
  <c r="O69" i="16" s="1"/>
  <c r="M69" i="16"/>
  <c r="N68" i="16"/>
  <c r="O68" i="16" s="1"/>
  <c r="M68" i="16"/>
  <c r="N67" i="16"/>
  <c r="O67" i="16" s="1"/>
  <c r="M67" i="16"/>
  <c r="N66" i="16"/>
  <c r="O66" i="16" s="1"/>
  <c r="M66" i="16"/>
  <c r="N65" i="16"/>
  <c r="O65" i="16" s="1"/>
  <c r="M65" i="16"/>
  <c r="N64" i="16"/>
  <c r="O64" i="16" s="1"/>
  <c r="M64" i="16"/>
  <c r="N63" i="16"/>
  <c r="O63" i="16" s="1"/>
  <c r="M63" i="16"/>
  <c r="N62" i="16"/>
  <c r="O62" i="16" s="1"/>
  <c r="M62" i="16"/>
  <c r="N61" i="16"/>
  <c r="O61" i="16" s="1"/>
  <c r="M61" i="16"/>
  <c r="N57" i="16"/>
  <c r="O57" i="16" s="1"/>
  <c r="V57" i="16" s="1"/>
  <c r="M57" i="16"/>
  <c r="N56" i="16"/>
  <c r="O56" i="16" s="1"/>
  <c r="M56" i="16"/>
  <c r="N55" i="16"/>
  <c r="O55" i="16" s="1"/>
  <c r="M55" i="16"/>
  <c r="N54" i="16"/>
  <c r="O54" i="16" s="1"/>
  <c r="M54" i="16"/>
  <c r="N53" i="16"/>
  <c r="O53" i="16" s="1"/>
  <c r="M53" i="16"/>
  <c r="N52" i="16"/>
  <c r="O52" i="16" s="1"/>
  <c r="M52" i="16"/>
  <c r="N51" i="16"/>
  <c r="O51" i="16" s="1"/>
  <c r="M51" i="16"/>
  <c r="N50" i="16"/>
  <c r="O50" i="16" s="1"/>
  <c r="M50" i="16"/>
  <c r="N49" i="16"/>
  <c r="O49" i="16" s="1"/>
  <c r="M49" i="16"/>
  <c r="N48" i="16"/>
  <c r="O48" i="16" s="1"/>
  <c r="M48" i="16"/>
  <c r="N47" i="16"/>
  <c r="O47" i="16" s="1"/>
  <c r="M47" i="16"/>
  <c r="N43" i="16"/>
  <c r="O43" i="16" s="1"/>
  <c r="V43" i="16" s="1"/>
  <c r="M43" i="16"/>
  <c r="N42" i="16"/>
  <c r="O42" i="16" s="1"/>
  <c r="M42" i="16"/>
  <c r="N41" i="16"/>
  <c r="O41" i="16" s="1"/>
  <c r="M41" i="16"/>
  <c r="N40" i="16"/>
  <c r="O40" i="16" s="1"/>
  <c r="M40" i="16"/>
  <c r="N39" i="16"/>
  <c r="O39" i="16" s="1"/>
  <c r="M39" i="16"/>
  <c r="N38" i="16"/>
  <c r="O38" i="16" s="1"/>
  <c r="M38" i="16"/>
  <c r="N37" i="16"/>
  <c r="O37" i="16" s="1"/>
  <c r="M37" i="16"/>
  <c r="N36" i="16"/>
  <c r="O36" i="16" s="1"/>
  <c r="M36" i="16"/>
  <c r="N35" i="16"/>
  <c r="O35" i="16" s="1"/>
  <c r="M35" i="16"/>
  <c r="N34" i="16"/>
  <c r="O34" i="16" s="1"/>
  <c r="M34" i="16"/>
  <c r="N33" i="16"/>
  <c r="O33" i="16" s="1"/>
  <c r="M33" i="16"/>
  <c r="N29" i="16"/>
  <c r="O29" i="16" s="1"/>
  <c r="V29" i="16" s="1"/>
  <c r="M29" i="16"/>
  <c r="N28" i="16"/>
  <c r="O28" i="16" s="1"/>
  <c r="M28" i="16"/>
  <c r="N27" i="16"/>
  <c r="O27" i="16" s="1"/>
  <c r="M27" i="16"/>
  <c r="N26" i="16"/>
  <c r="O26" i="16" s="1"/>
  <c r="M26" i="16"/>
  <c r="N25" i="16"/>
  <c r="O25" i="16" s="1"/>
  <c r="M25" i="16"/>
  <c r="N24" i="16"/>
  <c r="O24" i="16" s="1"/>
  <c r="M24" i="16"/>
  <c r="N23" i="16"/>
  <c r="O23" i="16" s="1"/>
  <c r="M23" i="16"/>
  <c r="N22" i="16"/>
  <c r="O22" i="16" s="1"/>
  <c r="M22" i="16"/>
  <c r="N21" i="16"/>
  <c r="O21" i="16" s="1"/>
  <c r="M21" i="16"/>
  <c r="N20" i="16"/>
  <c r="O20" i="16" s="1"/>
  <c r="M20" i="16"/>
  <c r="N19" i="16"/>
  <c r="O19" i="16" s="1"/>
  <c r="M19" i="16"/>
  <c r="N15" i="16"/>
  <c r="O15" i="16" s="1"/>
  <c r="M15" i="16"/>
  <c r="N14" i="16"/>
  <c r="O14" i="16" s="1"/>
  <c r="M14" i="16"/>
  <c r="N13" i="16"/>
  <c r="O13" i="16" s="1"/>
  <c r="M13" i="16"/>
  <c r="N12" i="16"/>
  <c r="O12" i="16" s="1"/>
  <c r="M12" i="16"/>
  <c r="N11" i="16"/>
  <c r="O11" i="16" s="1"/>
  <c r="M11" i="16"/>
  <c r="N10" i="16"/>
  <c r="O10" i="16" s="1"/>
  <c r="M10" i="16"/>
  <c r="N9" i="16"/>
  <c r="O9" i="16" s="1"/>
  <c r="M9" i="16"/>
  <c r="N8" i="16"/>
  <c r="O8" i="16" s="1"/>
  <c r="M8" i="16"/>
  <c r="N7" i="16"/>
  <c r="O7" i="16" s="1"/>
  <c r="M7" i="16"/>
  <c r="N6" i="16"/>
  <c r="O6" i="16" s="1"/>
  <c r="M6" i="16"/>
  <c r="N5" i="16"/>
  <c r="O5" i="16" s="1"/>
  <c r="M5" i="16"/>
  <c r="Z4" i="16"/>
  <c r="Z3" i="16"/>
  <c r="N169" i="15"/>
  <c r="O169" i="15" s="1"/>
  <c r="V169" i="15" s="1"/>
  <c r="M169" i="15"/>
  <c r="N168" i="15"/>
  <c r="O168" i="15" s="1"/>
  <c r="V168" i="15" s="1"/>
  <c r="M168" i="15"/>
  <c r="N167" i="15"/>
  <c r="O167" i="15" s="1"/>
  <c r="V167" i="15" s="1"/>
  <c r="M167" i="15"/>
  <c r="N166" i="15"/>
  <c r="O166" i="15" s="1"/>
  <c r="V166" i="15" s="1"/>
  <c r="M166" i="15"/>
  <c r="N165" i="15"/>
  <c r="O165" i="15" s="1"/>
  <c r="V165" i="15" s="1"/>
  <c r="M165" i="15"/>
  <c r="O164" i="15"/>
  <c r="V164" i="15" s="1"/>
  <c r="N164" i="15"/>
  <c r="M164" i="15"/>
  <c r="N163" i="15"/>
  <c r="O163" i="15" s="1"/>
  <c r="M163" i="15"/>
  <c r="N162" i="15"/>
  <c r="O162" i="15" s="1"/>
  <c r="M162" i="15"/>
  <c r="N161" i="15"/>
  <c r="O161" i="15" s="1"/>
  <c r="M161" i="15"/>
  <c r="N160" i="15"/>
  <c r="O160" i="15" s="1"/>
  <c r="M160" i="15"/>
  <c r="N159" i="15"/>
  <c r="O159" i="15" s="1"/>
  <c r="M159" i="15"/>
  <c r="N155" i="15"/>
  <c r="O155" i="15" s="1"/>
  <c r="V155" i="15" s="1"/>
  <c r="M155" i="15"/>
  <c r="N154" i="15"/>
  <c r="O154" i="15" s="1"/>
  <c r="V154" i="15" s="1"/>
  <c r="M154" i="15"/>
  <c r="N153" i="15"/>
  <c r="O153" i="15" s="1"/>
  <c r="M153" i="15"/>
  <c r="N152" i="15"/>
  <c r="O152" i="15" s="1"/>
  <c r="M152" i="15"/>
  <c r="N151" i="15"/>
  <c r="O151" i="15" s="1"/>
  <c r="M151" i="15"/>
  <c r="N150" i="15"/>
  <c r="O150" i="15" s="1"/>
  <c r="M150" i="15"/>
  <c r="N149" i="15"/>
  <c r="O149" i="15" s="1"/>
  <c r="M149" i="15"/>
  <c r="N148" i="15"/>
  <c r="O148" i="15" s="1"/>
  <c r="M148" i="15"/>
  <c r="N147" i="15"/>
  <c r="O147" i="15" s="1"/>
  <c r="M147" i="15"/>
  <c r="N146" i="15"/>
  <c r="O146" i="15" s="1"/>
  <c r="M146" i="15"/>
  <c r="N145" i="15"/>
  <c r="O145" i="15" s="1"/>
  <c r="M145" i="15"/>
  <c r="N141" i="15"/>
  <c r="O141" i="15" s="1"/>
  <c r="V141" i="15" s="1"/>
  <c r="M141" i="15"/>
  <c r="N140" i="15"/>
  <c r="O140" i="15" s="1"/>
  <c r="V140" i="15" s="1"/>
  <c r="M140" i="15"/>
  <c r="N139" i="15"/>
  <c r="O139" i="15" s="1"/>
  <c r="M139" i="15"/>
  <c r="N138" i="15"/>
  <c r="O138" i="15" s="1"/>
  <c r="M138" i="15"/>
  <c r="N137" i="15"/>
  <c r="O137" i="15" s="1"/>
  <c r="M137" i="15"/>
  <c r="N136" i="15"/>
  <c r="O136" i="15" s="1"/>
  <c r="M136" i="15"/>
  <c r="N135" i="15"/>
  <c r="O135" i="15" s="1"/>
  <c r="M135" i="15"/>
  <c r="N134" i="15"/>
  <c r="O134" i="15" s="1"/>
  <c r="M134" i="15"/>
  <c r="N133" i="15"/>
  <c r="O133" i="15" s="1"/>
  <c r="M133" i="15"/>
  <c r="O132" i="15"/>
  <c r="N132" i="15"/>
  <c r="M132" i="15"/>
  <c r="N131" i="15"/>
  <c r="O131" i="15" s="1"/>
  <c r="M131" i="15"/>
  <c r="N127" i="15"/>
  <c r="O127" i="15" s="1"/>
  <c r="V127" i="15" s="1"/>
  <c r="M127" i="15"/>
  <c r="N126" i="15"/>
  <c r="O126" i="15" s="1"/>
  <c r="V126" i="15" s="1"/>
  <c r="M126" i="15"/>
  <c r="N125" i="15"/>
  <c r="O125" i="15" s="1"/>
  <c r="M125" i="15"/>
  <c r="N124" i="15"/>
  <c r="O124" i="15" s="1"/>
  <c r="M124" i="15"/>
  <c r="N123" i="15"/>
  <c r="O123" i="15" s="1"/>
  <c r="M123" i="15"/>
  <c r="N122" i="15"/>
  <c r="O122" i="15" s="1"/>
  <c r="M122" i="15"/>
  <c r="N121" i="15"/>
  <c r="O121" i="15" s="1"/>
  <c r="M121" i="15"/>
  <c r="N120" i="15"/>
  <c r="O120" i="15" s="1"/>
  <c r="M120" i="15"/>
  <c r="N119" i="15"/>
  <c r="O119" i="15" s="1"/>
  <c r="M119" i="15"/>
  <c r="N118" i="15"/>
  <c r="O118" i="15" s="1"/>
  <c r="M118" i="15"/>
  <c r="N117" i="15"/>
  <c r="O117" i="15" s="1"/>
  <c r="M117" i="15"/>
  <c r="N113" i="15"/>
  <c r="O113" i="15" s="1"/>
  <c r="V113" i="15" s="1"/>
  <c r="M113" i="15"/>
  <c r="N112" i="15"/>
  <c r="O112" i="15" s="1"/>
  <c r="V112" i="15" s="1"/>
  <c r="M112" i="15"/>
  <c r="N111" i="15"/>
  <c r="O111" i="15" s="1"/>
  <c r="M111" i="15"/>
  <c r="N110" i="15"/>
  <c r="O110" i="15" s="1"/>
  <c r="M110" i="15"/>
  <c r="N109" i="15"/>
  <c r="O109" i="15" s="1"/>
  <c r="M109" i="15"/>
  <c r="N108" i="15"/>
  <c r="O108" i="15" s="1"/>
  <c r="M108" i="15"/>
  <c r="N107" i="15"/>
  <c r="O107" i="15" s="1"/>
  <c r="M107" i="15"/>
  <c r="N106" i="15"/>
  <c r="O106" i="15" s="1"/>
  <c r="M106" i="15"/>
  <c r="N105" i="15"/>
  <c r="O105" i="15" s="1"/>
  <c r="M105" i="15"/>
  <c r="N104" i="15"/>
  <c r="O104" i="15" s="1"/>
  <c r="M104" i="15"/>
  <c r="N103" i="15"/>
  <c r="O103" i="15" s="1"/>
  <c r="M103" i="15"/>
  <c r="N99" i="15"/>
  <c r="O99" i="15" s="1"/>
  <c r="V99" i="15" s="1"/>
  <c r="M99" i="15"/>
  <c r="O98" i="15"/>
  <c r="N98" i="15"/>
  <c r="M98" i="15"/>
  <c r="N97" i="15"/>
  <c r="O97" i="15" s="1"/>
  <c r="M97" i="15"/>
  <c r="N96" i="15"/>
  <c r="O96" i="15" s="1"/>
  <c r="M96" i="15"/>
  <c r="N95" i="15"/>
  <c r="O95" i="15" s="1"/>
  <c r="M95" i="15"/>
  <c r="N94" i="15"/>
  <c r="O94" i="15" s="1"/>
  <c r="M94" i="15"/>
  <c r="N93" i="15"/>
  <c r="O93" i="15" s="1"/>
  <c r="M93" i="15"/>
  <c r="N92" i="15"/>
  <c r="O92" i="15" s="1"/>
  <c r="M92" i="15"/>
  <c r="N91" i="15"/>
  <c r="O91" i="15" s="1"/>
  <c r="M91" i="15"/>
  <c r="N90" i="15"/>
  <c r="O90" i="15" s="1"/>
  <c r="M90" i="15"/>
  <c r="N89" i="15"/>
  <c r="O89" i="15" s="1"/>
  <c r="M89" i="15"/>
  <c r="N85" i="15"/>
  <c r="O85" i="15" s="1"/>
  <c r="V85" i="15" s="1"/>
  <c r="M85" i="15"/>
  <c r="N84" i="15"/>
  <c r="O84" i="15" s="1"/>
  <c r="M84" i="15"/>
  <c r="N83" i="15"/>
  <c r="O83" i="15" s="1"/>
  <c r="M83" i="15"/>
  <c r="N82" i="15"/>
  <c r="O82" i="15" s="1"/>
  <c r="M82" i="15"/>
  <c r="N81" i="15"/>
  <c r="O81" i="15" s="1"/>
  <c r="M81" i="15"/>
  <c r="N80" i="15"/>
  <c r="O80" i="15" s="1"/>
  <c r="M80" i="15"/>
  <c r="O79" i="15"/>
  <c r="N79" i="15"/>
  <c r="M79" i="15"/>
  <c r="N78" i="15"/>
  <c r="O78" i="15" s="1"/>
  <c r="M78" i="15"/>
  <c r="N77" i="15"/>
  <c r="O77" i="15" s="1"/>
  <c r="M77" i="15"/>
  <c r="N76" i="15"/>
  <c r="O76" i="15" s="1"/>
  <c r="M76" i="15"/>
  <c r="N75" i="15"/>
  <c r="O75" i="15" s="1"/>
  <c r="M75" i="15"/>
  <c r="N71" i="15"/>
  <c r="O71" i="15" s="1"/>
  <c r="V71" i="15" s="1"/>
  <c r="M71" i="15"/>
  <c r="N70" i="15"/>
  <c r="O70" i="15" s="1"/>
  <c r="M70" i="15"/>
  <c r="N69" i="15"/>
  <c r="O69" i="15" s="1"/>
  <c r="M69" i="15"/>
  <c r="N68" i="15"/>
  <c r="O68" i="15" s="1"/>
  <c r="M68" i="15"/>
  <c r="N67" i="15"/>
  <c r="O67" i="15" s="1"/>
  <c r="M67" i="15"/>
  <c r="N66" i="15"/>
  <c r="O66" i="15" s="1"/>
  <c r="M66" i="15"/>
  <c r="N65" i="15"/>
  <c r="O65" i="15" s="1"/>
  <c r="M65" i="15"/>
  <c r="N64" i="15"/>
  <c r="O64" i="15" s="1"/>
  <c r="M64" i="15"/>
  <c r="N63" i="15"/>
  <c r="O63" i="15" s="1"/>
  <c r="M63" i="15"/>
  <c r="N62" i="15"/>
  <c r="O62" i="15" s="1"/>
  <c r="M62" i="15"/>
  <c r="N61" i="15"/>
  <c r="O61" i="15" s="1"/>
  <c r="M61" i="15"/>
  <c r="N57" i="15"/>
  <c r="O57" i="15" s="1"/>
  <c r="V57" i="15" s="1"/>
  <c r="M57" i="15"/>
  <c r="N56" i="15"/>
  <c r="O56" i="15" s="1"/>
  <c r="M56" i="15"/>
  <c r="N55" i="15"/>
  <c r="O55" i="15" s="1"/>
  <c r="M55" i="15"/>
  <c r="N54" i="15"/>
  <c r="O54" i="15" s="1"/>
  <c r="M54" i="15"/>
  <c r="N53" i="15"/>
  <c r="O53" i="15" s="1"/>
  <c r="M53" i="15"/>
  <c r="N52" i="15"/>
  <c r="O52" i="15" s="1"/>
  <c r="M52" i="15"/>
  <c r="N51" i="15"/>
  <c r="O51" i="15" s="1"/>
  <c r="M51" i="15"/>
  <c r="N50" i="15"/>
  <c r="O50" i="15" s="1"/>
  <c r="M50" i="15"/>
  <c r="N49" i="15"/>
  <c r="O49" i="15" s="1"/>
  <c r="M49" i="15"/>
  <c r="N48" i="15"/>
  <c r="O48" i="15" s="1"/>
  <c r="M48" i="15"/>
  <c r="N47" i="15"/>
  <c r="O47" i="15" s="1"/>
  <c r="M47" i="15"/>
  <c r="N43" i="15"/>
  <c r="O43" i="15" s="1"/>
  <c r="V43" i="15" s="1"/>
  <c r="M43" i="15"/>
  <c r="N42" i="15"/>
  <c r="O42" i="15" s="1"/>
  <c r="M42" i="15"/>
  <c r="N41" i="15"/>
  <c r="O41" i="15" s="1"/>
  <c r="M41" i="15"/>
  <c r="N40" i="15"/>
  <c r="O40" i="15" s="1"/>
  <c r="M40" i="15"/>
  <c r="N39" i="15"/>
  <c r="O39" i="15" s="1"/>
  <c r="M39" i="15"/>
  <c r="O38" i="15"/>
  <c r="N38" i="15"/>
  <c r="M38" i="15"/>
  <c r="N37" i="15"/>
  <c r="O37" i="15" s="1"/>
  <c r="M37" i="15"/>
  <c r="N36" i="15"/>
  <c r="O36" i="15" s="1"/>
  <c r="M36" i="15"/>
  <c r="N35" i="15"/>
  <c r="O35" i="15" s="1"/>
  <c r="M35" i="15"/>
  <c r="N34" i="15"/>
  <c r="O34" i="15" s="1"/>
  <c r="M34" i="15"/>
  <c r="N33" i="15"/>
  <c r="O33" i="15" s="1"/>
  <c r="M33" i="15"/>
  <c r="N29" i="15"/>
  <c r="O29" i="15" s="1"/>
  <c r="M29" i="15"/>
  <c r="N28" i="15"/>
  <c r="O28" i="15" s="1"/>
  <c r="M28" i="15"/>
  <c r="N27" i="15"/>
  <c r="O27" i="15" s="1"/>
  <c r="M27" i="15"/>
  <c r="N26" i="15"/>
  <c r="O26" i="15" s="1"/>
  <c r="M26" i="15"/>
  <c r="N25" i="15"/>
  <c r="O25" i="15" s="1"/>
  <c r="M25" i="15"/>
  <c r="N24" i="15"/>
  <c r="O24" i="15" s="1"/>
  <c r="M24" i="15"/>
  <c r="N23" i="15"/>
  <c r="O23" i="15" s="1"/>
  <c r="M23" i="15"/>
  <c r="N22" i="15"/>
  <c r="O22" i="15" s="1"/>
  <c r="M22" i="15"/>
  <c r="N21" i="15"/>
  <c r="O21" i="15" s="1"/>
  <c r="M21" i="15"/>
  <c r="N20" i="15"/>
  <c r="O20" i="15" s="1"/>
  <c r="M20" i="15"/>
  <c r="N19" i="15"/>
  <c r="O19" i="15" s="1"/>
  <c r="M19" i="15"/>
  <c r="N15" i="15"/>
  <c r="O15" i="15" s="1"/>
  <c r="M15" i="15"/>
  <c r="N14" i="15"/>
  <c r="O14" i="15" s="1"/>
  <c r="M14" i="15"/>
  <c r="N13" i="15"/>
  <c r="O13" i="15" s="1"/>
  <c r="M13" i="15"/>
  <c r="N12" i="15"/>
  <c r="O12" i="15" s="1"/>
  <c r="M12" i="15"/>
  <c r="N11" i="15"/>
  <c r="O11" i="15" s="1"/>
  <c r="M11" i="15"/>
  <c r="N10" i="15"/>
  <c r="O10" i="15" s="1"/>
  <c r="M10" i="15"/>
  <c r="N9" i="15"/>
  <c r="O9" i="15" s="1"/>
  <c r="M9" i="15"/>
  <c r="N8" i="15"/>
  <c r="O8" i="15" s="1"/>
  <c r="M8" i="15"/>
  <c r="N7" i="15"/>
  <c r="O7" i="15" s="1"/>
  <c r="M7" i="15"/>
  <c r="N6" i="15"/>
  <c r="O6" i="15" s="1"/>
  <c r="M6" i="15"/>
  <c r="N5" i="15"/>
  <c r="O5" i="15" s="1"/>
  <c r="M5" i="15"/>
  <c r="Z4" i="15"/>
  <c r="Z3" i="15"/>
  <c r="N169" i="14"/>
  <c r="O169" i="14" s="1"/>
  <c r="V169" i="14" s="1"/>
  <c r="M169" i="14"/>
  <c r="O168" i="14"/>
  <c r="V168" i="14" s="1"/>
  <c r="N168" i="14"/>
  <c r="M168" i="14"/>
  <c r="N167" i="14"/>
  <c r="O167" i="14" s="1"/>
  <c r="V167" i="14" s="1"/>
  <c r="M167" i="14"/>
  <c r="N166" i="14"/>
  <c r="O166" i="14" s="1"/>
  <c r="V166" i="14" s="1"/>
  <c r="M166" i="14"/>
  <c r="N165" i="14"/>
  <c r="O165" i="14" s="1"/>
  <c r="V165" i="14" s="1"/>
  <c r="M165" i="14"/>
  <c r="N164" i="14"/>
  <c r="O164" i="14" s="1"/>
  <c r="V164" i="14" s="1"/>
  <c r="M164" i="14"/>
  <c r="N163" i="14"/>
  <c r="O163" i="14" s="1"/>
  <c r="M163" i="14"/>
  <c r="N162" i="14"/>
  <c r="O162" i="14" s="1"/>
  <c r="M162" i="14"/>
  <c r="N161" i="14"/>
  <c r="O161" i="14" s="1"/>
  <c r="M161" i="14"/>
  <c r="N160" i="14"/>
  <c r="O160" i="14" s="1"/>
  <c r="M160" i="14"/>
  <c r="N159" i="14"/>
  <c r="O159" i="14" s="1"/>
  <c r="M159" i="14"/>
  <c r="N155" i="14"/>
  <c r="O155" i="14" s="1"/>
  <c r="V155" i="14" s="1"/>
  <c r="M155" i="14"/>
  <c r="N154" i="14"/>
  <c r="O154" i="14" s="1"/>
  <c r="V154" i="14" s="1"/>
  <c r="M154" i="14"/>
  <c r="N153" i="14"/>
  <c r="O153" i="14" s="1"/>
  <c r="V153" i="14" s="1"/>
  <c r="M153" i="14"/>
  <c r="N152" i="14"/>
  <c r="O152" i="14" s="1"/>
  <c r="V152" i="14" s="1"/>
  <c r="M152" i="14"/>
  <c r="N151" i="14"/>
  <c r="O151" i="14" s="1"/>
  <c r="V151" i="14" s="1"/>
  <c r="M151" i="14"/>
  <c r="N150" i="14"/>
  <c r="O150" i="14" s="1"/>
  <c r="V150" i="14" s="1"/>
  <c r="M150" i="14"/>
  <c r="N149" i="14"/>
  <c r="O149" i="14" s="1"/>
  <c r="M149" i="14"/>
  <c r="N148" i="14"/>
  <c r="O148" i="14" s="1"/>
  <c r="M148" i="14"/>
  <c r="N147" i="14"/>
  <c r="O147" i="14" s="1"/>
  <c r="M147" i="14"/>
  <c r="N146" i="14"/>
  <c r="O146" i="14" s="1"/>
  <c r="M146" i="14"/>
  <c r="N145" i="14"/>
  <c r="O145" i="14" s="1"/>
  <c r="M145" i="14"/>
  <c r="N141" i="14"/>
  <c r="O141" i="14" s="1"/>
  <c r="V141" i="14" s="1"/>
  <c r="M141" i="14"/>
  <c r="N140" i="14"/>
  <c r="O140" i="14" s="1"/>
  <c r="V140" i="14" s="1"/>
  <c r="M140" i="14"/>
  <c r="N139" i="14"/>
  <c r="O139" i="14" s="1"/>
  <c r="M139" i="14"/>
  <c r="N138" i="14"/>
  <c r="O138" i="14" s="1"/>
  <c r="M138" i="14"/>
  <c r="N137" i="14"/>
  <c r="O137" i="14" s="1"/>
  <c r="M137" i="14"/>
  <c r="N136" i="14"/>
  <c r="O136" i="14" s="1"/>
  <c r="M136" i="14"/>
  <c r="N135" i="14"/>
  <c r="O135" i="14" s="1"/>
  <c r="M135" i="14"/>
  <c r="N134" i="14"/>
  <c r="O134" i="14" s="1"/>
  <c r="M134" i="14"/>
  <c r="N133" i="14"/>
  <c r="O133" i="14" s="1"/>
  <c r="M133" i="14"/>
  <c r="N132" i="14"/>
  <c r="O132" i="14" s="1"/>
  <c r="M132" i="14"/>
  <c r="N131" i="14"/>
  <c r="O131" i="14" s="1"/>
  <c r="M131" i="14"/>
  <c r="N127" i="14"/>
  <c r="O127" i="14" s="1"/>
  <c r="V127" i="14" s="1"/>
  <c r="M127" i="14"/>
  <c r="N126" i="14"/>
  <c r="O126" i="14" s="1"/>
  <c r="M126" i="14"/>
  <c r="N125" i="14"/>
  <c r="O125" i="14" s="1"/>
  <c r="M125" i="14"/>
  <c r="N124" i="14"/>
  <c r="O124" i="14" s="1"/>
  <c r="M124" i="14"/>
  <c r="N123" i="14"/>
  <c r="O123" i="14" s="1"/>
  <c r="M123" i="14"/>
  <c r="N122" i="14"/>
  <c r="O122" i="14" s="1"/>
  <c r="M122" i="14"/>
  <c r="N121" i="14"/>
  <c r="O121" i="14" s="1"/>
  <c r="M121" i="14"/>
  <c r="N120" i="14"/>
  <c r="O120" i="14" s="1"/>
  <c r="M120" i="14"/>
  <c r="N119" i="14"/>
  <c r="O119" i="14" s="1"/>
  <c r="M119" i="14"/>
  <c r="N118" i="14"/>
  <c r="O118" i="14" s="1"/>
  <c r="M118" i="14"/>
  <c r="N117" i="14"/>
  <c r="O117" i="14" s="1"/>
  <c r="M117" i="14"/>
  <c r="N113" i="14"/>
  <c r="O113" i="14" s="1"/>
  <c r="V113" i="14" s="1"/>
  <c r="M113" i="14"/>
  <c r="N112" i="14"/>
  <c r="O112" i="14" s="1"/>
  <c r="M112" i="14"/>
  <c r="N111" i="14"/>
  <c r="O111" i="14" s="1"/>
  <c r="M111" i="14"/>
  <c r="N110" i="14"/>
  <c r="O110" i="14" s="1"/>
  <c r="M110" i="14"/>
  <c r="N109" i="14"/>
  <c r="O109" i="14" s="1"/>
  <c r="M109" i="14"/>
  <c r="N108" i="14"/>
  <c r="O108" i="14" s="1"/>
  <c r="M108" i="14"/>
  <c r="N107" i="14"/>
  <c r="O107" i="14" s="1"/>
  <c r="M107" i="14"/>
  <c r="N106" i="14"/>
  <c r="O106" i="14" s="1"/>
  <c r="M106" i="14"/>
  <c r="N105" i="14"/>
  <c r="O105" i="14" s="1"/>
  <c r="M105" i="14"/>
  <c r="N104" i="14"/>
  <c r="O104" i="14" s="1"/>
  <c r="M104" i="14"/>
  <c r="N103" i="14"/>
  <c r="O103" i="14" s="1"/>
  <c r="M103" i="14"/>
  <c r="N99" i="14"/>
  <c r="O99" i="14" s="1"/>
  <c r="V99" i="14" s="1"/>
  <c r="M99" i="14"/>
  <c r="N98" i="14"/>
  <c r="O98" i="14" s="1"/>
  <c r="M98" i="14"/>
  <c r="N97" i="14"/>
  <c r="O97" i="14" s="1"/>
  <c r="M97" i="14"/>
  <c r="N96" i="14"/>
  <c r="O96" i="14" s="1"/>
  <c r="M96" i="14"/>
  <c r="N95" i="14"/>
  <c r="O95" i="14" s="1"/>
  <c r="M95" i="14"/>
  <c r="N94" i="14"/>
  <c r="O94" i="14" s="1"/>
  <c r="M94" i="14"/>
  <c r="N93" i="14"/>
  <c r="O93" i="14" s="1"/>
  <c r="M93" i="14"/>
  <c r="N92" i="14"/>
  <c r="O92" i="14" s="1"/>
  <c r="M92" i="14"/>
  <c r="N91" i="14"/>
  <c r="O91" i="14" s="1"/>
  <c r="M91" i="14"/>
  <c r="N90" i="14"/>
  <c r="O90" i="14" s="1"/>
  <c r="M90" i="14"/>
  <c r="N89" i="14"/>
  <c r="O89" i="14" s="1"/>
  <c r="M89" i="14"/>
  <c r="N85" i="14"/>
  <c r="O85" i="14" s="1"/>
  <c r="V85" i="14" s="1"/>
  <c r="M85" i="14"/>
  <c r="N84" i="14"/>
  <c r="O84" i="14" s="1"/>
  <c r="M84" i="14"/>
  <c r="N83" i="14"/>
  <c r="O83" i="14" s="1"/>
  <c r="M83" i="14"/>
  <c r="N82" i="14"/>
  <c r="O82" i="14" s="1"/>
  <c r="M82" i="14"/>
  <c r="N81" i="14"/>
  <c r="O81" i="14" s="1"/>
  <c r="M81" i="14"/>
  <c r="N80" i="14"/>
  <c r="O80" i="14" s="1"/>
  <c r="M80" i="14"/>
  <c r="N79" i="14"/>
  <c r="O79" i="14" s="1"/>
  <c r="M79" i="14"/>
  <c r="N78" i="14"/>
  <c r="O78" i="14" s="1"/>
  <c r="M78" i="14"/>
  <c r="N77" i="14"/>
  <c r="O77" i="14" s="1"/>
  <c r="M77" i="14"/>
  <c r="N76" i="14"/>
  <c r="O76" i="14" s="1"/>
  <c r="M76" i="14"/>
  <c r="N75" i="14"/>
  <c r="O75" i="14" s="1"/>
  <c r="M75" i="14"/>
  <c r="N71" i="14"/>
  <c r="O71" i="14" s="1"/>
  <c r="V71" i="14" s="1"/>
  <c r="M71" i="14"/>
  <c r="N70" i="14"/>
  <c r="O70" i="14" s="1"/>
  <c r="M70" i="14"/>
  <c r="N69" i="14"/>
  <c r="O69" i="14" s="1"/>
  <c r="M69" i="14"/>
  <c r="N68" i="14"/>
  <c r="O68" i="14" s="1"/>
  <c r="M68" i="14"/>
  <c r="N67" i="14"/>
  <c r="O67" i="14" s="1"/>
  <c r="M67" i="14"/>
  <c r="N66" i="14"/>
  <c r="O66" i="14" s="1"/>
  <c r="M66" i="14"/>
  <c r="N65" i="14"/>
  <c r="O65" i="14" s="1"/>
  <c r="M65" i="14"/>
  <c r="N64" i="14"/>
  <c r="O64" i="14" s="1"/>
  <c r="M64" i="14"/>
  <c r="N63" i="14"/>
  <c r="O63" i="14" s="1"/>
  <c r="M63" i="14"/>
  <c r="N62" i="14"/>
  <c r="O62" i="14" s="1"/>
  <c r="M62" i="14"/>
  <c r="N61" i="14"/>
  <c r="O61" i="14" s="1"/>
  <c r="M61" i="14"/>
  <c r="N57" i="14"/>
  <c r="O57" i="14" s="1"/>
  <c r="V57" i="14" s="1"/>
  <c r="M57" i="14"/>
  <c r="N56" i="14"/>
  <c r="O56" i="14" s="1"/>
  <c r="M56" i="14"/>
  <c r="N55" i="14"/>
  <c r="O55" i="14" s="1"/>
  <c r="M55" i="14"/>
  <c r="N54" i="14"/>
  <c r="O54" i="14" s="1"/>
  <c r="M54" i="14"/>
  <c r="N53" i="14"/>
  <c r="O53" i="14" s="1"/>
  <c r="M53" i="14"/>
  <c r="N52" i="14"/>
  <c r="O52" i="14" s="1"/>
  <c r="M52" i="14"/>
  <c r="O51" i="14"/>
  <c r="N51" i="14"/>
  <c r="M51" i="14"/>
  <c r="N50" i="14"/>
  <c r="O50" i="14" s="1"/>
  <c r="M50" i="14"/>
  <c r="N49" i="14"/>
  <c r="O49" i="14" s="1"/>
  <c r="M49" i="14"/>
  <c r="N48" i="14"/>
  <c r="O48" i="14" s="1"/>
  <c r="M48" i="14"/>
  <c r="N47" i="14"/>
  <c r="O47" i="14" s="1"/>
  <c r="M47" i="14"/>
  <c r="N43" i="14"/>
  <c r="O43" i="14" s="1"/>
  <c r="M43" i="14"/>
  <c r="N42" i="14"/>
  <c r="O42" i="14" s="1"/>
  <c r="M42" i="14"/>
  <c r="N41" i="14"/>
  <c r="O41" i="14" s="1"/>
  <c r="M41" i="14"/>
  <c r="N40" i="14"/>
  <c r="O40" i="14" s="1"/>
  <c r="M40" i="14"/>
  <c r="N39" i="14"/>
  <c r="O39" i="14" s="1"/>
  <c r="M39" i="14"/>
  <c r="N38" i="14"/>
  <c r="O38" i="14" s="1"/>
  <c r="M38" i="14"/>
  <c r="N37" i="14"/>
  <c r="O37" i="14" s="1"/>
  <c r="M37" i="14"/>
  <c r="N36" i="14"/>
  <c r="O36" i="14" s="1"/>
  <c r="M36" i="14"/>
  <c r="N35" i="14"/>
  <c r="O35" i="14" s="1"/>
  <c r="M35" i="14"/>
  <c r="N34" i="14"/>
  <c r="O34" i="14" s="1"/>
  <c r="M34" i="14"/>
  <c r="N33" i="14"/>
  <c r="O33" i="14" s="1"/>
  <c r="M33" i="14"/>
  <c r="N29" i="14"/>
  <c r="O29" i="14" s="1"/>
  <c r="M29" i="14"/>
  <c r="N28" i="14"/>
  <c r="O28" i="14" s="1"/>
  <c r="M28" i="14"/>
  <c r="N27" i="14"/>
  <c r="O27" i="14" s="1"/>
  <c r="M27" i="14"/>
  <c r="N26" i="14"/>
  <c r="O26" i="14" s="1"/>
  <c r="M26" i="14"/>
  <c r="N25" i="14"/>
  <c r="O25" i="14" s="1"/>
  <c r="M25" i="14"/>
  <c r="N24" i="14"/>
  <c r="O24" i="14" s="1"/>
  <c r="M24" i="14"/>
  <c r="N23" i="14"/>
  <c r="O23" i="14" s="1"/>
  <c r="M23" i="14"/>
  <c r="N22" i="14"/>
  <c r="O22" i="14" s="1"/>
  <c r="M22" i="14"/>
  <c r="N21" i="14"/>
  <c r="O21" i="14" s="1"/>
  <c r="M21" i="14"/>
  <c r="N20" i="14"/>
  <c r="O20" i="14" s="1"/>
  <c r="M20" i="14"/>
  <c r="N19" i="14"/>
  <c r="O19" i="14" s="1"/>
  <c r="M19" i="14"/>
  <c r="N15" i="14"/>
  <c r="O15" i="14" s="1"/>
  <c r="M15" i="14"/>
  <c r="N14" i="14"/>
  <c r="O14" i="14" s="1"/>
  <c r="M14" i="14"/>
  <c r="N13" i="14"/>
  <c r="O13" i="14" s="1"/>
  <c r="M13" i="14"/>
  <c r="N12" i="14"/>
  <c r="O12" i="14" s="1"/>
  <c r="M12" i="14"/>
  <c r="N11" i="14"/>
  <c r="O11" i="14" s="1"/>
  <c r="M11" i="14"/>
  <c r="N10" i="14"/>
  <c r="O10" i="14" s="1"/>
  <c r="M10" i="14"/>
  <c r="N9" i="14"/>
  <c r="O9" i="14" s="1"/>
  <c r="M9" i="14"/>
  <c r="N8" i="14"/>
  <c r="O8" i="14" s="1"/>
  <c r="M8" i="14"/>
  <c r="N7" i="14"/>
  <c r="O7" i="14" s="1"/>
  <c r="M7" i="14"/>
  <c r="N6" i="14"/>
  <c r="O6" i="14" s="1"/>
  <c r="M6" i="14"/>
  <c r="N5" i="14"/>
  <c r="O5" i="14" s="1"/>
  <c r="M5" i="14"/>
  <c r="Z4" i="14"/>
  <c r="Z3" i="14"/>
  <c r="N169" i="13"/>
  <c r="O169" i="13" s="1"/>
  <c r="V169" i="13" s="1"/>
  <c r="M169" i="13"/>
  <c r="N168" i="13"/>
  <c r="O168" i="13" s="1"/>
  <c r="M168" i="13"/>
  <c r="N167" i="13"/>
  <c r="O167" i="13" s="1"/>
  <c r="M167" i="13"/>
  <c r="N166" i="13"/>
  <c r="O166" i="13" s="1"/>
  <c r="M166" i="13"/>
  <c r="N165" i="13"/>
  <c r="O165" i="13" s="1"/>
  <c r="M165" i="13"/>
  <c r="N164" i="13"/>
  <c r="O164" i="13" s="1"/>
  <c r="M164" i="13"/>
  <c r="N163" i="13"/>
  <c r="O163" i="13" s="1"/>
  <c r="M163" i="13"/>
  <c r="N162" i="13"/>
  <c r="O162" i="13" s="1"/>
  <c r="M162" i="13"/>
  <c r="N161" i="13"/>
  <c r="O161" i="13" s="1"/>
  <c r="M161" i="13"/>
  <c r="N160" i="13"/>
  <c r="O160" i="13" s="1"/>
  <c r="M160" i="13"/>
  <c r="N159" i="13"/>
  <c r="O159" i="13" s="1"/>
  <c r="M159" i="13"/>
  <c r="N155" i="13"/>
  <c r="O155" i="13" s="1"/>
  <c r="V155" i="13" s="1"/>
  <c r="M155" i="13"/>
  <c r="N154" i="13"/>
  <c r="O154" i="13" s="1"/>
  <c r="M154" i="13"/>
  <c r="N153" i="13"/>
  <c r="O153" i="13" s="1"/>
  <c r="M153" i="13"/>
  <c r="N152" i="13"/>
  <c r="O152" i="13" s="1"/>
  <c r="M152" i="13"/>
  <c r="N151" i="13"/>
  <c r="O151" i="13" s="1"/>
  <c r="M151" i="13"/>
  <c r="N150" i="13"/>
  <c r="O150" i="13" s="1"/>
  <c r="M150" i="13"/>
  <c r="N149" i="13"/>
  <c r="O149" i="13" s="1"/>
  <c r="M149" i="13"/>
  <c r="N148" i="13"/>
  <c r="O148" i="13" s="1"/>
  <c r="M148" i="13"/>
  <c r="N147" i="13"/>
  <c r="O147" i="13" s="1"/>
  <c r="M147" i="13"/>
  <c r="N146" i="13"/>
  <c r="O146" i="13" s="1"/>
  <c r="M146" i="13"/>
  <c r="N145" i="13"/>
  <c r="O145" i="13" s="1"/>
  <c r="M145" i="13"/>
  <c r="N141" i="13"/>
  <c r="O141" i="13" s="1"/>
  <c r="V141" i="13" s="1"/>
  <c r="M141" i="13"/>
  <c r="N140" i="13"/>
  <c r="O140" i="13" s="1"/>
  <c r="M140" i="13"/>
  <c r="O139" i="13"/>
  <c r="N139" i="13"/>
  <c r="M139" i="13"/>
  <c r="N138" i="13"/>
  <c r="O138" i="13" s="1"/>
  <c r="M138" i="13"/>
  <c r="N137" i="13"/>
  <c r="O137" i="13" s="1"/>
  <c r="M137" i="13"/>
  <c r="N136" i="13"/>
  <c r="O136" i="13" s="1"/>
  <c r="M136" i="13"/>
  <c r="N135" i="13"/>
  <c r="O135" i="13" s="1"/>
  <c r="M135" i="13"/>
  <c r="N134" i="13"/>
  <c r="O134" i="13" s="1"/>
  <c r="M134" i="13"/>
  <c r="N133" i="13"/>
  <c r="O133" i="13" s="1"/>
  <c r="M133" i="13"/>
  <c r="N132" i="13"/>
  <c r="O132" i="13" s="1"/>
  <c r="M132" i="13"/>
  <c r="N131" i="13"/>
  <c r="O131" i="13" s="1"/>
  <c r="M131" i="13"/>
  <c r="N127" i="13"/>
  <c r="O127" i="13" s="1"/>
  <c r="V127" i="13" s="1"/>
  <c r="M127" i="13"/>
  <c r="N126" i="13"/>
  <c r="O126" i="13" s="1"/>
  <c r="M126" i="13"/>
  <c r="N125" i="13"/>
  <c r="O125" i="13" s="1"/>
  <c r="M125" i="13"/>
  <c r="N124" i="13"/>
  <c r="O124" i="13" s="1"/>
  <c r="M124" i="13"/>
  <c r="N123" i="13"/>
  <c r="O123" i="13" s="1"/>
  <c r="M123" i="13"/>
  <c r="N122" i="13"/>
  <c r="O122" i="13" s="1"/>
  <c r="M122" i="13"/>
  <c r="N121" i="13"/>
  <c r="O121" i="13" s="1"/>
  <c r="M121" i="13"/>
  <c r="O120" i="13"/>
  <c r="N120" i="13"/>
  <c r="M120" i="13"/>
  <c r="N119" i="13"/>
  <c r="O119" i="13" s="1"/>
  <c r="M119" i="13"/>
  <c r="N118" i="13"/>
  <c r="O118" i="13" s="1"/>
  <c r="M118" i="13"/>
  <c r="N117" i="13"/>
  <c r="O117" i="13" s="1"/>
  <c r="M117" i="13"/>
  <c r="N113" i="13"/>
  <c r="O113" i="13" s="1"/>
  <c r="V113" i="13" s="1"/>
  <c r="M113" i="13"/>
  <c r="N112" i="13"/>
  <c r="O112" i="13" s="1"/>
  <c r="M112" i="13"/>
  <c r="N111" i="13"/>
  <c r="O111" i="13" s="1"/>
  <c r="M111" i="13"/>
  <c r="N110" i="13"/>
  <c r="O110" i="13" s="1"/>
  <c r="M110" i="13"/>
  <c r="N109" i="13"/>
  <c r="O109" i="13" s="1"/>
  <c r="M109" i="13"/>
  <c r="N108" i="13"/>
  <c r="O108" i="13" s="1"/>
  <c r="M108" i="13"/>
  <c r="N107" i="13"/>
  <c r="O107" i="13" s="1"/>
  <c r="M107" i="13"/>
  <c r="N106" i="13"/>
  <c r="O106" i="13" s="1"/>
  <c r="M106" i="13"/>
  <c r="N105" i="13"/>
  <c r="O105" i="13" s="1"/>
  <c r="M105" i="13"/>
  <c r="N104" i="13"/>
  <c r="O104" i="13" s="1"/>
  <c r="M104" i="13"/>
  <c r="N103" i="13"/>
  <c r="O103" i="13" s="1"/>
  <c r="M103" i="13"/>
  <c r="N99" i="13"/>
  <c r="O99" i="13" s="1"/>
  <c r="M99" i="13"/>
  <c r="N98" i="13"/>
  <c r="O98" i="13" s="1"/>
  <c r="M98" i="13"/>
  <c r="N97" i="13"/>
  <c r="O97" i="13" s="1"/>
  <c r="M97" i="13"/>
  <c r="N96" i="13"/>
  <c r="O96" i="13" s="1"/>
  <c r="M96" i="13"/>
  <c r="N95" i="13"/>
  <c r="O95" i="13" s="1"/>
  <c r="M95" i="13"/>
  <c r="N94" i="13"/>
  <c r="O94" i="13" s="1"/>
  <c r="M94" i="13"/>
  <c r="N93" i="13"/>
  <c r="O93" i="13" s="1"/>
  <c r="M93" i="13"/>
  <c r="N92" i="13"/>
  <c r="O92" i="13" s="1"/>
  <c r="M92" i="13"/>
  <c r="N91" i="13"/>
  <c r="O91" i="13" s="1"/>
  <c r="M91" i="13"/>
  <c r="N90" i="13"/>
  <c r="O90" i="13" s="1"/>
  <c r="M90" i="13"/>
  <c r="N89" i="13"/>
  <c r="O89" i="13" s="1"/>
  <c r="M89" i="13"/>
  <c r="N85" i="13"/>
  <c r="O85" i="13" s="1"/>
  <c r="M85" i="13"/>
  <c r="N84" i="13"/>
  <c r="O84" i="13" s="1"/>
  <c r="M84" i="13"/>
  <c r="N83" i="13"/>
  <c r="O83" i="13" s="1"/>
  <c r="M83" i="13"/>
  <c r="N82" i="13"/>
  <c r="O82" i="13" s="1"/>
  <c r="M82" i="13"/>
  <c r="N81" i="13"/>
  <c r="O81" i="13" s="1"/>
  <c r="M81" i="13"/>
  <c r="N80" i="13"/>
  <c r="O80" i="13" s="1"/>
  <c r="M80" i="13"/>
  <c r="O79" i="13"/>
  <c r="N79" i="13"/>
  <c r="M79" i="13"/>
  <c r="N78" i="13"/>
  <c r="O78" i="13" s="1"/>
  <c r="M78" i="13"/>
  <c r="N77" i="13"/>
  <c r="O77" i="13" s="1"/>
  <c r="M77" i="13"/>
  <c r="N76" i="13"/>
  <c r="O76" i="13" s="1"/>
  <c r="M76" i="13"/>
  <c r="N75" i="13"/>
  <c r="O75" i="13" s="1"/>
  <c r="M75" i="13"/>
  <c r="N71" i="13"/>
  <c r="O71" i="13" s="1"/>
  <c r="M71" i="13"/>
  <c r="N70" i="13"/>
  <c r="O70" i="13" s="1"/>
  <c r="M70" i="13"/>
  <c r="N69" i="13"/>
  <c r="O69" i="13" s="1"/>
  <c r="M69" i="13"/>
  <c r="N68" i="13"/>
  <c r="O68" i="13" s="1"/>
  <c r="M68" i="13"/>
  <c r="N67" i="13"/>
  <c r="O67" i="13" s="1"/>
  <c r="M67" i="13"/>
  <c r="N66" i="13"/>
  <c r="O66" i="13" s="1"/>
  <c r="M66" i="13"/>
  <c r="N65" i="13"/>
  <c r="O65" i="13" s="1"/>
  <c r="M65" i="13"/>
  <c r="N64" i="13"/>
  <c r="O64" i="13" s="1"/>
  <c r="M64" i="13"/>
  <c r="N63" i="13"/>
  <c r="O63" i="13" s="1"/>
  <c r="M63" i="13"/>
  <c r="N62" i="13"/>
  <c r="O62" i="13" s="1"/>
  <c r="M62" i="13"/>
  <c r="N61" i="13"/>
  <c r="O61" i="13" s="1"/>
  <c r="M61" i="13"/>
  <c r="N57" i="13"/>
  <c r="O57" i="13" s="1"/>
  <c r="M57" i="13"/>
  <c r="N56" i="13"/>
  <c r="O56" i="13" s="1"/>
  <c r="M56" i="13"/>
  <c r="N55" i="13"/>
  <c r="O55" i="13" s="1"/>
  <c r="M55" i="13"/>
  <c r="N54" i="13"/>
  <c r="O54" i="13" s="1"/>
  <c r="M54" i="13"/>
  <c r="N53" i="13"/>
  <c r="O53" i="13" s="1"/>
  <c r="M53" i="13"/>
  <c r="N52" i="13"/>
  <c r="O52" i="13" s="1"/>
  <c r="M52" i="13"/>
  <c r="N51" i="13"/>
  <c r="O51" i="13" s="1"/>
  <c r="M51" i="13"/>
  <c r="N50" i="13"/>
  <c r="O50" i="13" s="1"/>
  <c r="M50" i="13"/>
  <c r="O49" i="13"/>
  <c r="N49" i="13"/>
  <c r="M49" i="13"/>
  <c r="N48" i="13"/>
  <c r="O48" i="13" s="1"/>
  <c r="M48" i="13"/>
  <c r="N47" i="13"/>
  <c r="O47" i="13" s="1"/>
  <c r="M47" i="13"/>
  <c r="N43" i="13"/>
  <c r="O43" i="13" s="1"/>
  <c r="M43" i="13"/>
  <c r="N42" i="13"/>
  <c r="O42" i="13" s="1"/>
  <c r="M42" i="13"/>
  <c r="N41" i="13"/>
  <c r="O41" i="13" s="1"/>
  <c r="M41" i="13"/>
  <c r="N40" i="13"/>
  <c r="O40" i="13" s="1"/>
  <c r="M40" i="13"/>
  <c r="N39" i="13"/>
  <c r="O39" i="13" s="1"/>
  <c r="M39" i="13"/>
  <c r="N38" i="13"/>
  <c r="O38" i="13" s="1"/>
  <c r="M38" i="13"/>
  <c r="N37" i="13"/>
  <c r="O37" i="13" s="1"/>
  <c r="M37" i="13"/>
  <c r="N36" i="13"/>
  <c r="O36" i="13" s="1"/>
  <c r="M36" i="13"/>
  <c r="N35" i="13"/>
  <c r="O35" i="13" s="1"/>
  <c r="M35" i="13"/>
  <c r="N34" i="13"/>
  <c r="O34" i="13" s="1"/>
  <c r="M34" i="13"/>
  <c r="N33" i="13"/>
  <c r="O33" i="13" s="1"/>
  <c r="M33" i="13"/>
  <c r="N29" i="13"/>
  <c r="O29" i="13" s="1"/>
  <c r="M29" i="13"/>
  <c r="N28" i="13"/>
  <c r="O28" i="13" s="1"/>
  <c r="M28" i="13"/>
  <c r="N27" i="13"/>
  <c r="O27" i="13" s="1"/>
  <c r="M27" i="13"/>
  <c r="N26" i="13"/>
  <c r="O26" i="13" s="1"/>
  <c r="M26" i="13"/>
  <c r="N25" i="13"/>
  <c r="O25" i="13" s="1"/>
  <c r="M25" i="13"/>
  <c r="N24" i="13"/>
  <c r="O24" i="13" s="1"/>
  <c r="M24" i="13"/>
  <c r="N23" i="13"/>
  <c r="O23" i="13" s="1"/>
  <c r="M23" i="13"/>
  <c r="N22" i="13"/>
  <c r="O22" i="13" s="1"/>
  <c r="M22" i="13"/>
  <c r="N21" i="13"/>
  <c r="O21" i="13" s="1"/>
  <c r="M21" i="13"/>
  <c r="N20" i="13"/>
  <c r="O20" i="13" s="1"/>
  <c r="M20" i="13"/>
  <c r="N19" i="13"/>
  <c r="O19" i="13" s="1"/>
  <c r="M19" i="13"/>
  <c r="N15" i="13"/>
  <c r="O15" i="13" s="1"/>
  <c r="M15" i="13"/>
  <c r="N14" i="13"/>
  <c r="O14" i="13" s="1"/>
  <c r="M14" i="13"/>
  <c r="N13" i="13"/>
  <c r="O13" i="13" s="1"/>
  <c r="M13" i="13"/>
  <c r="N12" i="13"/>
  <c r="O12" i="13" s="1"/>
  <c r="M12" i="13"/>
  <c r="N11" i="13"/>
  <c r="O11" i="13" s="1"/>
  <c r="M11" i="13"/>
  <c r="N10" i="13"/>
  <c r="O10" i="13" s="1"/>
  <c r="M10" i="13"/>
  <c r="N9" i="13"/>
  <c r="O9" i="13" s="1"/>
  <c r="M9" i="13"/>
  <c r="N8" i="13"/>
  <c r="O8" i="13" s="1"/>
  <c r="M8" i="13"/>
  <c r="N7" i="13"/>
  <c r="O7" i="13" s="1"/>
  <c r="M7" i="13"/>
  <c r="N6" i="13"/>
  <c r="O6" i="13" s="1"/>
  <c r="M6" i="13"/>
  <c r="N5" i="13"/>
  <c r="O5" i="13" s="1"/>
  <c r="M5" i="13"/>
  <c r="Z4" i="13"/>
  <c r="Z3" i="13"/>
  <c r="N169" i="12"/>
  <c r="O169" i="12" s="1"/>
  <c r="V169" i="12" s="1"/>
  <c r="M169" i="12"/>
  <c r="N168" i="12"/>
  <c r="O168" i="12" s="1"/>
  <c r="M168" i="12"/>
  <c r="N167" i="12"/>
  <c r="O167" i="12" s="1"/>
  <c r="M167" i="12"/>
  <c r="N166" i="12"/>
  <c r="O166" i="12" s="1"/>
  <c r="M166" i="12"/>
  <c r="N165" i="12"/>
  <c r="O165" i="12" s="1"/>
  <c r="M165" i="12"/>
  <c r="N164" i="12"/>
  <c r="O164" i="12" s="1"/>
  <c r="M164" i="12"/>
  <c r="N163" i="12"/>
  <c r="O163" i="12" s="1"/>
  <c r="M163" i="12"/>
  <c r="N162" i="12"/>
  <c r="O162" i="12" s="1"/>
  <c r="M162" i="12"/>
  <c r="N161" i="12"/>
  <c r="O161" i="12" s="1"/>
  <c r="M161" i="12"/>
  <c r="N160" i="12"/>
  <c r="O160" i="12" s="1"/>
  <c r="M160" i="12"/>
  <c r="N159" i="12"/>
  <c r="O159" i="12" s="1"/>
  <c r="M159" i="12"/>
  <c r="N155" i="12"/>
  <c r="O155" i="12" s="1"/>
  <c r="M155" i="12"/>
  <c r="N154" i="12"/>
  <c r="O154" i="12" s="1"/>
  <c r="M154" i="12"/>
  <c r="N153" i="12"/>
  <c r="O153" i="12" s="1"/>
  <c r="M153" i="12"/>
  <c r="N152" i="12"/>
  <c r="O152" i="12" s="1"/>
  <c r="M152" i="12"/>
  <c r="N151" i="12"/>
  <c r="O151" i="12" s="1"/>
  <c r="M151" i="12"/>
  <c r="N150" i="12"/>
  <c r="O150" i="12" s="1"/>
  <c r="M150" i="12"/>
  <c r="N149" i="12"/>
  <c r="O149" i="12" s="1"/>
  <c r="M149" i="12"/>
  <c r="N148" i="12"/>
  <c r="O148" i="12" s="1"/>
  <c r="M148" i="12"/>
  <c r="N147" i="12"/>
  <c r="O147" i="12" s="1"/>
  <c r="M147" i="12"/>
  <c r="N146" i="12"/>
  <c r="O146" i="12" s="1"/>
  <c r="M146" i="12"/>
  <c r="N145" i="12"/>
  <c r="O145" i="12" s="1"/>
  <c r="M145" i="12"/>
  <c r="N141" i="12"/>
  <c r="O141" i="12" s="1"/>
  <c r="M141" i="12"/>
  <c r="N140" i="12"/>
  <c r="O140" i="12" s="1"/>
  <c r="M140" i="12"/>
  <c r="N139" i="12"/>
  <c r="O139" i="12" s="1"/>
  <c r="M139" i="12"/>
  <c r="N138" i="12"/>
  <c r="O138" i="12" s="1"/>
  <c r="M138" i="12"/>
  <c r="N137" i="12"/>
  <c r="O137" i="12" s="1"/>
  <c r="M137" i="12"/>
  <c r="N136" i="12"/>
  <c r="O136" i="12" s="1"/>
  <c r="M136" i="12"/>
  <c r="N135" i="12"/>
  <c r="O135" i="12" s="1"/>
  <c r="M135" i="12"/>
  <c r="N134" i="12"/>
  <c r="O134" i="12" s="1"/>
  <c r="M134" i="12"/>
  <c r="N133" i="12"/>
  <c r="O133" i="12" s="1"/>
  <c r="M133" i="12"/>
  <c r="N132" i="12"/>
  <c r="O132" i="12" s="1"/>
  <c r="M132" i="12"/>
  <c r="N131" i="12"/>
  <c r="O131" i="12" s="1"/>
  <c r="M131" i="12"/>
  <c r="N127" i="12"/>
  <c r="O127" i="12" s="1"/>
  <c r="M127" i="12"/>
  <c r="N126" i="12"/>
  <c r="O126" i="12" s="1"/>
  <c r="M126" i="12"/>
  <c r="N125" i="12"/>
  <c r="O125" i="12" s="1"/>
  <c r="M125" i="12"/>
  <c r="N124" i="12"/>
  <c r="O124" i="12" s="1"/>
  <c r="M124" i="12"/>
  <c r="N123" i="12"/>
  <c r="O123" i="12" s="1"/>
  <c r="M123" i="12"/>
  <c r="N122" i="12"/>
  <c r="O122" i="12" s="1"/>
  <c r="M122" i="12"/>
  <c r="N121" i="12"/>
  <c r="O121" i="12" s="1"/>
  <c r="M121" i="12"/>
  <c r="N120" i="12"/>
  <c r="O120" i="12" s="1"/>
  <c r="M120" i="12"/>
  <c r="N119" i="12"/>
  <c r="O119" i="12" s="1"/>
  <c r="M119" i="12"/>
  <c r="N118" i="12"/>
  <c r="O118" i="12" s="1"/>
  <c r="M118" i="12"/>
  <c r="N117" i="12"/>
  <c r="O117" i="12" s="1"/>
  <c r="M117" i="12"/>
  <c r="N113" i="12"/>
  <c r="O113" i="12" s="1"/>
  <c r="M113" i="12"/>
  <c r="O112" i="12"/>
  <c r="N112" i="12"/>
  <c r="M112" i="12"/>
  <c r="N111" i="12"/>
  <c r="O111" i="12" s="1"/>
  <c r="M111" i="12"/>
  <c r="N110" i="12"/>
  <c r="O110" i="12" s="1"/>
  <c r="M110" i="12"/>
  <c r="N109" i="12"/>
  <c r="O109" i="12" s="1"/>
  <c r="M109" i="12"/>
  <c r="N108" i="12"/>
  <c r="O108" i="12" s="1"/>
  <c r="M108" i="12"/>
  <c r="N107" i="12"/>
  <c r="O107" i="12" s="1"/>
  <c r="M107" i="12"/>
  <c r="N106" i="12"/>
  <c r="O106" i="12" s="1"/>
  <c r="M106" i="12"/>
  <c r="N105" i="12"/>
  <c r="O105" i="12" s="1"/>
  <c r="M105" i="12"/>
  <c r="N104" i="12"/>
  <c r="O104" i="12" s="1"/>
  <c r="M104" i="12"/>
  <c r="N103" i="12"/>
  <c r="O103" i="12" s="1"/>
  <c r="M103" i="12"/>
  <c r="N99" i="12"/>
  <c r="O99" i="12" s="1"/>
  <c r="M99" i="12"/>
  <c r="N98" i="12"/>
  <c r="O98" i="12" s="1"/>
  <c r="M98" i="12"/>
  <c r="N97" i="12"/>
  <c r="O97" i="12" s="1"/>
  <c r="M97" i="12"/>
  <c r="N96" i="12"/>
  <c r="O96" i="12" s="1"/>
  <c r="M96" i="12"/>
  <c r="N95" i="12"/>
  <c r="O95" i="12" s="1"/>
  <c r="M95" i="12"/>
  <c r="N94" i="12"/>
  <c r="O94" i="12" s="1"/>
  <c r="M94" i="12"/>
  <c r="N93" i="12"/>
  <c r="O93" i="12" s="1"/>
  <c r="M93" i="12"/>
  <c r="N92" i="12"/>
  <c r="O92" i="12" s="1"/>
  <c r="M92" i="12"/>
  <c r="N91" i="12"/>
  <c r="O91" i="12" s="1"/>
  <c r="M91" i="12"/>
  <c r="N90" i="12"/>
  <c r="O90" i="12" s="1"/>
  <c r="M90" i="12"/>
  <c r="N89" i="12"/>
  <c r="O89" i="12" s="1"/>
  <c r="M89" i="12"/>
  <c r="O85" i="12"/>
  <c r="N85" i="12"/>
  <c r="M85" i="12"/>
  <c r="N84" i="12"/>
  <c r="O84" i="12" s="1"/>
  <c r="M84" i="12"/>
  <c r="N83" i="12"/>
  <c r="O83" i="12" s="1"/>
  <c r="M83" i="12"/>
  <c r="N82" i="12"/>
  <c r="O82" i="12" s="1"/>
  <c r="M82" i="12"/>
  <c r="N81" i="12"/>
  <c r="O81" i="12" s="1"/>
  <c r="M81" i="12"/>
  <c r="N80" i="12"/>
  <c r="O80" i="12" s="1"/>
  <c r="M80" i="12"/>
  <c r="N79" i="12"/>
  <c r="O79" i="12" s="1"/>
  <c r="M79" i="12"/>
  <c r="N78" i="12"/>
  <c r="O78" i="12" s="1"/>
  <c r="M78" i="12"/>
  <c r="N77" i="12"/>
  <c r="O77" i="12" s="1"/>
  <c r="M77" i="12"/>
  <c r="N76" i="12"/>
  <c r="O76" i="12" s="1"/>
  <c r="M76" i="12"/>
  <c r="N75" i="12"/>
  <c r="O75" i="12" s="1"/>
  <c r="M75" i="12"/>
  <c r="N71" i="12"/>
  <c r="O71" i="12" s="1"/>
  <c r="M71" i="12"/>
  <c r="N70" i="12"/>
  <c r="O70" i="12" s="1"/>
  <c r="M70" i="12"/>
  <c r="N69" i="12"/>
  <c r="O69" i="12" s="1"/>
  <c r="M69" i="12"/>
  <c r="N68" i="12"/>
  <c r="O68" i="12" s="1"/>
  <c r="M68" i="12"/>
  <c r="N67" i="12"/>
  <c r="O67" i="12" s="1"/>
  <c r="M67" i="12"/>
  <c r="O66" i="12"/>
  <c r="N66" i="12"/>
  <c r="M66" i="12"/>
  <c r="N65" i="12"/>
  <c r="O65" i="12" s="1"/>
  <c r="M65" i="12"/>
  <c r="N64" i="12"/>
  <c r="O64" i="12" s="1"/>
  <c r="M64" i="12"/>
  <c r="N63" i="12"/>
  <c r="O63" i="12" s="1"/>
  <c r="M63" i="12"/>
  <c r="N62" i="12"/>
  <c r="O62" i="12" s="1"/>
  <c r="M62" i="12"/>
  <c r="N61" i="12"/>
  <c r="O61" i="12" s="1"/>
  <c r="M61" i="12"/>
  <c r="N57" i="12"/>
  <c r="O57" i="12" s="1"/>
  <c r="M57" i="12"/>
  <c r="N56" i="12"/>
  <c r="O56" i="12" s="1"/>
  <c r="M56" i="12"/>
  <c r="N55" i="12"/>
  <c r="O55" i="12" s="1"/>
  <c r="M55" i="12"/>
  <c r="N54" i="12"/>
  <c r="O54" i="12" s="1"/>
  <c r="M54" i="12"/>
  <c r="N53" i="12"/>
  <c r="O53" i="12" s="1"/>
  <c r="M53" i="12"/>
  <c r="N52" i="12"/>
  <c r="O52" i="12" s="1"/>
  <c r="M52" i="12"/>
  <c r="N51" i="12"/>
  <c r="O51" i="12" s="1"/>
  <c r="M51" i="12"/>
  <c r="N50" i="12"/>
  <c r="O50" i="12" s="1"/>
  <c r="M50" i="12"/>
  <c r="N49" i="12"/>
  <c r="O49" i="12" s="1"/>
  <c r="M49" i="12"/>
  <c r="N48" i="12"/>
  <c r="O48" i="12" s="1"/>
  <c r="M48" i="12"/>
  <c r="N47" i="12"/>
  <c r="O47" i="12" s="1"/>
  <c r="M47" i="12"/>
  <c r="N43" i="12"/>
  <c r="O43" i="12" s="1"/>
  <c r="M43" i="12"/>
  <c r="N42" i="12"/>
  <c r="O42" i="12" s="1"/>
  <c r="M42" i="12"/>
  <c r="N41" i="12"/>
  <c r="O41" i="12" s="1"/>
  <c r="M41" i="12"/>
  <c r="N40" i="12"/>
  <c r="O40" i="12" s="1"/>
  <c r="M40" i="12"/>
  <c r="N39" i="12"/>
  <c r="O39" i="12" s="1"/>
  <c r="M39" i="12"/>
  <c r="N38" i="12"/>
  <c r="O38" i="12" s="1"/>
  <c r="M38" i="12"/>
  <c r="N37" i="12"/>
  <c r="O37" i="12" s="1"/>
  <c r="M37" i="12"/>
  <c r="N36" i="12"/>
  <c r="O36" i="12" s="1"/>
  <c r="M36" i="12"/>
  <c r="N35" i="12"/>
  <c r="O35" i="12" s="1"/>
  <c r="M35" i="12"/>
  <c r="N34" i="12"/>
  <c r="O34" i="12" s="1"/>
  <c r="M34" i="12"/>
  <c r="N33" i="12"/>
  <c r="O33" i="12" s="1"/>
  <c r="M33" i="12"/>
  <c r="N29" i="12"/>
  <c r="O29" i="12" s="1"/>
  <c r="M29" i="12"/>
  <c r="N28" i="12"/>
  <c r="O28" i="12" s="1"/>
  <c r="M28" i="12"/>
  <c r="N27" i="12"/>
  <c r="O27" i="12" s="1"/>
  <c r="M27" i="12"/>
  <c r="N26" i="12"/>
  <c r="O26" i="12" s="1"/>
  <c r="M26" i="12"/>
  <c r="N25" i="12"/>
  <c r="O25" i="12" s="1"/>
  <c r="M25" i="12"/>
  <c r="N24" i="12"/>
  <c r="O24" i="12" s="1"/>
  <c r="M24" i="12"/>
  <c r="N23" i="12"/>
  <c r="O23" i="12" s="1"/>
  <c r="M23" i="12"/>
  <c r="N22" i="12"/>
  <c r="O22" i="12" s="1"/>
  <c r="M22" i="12"/>
  <c r="N21" i="12"/>
  <c r="O21" i="12" s="1"/>
  <c r="M21" i="12"/>
  <c r="N20" i="12"/>
  <c r="O20" i="12" s="1"/>
  <c r="M20" i="12"/>
  <c r="N19" i="12"/>
  <c r="O19" i="12" s="1"/>
  <c r="M19" i="12"/>
  <c r="N15" i="12"/>
  <c r="O15" i="12" s="1"/>
  <c r="M15" i="12"/>
  <c r="N14" i="12"/>
  <c r="O14" i="12" s="1"/>
  <c r="M14" i="12"/>
  <c r="N13" i="12"/>
  <c r="O13" i="12" s="1"/>
  <c r="M13" i="12"/>
  <c r="N12" i="12"/>
  <c r="O12" i="12" s="1"/>
  <c r="M12" i="12"/>
  <c r="N11" i="12"/>
  <c r="O11" i="12" s="1"/>
  <c r="M11" i="12"/>
  <c r="N10" i="12"/>
  <c r="O10" i="12" s="1"/>
  <c r="M10" i="12"/>
  <c r="O9" i="12"/>
  <c r="N9" i="12"/>
  <c r="M9" i="12"/>
  <c r="N8" i="12"/>
  <c r="O8" i="12" s="1"/>
  <c r="M8" i="12"/>
  <c r="N7" i="12"/>
  <c r="O7" i="12" s="1"/>
  <c r="M7" i="12"/>
  <c r="N6" i="12"/>
  <c r="O6" i="12" s="1"/>
  <c r="M6" i="12"/>
  <c r="N5" i="12"/>
  <c r="O5" i="12" s="1"/>
  <c r="M5" i="12"/>
  <c r="Z4" i="12"/>
  <c r="Z3" i="12"/>
  <c r="N169" i="10"/>
  <c r="O169" i="10" s="1"/>
  <c r="V169" i="10" s="1"/>
  <c r="M169" i="10"/>
  <c r="N168" i="10"/>
  <c r="O168" i="10" s="1"/>
  <c r="V168" i="10" s="1"/>
  <c r="M168" i="10"/>
  <c r="N167" i="10"/>
  <c r="O167" i="10" s="1"/>
  <c r="V167" i="10" s="1"/>
  <c r="M167" i="10"/>
  <c r="N166" i="10"/>
  <c r="O166" i="10" s="1"/>
  <c r="V166" i="10" s="1"/>
  <c r="M166" i="10"/>
  <c r="N165" i="10"/>
  <c r="O165" i="10" s="1"/>
  <c r="V165" i="10" s="1"/>
  <c r="M165" i="10"/>
  <c r="N164" i="10"/>
  <c r="O164" i="10" s="1"/>
  <c r="V164" i="10" s="1"/>
  <c r="M164" i="10"/>
  <c r="N163" i="10"/>
  <c r="O163" i="10" s="1"/>
  <c r="M163" i="10"/>
  <c r="N162" i="10"/>
  <c r="O162" i="10" s="1"/>
  <c r="M162" i="10"/>
  <c r="N161" i="10"/>
  <c r="O161" i="10" s="1"/>
  <c r="M161" i="10"/>
  <c r="N160" i="10"/>
  <c r="O160" i="10" s="1"/>
  <c r="M160" i="10"/>
  <c r="N159" i="10"/>
  <c r="O159" i="10" s="1"/>
  <c r="M159" i="10"/>
  <c r="N155" i="10"/>
  <c r="O155" i="10" s="1"/>
  <c r="V155" i="10" s="1"/>
  <c r="M155" i="10"/>
  <c r="N154" i="10"/>
  <c r="O154" i="10" s="1"/>
  <c r="V154" i="10" s="1"/>
  <c r="M154" i="10"/>
  <c r="N153" i="10"/>
  <c r="O153" i="10" s="1"/>
  <c r="V153" i="10" s="1"/>
  <c r="M153" i="10"/>
  <c r="N152" i="10"/>
  <c r="O152" i="10" s="1"/>
  <c r="V152" i="10" s="1"/>
  <c r="M152" i="10"/>
  <c r="N151" i="10"/>
  <c r="O151" i="10" s="1"/>
  <c r="V151" i="10" s="1"/>
  <c r="M151" i="10"/>
  <c r="N150" i="10"/>
  <c r="O150" i="10" s="1"/>
  <c r="V150" i="10" s="1"/>
  <c r="M150" i="10"/>
  <c r="N149" i="10"/>
  <c r="O149" i="10" s="1"/>
  <c r="M149" i="10"/>
  <c r="N148" i="10"/>
  <c r="O148" i="10" s="1"/>
  <c r="M148" i="10"/>
  <c r="N147" i="10"/>
  <c r="O147" i="10" s="1"/>
  <c r="M147" i="10"/>
  <c r="N146" i="10"/>
  <c r="O146" i="10" s="1"/>
  <c r="M146" i="10"/>
  <c r="N145" i="10"/>
  <c r="O145" i="10" s="1"/>
  <c r="M145" i="10"/>
  <c r="N141" i="10"/>
  <c r="O141" i="10" s="1"/>
  <c r="V141" i="10" s="1"/>
  <c r="M141" i="10"/>
  <c r="O140" i="10"/>
  <c r="V140" i="10" s="1"/>
  <c r="N140" i="10"/>
  <c r="M140" i="10"/>
  <c r="N139" i="10"/>
  <c r="O139" i="10" s="1"/>
  <c r="V139" i="10" s="1"/>
  <c r="M139" i="10"/>
  <c r="N138" i="10"/>
  <c r="O138" i="10" s="1"/>
  <c r="V138" i="10" s="1"/>
  <c r="M138" i="10"/>
  <c r="N137" i="10"/>
  <c r="O137" i="10" s="1"/>
  <c r="V137" i="10" s="1"/>
  <c r="M137" i="10"/>
  <c r="N136" i="10"/>
  <c r="O136" i="10" s="1"/>
  <c r="V136" i="10" s="1"/>
  <c r="M136" i="10"/>
  <c r="N135" i="10"/>
  <c r="O135" i="10" s="1"/>
  <c r="M135" i="10"/>
  <c r="N134" i="10"/>
  <c r="O134" i="10" s="1"/>
  <c r="M134" i="10"/>
  <c r="N133" i="10"/>
  <c r="O133" i="10" s="1"/>
  <c r="M133" i="10"/>
  <c r="N132" i="10"/>
  <c r="O132" i="10" s="1"/>
  <c r="M132" i="10"/>
  <c r="N131" i="10"/>
  <c r="O131" i="10" s="1"/>
  <c r="M131" i="10"/>
  <c r="N127" i="10"/>
  <c r="O127" i="10" s="1"/>
  <c r="V127" i="10" s="1"/>
  <c r="M127" i="10"/>
  <c r="N126" i="10"/>
  <c r="O126" i="10" s="1"/>
  <c r="V126" i="10" s="1"/>
  <c r="M126" i="10"/>
  <c r="N125" i="10"/>
  <c r="O125" i="10" s="1"/>
  <c r="V125" i="10" s="1"/>
  <c r="M125" i="10"/>
  <c r="N124" i="10"/>
  <c r="O124" i="10" s="1"/>
  <c r="V124" i="10" s="1"/>
  <c r="M124" i="10"/>
  <c r="N123" i="10"/>
  <c r="O123" i="10" s="1"/>
  <c r="V123" i="10" s="1"/>
  <c r="M123" i="10"/>
  <c r="N122" i="10"/>
  <c r="O122" i="10" s="1"/>
  <c r="V122" i="10" s="1"/>
  <c r="M122" i="10"/>
  <c r="N121" i="10"/>
  <c r="O121" i="10" s="1"/>
  <c r="V121" i="10" s="1"/>
  <c r="M121" i="10"/>
  <c r="N120" i="10"/>
  <c r="O120" i="10" s="1"/>
  <c r="M120" i="10"/>
  <c r="N119" i="10"/>
  <c r="O119" i="10" s="1"/>
  <c r="M119" i="10"/>
  <c r="N118" i="10"/>
  <c r="O118" i="10" s="1"/>
  <c r="M118" i="10"/>
  <c r="N117" i="10"/>
  <c r="O117" i="10" s="1"/>
  <c r="M117" i="10"/>
  <c r="N113" i="10"/>
  <c r="O113" i="10" s="1"/>
  <c r="V113" i="10" s="1"/>
  <c r="M113" i="10"/>
  <c r="O112" i="10"/>
  <c r="V112" i="10" s="1"/>
  <c r="N112" i="10"/>
  <c r="M112" i="10"/>
  <c r="N111" i="10"/>
  <c r="O111" i="10" s="1"/>
  <c r="V111" i="10" s="1"/>
  <c r="M111" i="10"/>
  <c r="N110" i="10"/>
  <c r="O110" i="10" s="1"/>
  <c r="V110" i="10" s="1"/>
  <c r="M110" i="10"/>
  <c r="N109" i="10"/>
  <c r="O109" i="10" s="1"/>
  <c r="V109" i="10" s="1"/>
  <c r="M109" i="10"/>
  <c r="N108" i="10"/>
  <c r="O108" i="10" s="1"/>
  <c r="V108" i="10" s="1"/>
  <c r="M108" i="10"/>
  <c r="N107" i="10"/>
  <c r="O107" i="10" s="1"/>
  <c r="M107" i="10"/>
  <c r="N106" i="10"/>
  <c r="O106" i="10" s="1"/>
  <c r="M106" i="10"/>
  <c r="N105" i="10"/>
  <c r="O105" i="10" s="1"/>
  <c r="M105" i="10"/>
  <c r="N104" i="10"/>
  <c r="O104" i="10" s="1"/>
  <c r="M104" i="10"/>
  <c r="N103" i="10"/>
  <c r="O103" i="10" s="1"/>
  <c r="M103" i="10"/>
  <c r="N99" i="10"/>
  <c r="O99" i="10" s="1"/>
  <c r="V99" i="10" s="1"/>
  <c r="M99" i="10"/>
  <c r="N98" i="10"/>
  <c r="O98" i="10" s="1"/>
  <c r="V98" i="10" s="1"/>
  <c r="M98" i="10"/>
  <c r="N97" i="10"/>
  <c r="O97" i="10" s="1"/>
  <c r="V97" i="10" s="1"/>
  <c r="M97" i="10"/>
  <c r="N96" i="10"/>
  <c r="O96" i="10" s="1"/>
  <c r="V96" i="10" s="1"/>
  <c r="M96" i="10"/>
  <c r="N95" i="10"/>
  <c r="O95" i="10" s="1"/>
  <c r="V95" i="10" s="1"/>
  <c r="M95" i="10"/>
  <c r="N94" i="10"/>
  <c r="O94" i="10" s="1"/>
  <c r="V94" i="10" s="1"/>
  <c r="M94" i="10"/>
  <c r="N93" i="10"/>
  <c r="O93" i="10" s="1"/>
  <c r="M93" i="10"/>
  <c r="N92" i="10"/>
  <c r="O92" i="10" s="1"/>
  <c r="M92" i="10"/>
  <c r="N91" i="10"/>
  <c r="O91" i="10" s="1"/>
  <c r="M91" i="10"/>
  <c r="N90" i="10"/>
  <c r="O90" i="10" s="1"/>
  <c r="M90" i="10"/>
  <c r="O89" i="10"/>
  <c r="N89" i="10"/>
  <c r="M89" i="10"/>
  <c r="N85" i="10"/>
  <c r="O85" i="10" s="1"/>
  <c r="V85" i="10" s="1"/>
  <c r="M85" i="10"/>
  <c r="N84" i="10"/>
  <c r="O84" i="10" s="1"/>
  <c r="V84" i="10" s="1"/>
  <c r="M84" i="10"/>
  <c r="N83" i="10"/>
  <c r="O83" i="10" s="1"/>
  <c r="V83" i="10" s="1"/>
  <c r="M83" i="10"/>
  <c r="N82" i="10"/>
  <c r="O82" i="10" s="1"/>
  <c r="V82" i="10" s="1"/>
  <c r="M82" i="10"/>
  <c r="N81" i="10"/>
  <c r="O81" i="10" s="1"/>
  <c r="V81" i="10" s="1"/>
  <c r="M81" i="10"/>
  <c r="O80" i="10"/>
  <c r="V80" i="10" s="1"/>
  <c r="N80" i="10"/>
  <c r="M80" i="10"/>
  <c r="N79" i="10"/>
  <c r="O79" i="10" s="1"/>
  <c r="M79" i="10"/>
  <c r="N78" i="10"/>
  <c r="O78" i="10" s="1"/>
  <c r="M78" i="10"/>
  <c r="N77" i="10"/>
  <c r="O77" i="10" s="1"/>
  <c r="M77" i="10"/>
  <c r="N76" i="10"/>
  <c r="O76" i="10" s="1"/>
  <c r="M76" i="10"/>
  <c r="N75" i="10"/>
  <c r="O75" i="10" s="1"/>
  <c r="M75" i="10"/>
  <c r="N71" i="10"/>
  <c r="O71" i="10" s="1"/>
  <c r="V71" i="10" s="1"/>
  <c r="M71" i="10"/>
  <c r="N70" i="10"/>
  <c r="O70" i="10" s="1"/>
  <c r="V70" i="10" s="1"/>
  <c r="M70" i="10"/>
  <c r="N69" i="10"/>
  <c r="O69" i="10" s="1"/>
  <c r="V69" i="10" s="1"/>
  <c r="M69" i="10"/>
  <c r="N68" i="10"/>
  <c r="O68" i="10" s="1"/>
  <c r="V68" i="10" s="1"/>
  <c r="M68" i="10"/>
  <c r="N67" i="10"/>
  <c r="O67" i="10" s="1"/>
  <c r="V67" i="10" s="1"/>
  <c r="M67" i="10"/>
  <c r="N66" i="10"/>
  <c r="O66" i="10" s="1"/>
  <c r="V66" i="10" s="1"/>
  <c r="M66" i="10"/>
  <c r="N65" i="10"/>
  <c r="O65" i="10" s="1"/>
  <c r="M65" i="10"/>
  <c r="N64" i="10"/>
  <c r="O64" i="10" s="1"/>
  <c r="M64" i="10"/>
  <c r="N63" i="10"/>
  <c r="O63" i="10" s="1"/>
  <c r="M63" i="10"/>
  <c r="N62" i="10"/>
  <c r="O62" i="10" s="1"/>
  <c r="M62" i="10"/>
  <c r="O61" i="10"/>
  <c r="N61" i="10"/>
  <c r="M61" i="10"/>
  <c r="N57" i="10"/>
  <c r="O57" i="10" s="1"/>
  <c r="V57" i="10" s="1"/>
  <c r="M57" i="10"/>
  <c r="N56" i="10"/>
  <c r="O56" i="10" s="1"/>
  <c r="V56" i="10" s="1"/>
  <c r="M56" i="10"/>
  <c r="N55" i="10"/>
  <c r="O55" i="10" s="1"/>
  <c r="V55" i="10" s="1"/>
  <c r="M55" i="10"/>
  <c r="N54" i="10"/>
  <c r="O54" i="10" s="1"/>
  <c r="V54" i="10" s="1"/>
  <c r="M54" i="10"/>
  <c r="N53" i="10"/>
  <c r="O53" i="10" s="1"/>
  <c r="V53" i="10" s="1"/>
  <c r="M53" i="10"/>
  <c r="O52" i="10"/>
  <c r="N52" i="10"/>
  <c r="M52" i="10"/>
  <c r="N51" i="10"/>
  <c r="O51" i="10" s="1"/>
  <c r="M51" i="10"/>
  <c r="N50" i="10"/>
  <c r="O50" i="10" s="1"/>
  <c r="M50" i="10"/>
  <c r="N49" i="10"/>
  <c r="O49" i="10" s="1"/>
  <c r="M49" i="10"/>
  <c r="O48" i="10"/>
  <c r="N48" i="10"/>
  <c r="M48" i="10"/>
  <c r="N47" i="10"/>
  <c r="O47" i="10" s="1"/>
  <c r="M47" i="10"/>
  <c r="N43" i="10"/>
  <c r="O43" i="10" s="1"/>
  <c r="V43" i="10" s="1"/>
  <c r="M43" i="10"/>
  <c r="N42" i="10"/>
  <c r="O42" i="10" s="1"/>
  <c r="V42" i="10" s="1"/>
  <c r="M42" i="10"/>
  <c r="N41" i="10"/>
  <c r="O41" i="10" s="1"/>
  <c r="V41" i="10" s="1"/>
  <c r="M41" i="10"/>
  <c r="N40" i="10"/>
  <c r="O40" i="10" s="1"/>
  <c r="V40" i="10" s="1"/>
  <c r="M40" i="10"/>
  <c r="N39" i="10"/>
  <c r="O39" i="10" s="1"/>
  <c r="V39" i="10" s="1"/>
  <c r="M39" i="10"/>
  <c r="N38" i="10"/>
  <c r="O38" i="10" s="1"/>
  <c r="M38" i="10"/>
  <c r="N37" i="10"/>
  <c r="O37" i="10" s="1"/>
  <c r="M37" i="10"/>
  <c r="N36" i="10"/>
  <c r="O36" i="10" s="1"/>
  <c r="M36" i="10"/>
  <c r="N35" i="10"/>
  <c r="O35" i="10" s="1"/>
  <c r="M35" i="10"/>
  <c r="N34" i="10"/>
  <c r="O34" i="10" s="1"/>
  <c r="M34" i="10"/>
  <c r="N33" i="10"/>
  <c r="O33" i="10" s="1"/>
  <c r="M33" i="10"/>
  <c r="N29" i="10"/>
  <c r="O29" i="10" s="1"/>
  <c r="V29" i="10" s="1"/>
  <c r="M29" i="10"/>
  <c r="N28" i="10"/>
  <c r="O28" i="10" s="1"/>
  <c r="V28" i="10" s="1"/>
  <c r="M28" i="10"/>
  <c r="N27" i="10"/>
  <c r="O27" i="10" s="1"/>
  <c r="V27" i="10" s="1"/>
  <c r="M27" i="10"/>
  <c r="N26" i="10"/>
  <c r="O26" i="10" s="1"/>
  <c r="V26" i="10" s="1"/>
  <c r="M26" i="10"/>
  <c r="N25" i="10"/>
  <c r="O25" i="10" s="1"/>
  <c r="M25" i="10"/>
  <c r="N24" i="10"/>
  <c r="O24" i="10" s="1"/>
  <c r="M24" i="10"/>
  <c r="N23" i="10"/>
  <c r="O23" i="10" s="1"/>
  <c r="M23" i="10"/>
  <c r="N22" i="10"/>
  <c r="O22" i="10" s="1"/>
  <c r="M22" i="10"/>
  <c r="N21" i="10"/>
  <c r="O21" i="10" s="1"/>
  <c r="M21" i="10"/>
  <c r="O20" i="10"/>
  <c r="N20" i="10"/>
  <c r="M20" i="10"/>
  <c r="N19" i="10"/>
  <c r="O19" i="10" s="1"/>
  <c r="M19" i="10"/>
  <c r="N15" i="10"/>
  <c r="O15" i="10" s="1"/>
  <c r="V15" i="10" s="1"/>
  <c r="M15" i="10"/>
  <c r="N14" i="10"/>
  <c r="O14" i="10" s="1"/>
  <c r="V14" i="10" s="1"/>
  <c r="M14" i="10"/>
  <c r="N13" i="10"/>
  <c r="O13" i="10" s="1"/>
  <c r="M13" i="10"/>
  <c r="N12" i="10"/>
  <c r="O12" i="10" s="1"/>
  <c r="M12" i="10"/>
  <c r="N11" i="10"/>
  <c r="O11" i="10" s="1"/>
  <c r="M11" i="10"/>
  <c r="N10" i="10"/>
  <c r="O10" i="10" s="1"/>
  <c r="M10" i="10"/>
  <c r="N9" i="10"/>
  <c r="O9" i="10" s="1"/>
  <c r="M9" i="10"/>
  <c r="N8" i="10"/>
  <c r="O8" i="10" s="1"/>
  <c r="M8" i="10"/>
  <c r="N7" i="10"/>
  <c r="O7" i="10" s="1"/>
  <c r="M7" i="10"/>
  <c r="N6" i="10"/>
  <c r="O6" i="10" s="1"/>
  <c r="M6" i="10"/>
  <c r="N5" i="10"/>
  <c r="O5" i="10" s="1"/>
  <c r="M5" i="10"/>
  <c r="Z4" i="10"/>
  <c r="Z3" i="10"/>
  <c r="N169" i="9"/>
  <c r="O169" i="9" s="1"/>
  <c r="V169" i="9" s="1"/>
  <c r="M169" i="9"/>
  <c r="N168" i="9"/>
  <c r="O168" i="9" s="1"/>
  <c r="V168" i="9" s="1"/>
  <c r="M168" i="9"/>
  <c r="N167" i="9"/>
  <c r="O167" i="9" s="1"/>
  <c r="V167" i="9" s="1"/>
  <c r="M167" i="9"/>
  <c r="N166" i="9"/>
  <c r="O166" i="9" s="1"/>
  <c r="V166" i="9" s="1"/>
  <c r="M166" i="9"/>
  <c r="N165" i="9"/>
  <c r="O165" i="9" s="1"/>
  <c r="V165" i="9" s="1"/>
  <c r="M165" i="9"/>
  <c r="N164" i="9"/>
  <c r="O164" i="9" s="1"/>
  <c r="V164" i="9" s="1"/>
  <c r="M164" i="9"/>
  <c r="N163" i="9"/>
  <c r="O163" i="9" s="1"/>
  <c r="V163" i="9" s="1"/>
  <c r="M163" i="9"/>
  <c r="N162" i="9"/>
  <c r="O162" i="9" s="1"/>
  <c r="M162" i="9"/>
  <c r="N161" i="9"/>
  <c r="O161" i="9" s="1"/>
  <c r="M161" i="9"/>
  <c r="N160" i="9"/>
  <c r="O160" i="9" s="1"/>
  <c r="M160" i="9"/>
  <c r="N159" i="9"/>
  <c r="O159" i="9" s="1"/>
  <c r="M159" i="9"/>
  <c r="N155" i="9"/>
  <c r="O155" i="9" s="1"/>
  <c r="V155" i="9" s="1"/>
  <c r="M155" i="9"/>
  <c r="N154" i="9"/>
  <c r="O154" i="9" s="1"/>
  <c r="V154" i="9" s="1"/>
  <c r="M154" i="9"/>
  <c r="N153" i="9"/>
  <c r="O153" i="9" s="1"/>
  <c r="V153" i="9" s="1"/>
  <c r="M153" i="9"/>
  <c r="N152" i="9"/>
  <c r="O152" i="9" s="1"/>
  <c r="V152" i="9" s="1"/>
  <c r="M152" i="9"/>
  <c r="N151" i="9"/>
  <c r="O151" i="9" s="1"/>
  <c r="V151" i="9" s="1"/>
  <c r="M151" i="9"/>
  <c r="N150" i="9"/>
  <c r="O150" i="9" s="1"/>
  <c r="V150" i="9" s="1"/>
  <c r="M150" i="9"/>
  <c r="O149" i="9"/>
  <c r="N149" i="9"/>
  <c r="M149" i="9"/>
  <c r="N148" i="9"/>
  <c r="O148" i="9" s="1"/>
  <c r="M148" i="9"/>
  <c r="N147" i="9"/>
  <c r="O147" i="9" s="1"/>
  <c r="M147" i="9"/>
  <c r="N146" i="9"/>
  <c r="O146" i="9" s="1"/>
  <c r="M146" i="9"/>
  <c r="N145" i="9"/>
  <c r="O145" i="9" s="1"/>
  <c r="M145" i="9"/>
  <c r="N141" i="9"/>
  <c r="O141" i="9" s="1"/>
  <c r="V141" i="9" s="1"/>
  <c r="M141" i="9"/>
  <c r="N140" i="9"/>
  <c r="O140" i="9" s="1"/>
  <c r="V140" i="9" s="1"/>
  <c r="M140" i="9"/>
  <c r="N139" i="9"/>
  <c r="O139" i="9" s="1"/>
  <c r="V139" i="9" s="1"/>
  <c r="M139" i="9"/>
  <c r="N138" i="9"/>
  <c r="O138" i="9" s="1"/>
  <c r="V138" i="9" s="1"/>
  <c r="M138" i="9"/>
  <c r="N137" i="9"/>
  <c r="O137" i="9" s="1"/>
  <c r="V137" i="9" s="1"/>
  <c r="M137" i="9"/>
  <c r="N136" i="9"/>
  <c r="O136" i="9" s="1"/>
  <c r="V136" i="9" s="1"/>
  <c r="M136" i="9"/>
  <c r="N135" i="9"/>
  <c r="O135" i="9" s="1"/>
  <c r="M135" i="9"/>
  <c r="N134" i="9"/>
  <c r="O134" i="9" s="1"/>
  <c r="M134" i="9"/>
  <c r="N133" i="9"/>
  <c r="O133" i="9" s="1"/>
  <c r="M133" i="9"/>
  <c r="N132" i="9"/>
  <c r="O132" i="9" s="1"/>
  <c r="M132" i="9"/>
  <c r="N131" i="9"/>
  <c r="O131" i="9" s="1"/>
  <c r="M131" i="9"/>
  <c r="N127" i="9"/>
  <c r="O127" i="9" s="1"/>
  <c r="V127" i="9" s="1"/>
  <c r="M127" i="9"/>
  <c r="N126" i="9"/>
  <c r="O126" i="9" s="1"/>
  <c r="V126" i="9" s="1"/>
  <c r="M126" i="9"/>
  <c r="N125" i="9"/>
  <c r="O125" i="9" s="1"/>
  <c r="V125" i="9" s="1"/>
  <c r="M125" i="9"/>
  <c r="N124" i="9"/>
  <c r="O124" i="9" s="1"/>
  <c r="V124" i="9" s="1"/>
  <c r="M124" i="9"/>
  <c r="N123" i="9"/>
  <c r="O123" i="9" s="1"/>
  <c r="V123" i="9" s="1"/>
  <c r="M123" i="9"/>
  <c r="N122" i="9"/>
  <c r="O122" i="9" s="1"/>
  <c r="V122" i="9" s="1"/>
  <c r="M122" i="9"/>
  <c r="N121" i="9"/>
  <c r="O121" i="9" s="1"/>
  <c r="V121" i="9" s="1"/>
  <c r="M121" i="9"/>
  <c r="N120" i="9"/>
  <c r="O120" i="9" s="1"/>
  <c r="V120" i="9" s="1"/>
  <c r="M120" i="9"/>
  <c r="O119" i="9"/>
  <c r="N119" i="9"/>
  <c r="M119" i="9"/>
  <c r="N118" i="9"/>
  <c r="O118" i="9" s="1"/>
  <c r="M118" i="9"/>
  <c r="N117" i="9"/>
  <c r="O117" i="9" s="1"/>
  <c r="M117" i="9"/>
  <c r="N113" i="9"/>
  <c r="O113" i="9" s="1"/>
  <c r="V113" i="9" s="1"/>
  <c r="M113" i="9"/>
  <c r="N112" i="9"/>
  <c r="O112" i="9" s="1"/>
  <c r="V112" i="9" s="1"/>
  <c r="M112" i="9"/>
  <c r="N111" i="9"/>
  <c r="O111" i="9" s="1"/>
  <c r="V111" i="9" s="1"/>
  <c r="M111" i="9"/>
  <c r="N110" i="9"/>
  <c r="O110" i="9" s="1"/>
  <c r="V110" i="9" s="1"/>
  <c r="M110" i="9"/>
  <c r="N109" i="9"/>
  <c r="O109" i="9" s="1"/>
  <c r="V109" i="9" s="1"/>
  <c r="M109" i="9"/>
  <c r="N108" i="9"/>
  <c r="O108" i="9" s="1"/>
  <c r="V108" i="9" s="1"/>
  <c r="M108" i="9"/>
  <c r="N107" i="9"/>
  <c r="O107" i="9" s="1"/>
  <c r="V107" i="9" s="1"/>
  <c r="M107" i="9"/>
  <c r="N106" i="9"/>
  <c r="O106" i="9" s="1"/>
  <c r="V106" i="9" s="1"/>
  <c r="M106" i="9"/>
  <c r="N105" i="9"/>
  <c r="O105" i="9" s="1"/>
  <c r="M105" i="9"/>
  <c r="N104" i="9"/>
  <c r="O104" i="9" s="1"/>
  <c r="M104" i="9"/>
  <c r="N103" i="9"/>
  <c r="O103" i="9" s="1"/>
  <c r="M103" i="9"/>
  <c r="N99" i="9"/>
  <c r="O99" i="9" s="1"/>
  <c r="V99" i="9" s="1"/>
  <c r="M99" i="9"/>
  <c r="N98" i="9"/>
  <c r="O98" i="9" s="1"/>
  <c r="V98" i="9" s="1"/>
  <c r="M98" i="9"/>
  <c r="N97" i="9"/>
  <c r="O97" i="9" s="1"/>
  <c r="V97" i="9" s="1"/>
  <c r="M97" i="9"/>
  <c r="N96" i="9"/>
  <c r="O96" i="9" s="1"/>
  <c r="V96" i="9" s="1"/>
  <c r="M96" i="9"/>
  <c r="N95" i="9"/>
  <c r="O95" i="9" s="1"/>
  <c r="V95" i="9" s="1"/>
  <c r="M95" i="9"/>
  <c r="N94" i="9"/>
  <c r="O94" i="9" s="1"/>
  <c r="V94" i="9" s="1"/>
  <c r="M94" i="9"/>
  <c r="N93" i="9"/>
  <c r="O93" i="9" s="1"/>
  <c r="V93" i="9" s="1"/>
  <c r="M93" i="9"/>
  <c r="N92" i="9"/>
  <c r="O92" i="9" s="1"/>
  <c r="M92" i="9"/>
  <c r="N91" i="9"/>
  <c r="O91" i="9" s="1"/>
  <c r="M91" i="9"/>
  <c r="N90" i="9"/>
  <c r="O90" i="9" s="1"/>
  <c r="M90" i="9"/>
  <c r="O89" i="9"/>
  <c r="N89" i="9"/>
  <c r="M89" i="9"/>
  <c r="N85" i="9"/>
  <c r="O85" i="9" s="1"/>
  <c r="V85" i="9" s="1"/>
  <c r="M85" i="9"/>
  <c r="N84" i="9"/>
  <c r="O84" i="9" s="1"/>
  <c r="V84" i="9" s="1"/>
  <c r="M84" i="9"/>
  <c r="N83" i="9"/>
  <c r="O83" i="9" s="1"/>
  <c r="V83" i="9" s="1"/>
  <c r="M83" i="9"/>
  <c r="N82" i="9"/>
  <c r="O82" i="9" s="1"/>
  <c r="V82" i="9" s="1"/>
  <c r="M82" i="9"/>
  <c r="N81" i="9"/>
  <c r="O81" i="9" s="1"/>
  <c r="V81" i="9" s="1"/>
  <c r="M81" i="9"/>
  <c r="N80" i="9"/>
  <c r="O80" i="9" s="1"/>
  <c r="V80" i="9" s="1"/>
  <c r="M80" i="9"/>
  <c r="N79" i="9"/>
  <c r="O79" i="9" s="1"/>
  <c r="V79" i="9" s="1"/>
  <c r="M79" i="9"/>
  <c r="O78" i="9"/>
  <c r="N78" i="9"/>
  <c r="M78" i="9"/>
  <c r="N77" i="9"/>
  <c r="O77" i="9" s="1"/>
  <c r="M77" i="9"/>
  <c r="N76" i="9"/>
  <c r="O76" i="9" s="1"/>
  <c r="M76" i="9"/>
  <c r="N75" i="9"/>
  <c r="O75" i="9" s="1"/>
  <c r="M75" i="9"/>
  <c r="N71" i="9"/>
  <c r="O71" i="9" s="1"/>
  <c r="V71" i="9" s="1"/>
  <c r="M71" i="9"/>
  <c r="N70" i="9"/>
  <c r="O70" i="9" s="1"/>
  <c r="V70" i="9" s="1"/>
  <c r="M70" i="9"/>
  <c r="N69" i="9"/>
  <c r="O69" i="9" s="1"/>
  <c r="V69" i="9" s="1"/>
  <c r="M69" i="9"/>
  <c r="N68" i="9"/>
  <c r="O68" i="9" s="1"/>
  <c r="V68" i="9" s="1"/>
  <c r="M68" i="9"/>
  <c r="N67" i="9"/>
  <c r="O67" i="9" s="1"/>
  <c r="V67" i="9" s="1"/>
  <c r="M67" i="9"/>
  <c r="N66" i="9"/>
  <c r="O66" i="9" s="1"/>
  <c r="V66" i="9" s="1"/>
  <c r="M66" i="9"/>
  <c r="N65" i="9"/>
  <c r="O65" i="9" s="1"/>
  <c r="M65" i="9"/>
  <c r="N64" i="9"/>
  <c r="O64" i="9" s="1"/>
  <c r="M64" i="9"/>
  <c r="N63" i="9"/>
  <c r="O63" i="9" s="1"/>
  <c r="M63" i="9"/>
  <c r="N62" i="9"/>
  <c r="O62" i="9" s="1"/>
  <c r="M62" i="9"/>
  <c r="N61" i="9"/>
  <c r="O61" i="9" s="1"/>
  <c r="M61" i="9"/>
  <c r="N57" i="9"/>
  <c r="O57" i="9" s="1"/>
  <c r="V57" i="9" s="1"/>
  <c r="M57" i="9"/>
  <c r="N56" i="9"/>
  <c r="O56" i="9" s="1"/>
  <c r="V56" i="9" s="1"/>
  <c r="M56" i="9"/>
  <c r="N55" i="9"/>
  <c r="O55" i="9" s="1"/>
  <c r="V55" i="9" s="1"/>
  <c r="M55" i="9"/>
  <c r="N54" i="9"/>
  <c r="O54" i="9" s="1"/>
  <c r="V54" i="9" s="1"/>
  <c r="M54" i="9"/>
  <c r="N53" i="9"/>
  <c r="O53" i="9" s="1"/>
  <c r="V53" i="9" s="1"/>
  <c r="M53" i="9"/>
  <c r="O52" i="9"/>
  <c r="N52" i="9"/>
  <c r="M52" i="9"/>
  <c r="N51" i="9"/>
  <c r="O51" i="9" s="1"/>
  <c r="M51" i="9"/>
  <c r="N50" i="9"/>
  <c r="O50" i="9" s="1"/>
  <c r="M50" i="9"/>
  <c r="N49" i="9"/>
  <c r="O49" i="9" s="1"/>
  <c r="M49" i="9"/>
  <c r="N48" i="9"/>
  <c r="O48" i="9" s="1"/>
  <c r="M48" i="9"/>
  <c r="N47" i="9"/>
  <c r="O47" i="9" s="1"/>
  <c r="M47" i="9"/>
  <c r="N43" i="9"/>
  <c r="O43" i="9" s="1"/>
  <c r="V43" i="9" s="1"/>
  <c r="M43" i="9"/>
  <c r="N42" i="9"/>
  <c r="O42" i="9" s="1"/>
  <c r="V42" i="9" s="1"/>
  <c r="M42" i="9"/>
  <c r="N41" i="9"/>
  <c r="O41" i="9" s="1"/>
  <c r="V41" i="9" s="1"/>
  <c r="M41" i="9"/>
  <c r="N40" i="9"/>
  <c r="O40" i="9" s="1"/>
  <c r="V40" i="9" s="1"/>
  <c r="M40" i="9"/>
  <c r="N39" i="9"/>
  <c r="O39" i="9" s="1"/>
  <c r="V39" i="9" s="1"/>
  <c r="M39" i="9"/>
  <c r="N38" i="9"/>
  <c r="O38" i="9" s="1"/>
  <c r="M38" i="9"/>
  <c r="O37" i="9"/>
  <c r="N37" i="9"/>
  <c r="M37" i="9"/>
  <c r="N36" i="9"/>
  <c r="O36" i="9" s="1"/>
  <c r="M36" i="9"/>
  <c r="N35" i="9"/>
  <c r="O35" i="9" s="1"/>
  <c r="M35" i="9"/>
  <c r="N34" i="9"/>
  <c r="O34" i="9" s="1"/>
  <c r="M34" i="9"/>
  <c r="N33" i="9"/>
  <c r="O33" i="9" s="1"/>
  <c r="M33" i="9"/>
  <c r="N29" i="9"/>
  <c r="O29" i="9" s="1"/>
  <c r="V29" i="9" s="1"/>
  <c r="M29" i="9"/>
  <c r="N28" i="9"/>
  <c r="O28" i="9" s="1"/>
  <c r="V28" i="9" s="1"/>
  <c r="M28" i="9"/>
  <c r="N27" i="9"/>
  <c r="O27" i="9" s="1"/>
  <c r="V27" i="9" s="1"/>
  <c r="M27" i="9"/>
  <c r="N26" i="9"/>
  <c r="O26" i="9" s="1"/>
  <c r="V26" i="9" s="1"/>
  <c r="M26" i="9"/>
  <c r="N25" i="9"/>
  <c r="O25" i="9" s="1"/>
  <c r="M25" i="9"/>
  <c r="N24" i="9"/>
  <c r="O24" i="9" s="1"/>
  <c r="M24" i="9"/>
  <c r="N23" i="9"/>
  <c r="O23" i="9" s="1"/>
  <c r="M23" i="9"/>
  <c r="N22" i="9"/>
  <c r="O22" i="9" s="1"/>
  <c r="M22" i="9"/>
  <c r="N21" i="9"/>
  <c r="O21" i="9" s="1"/>
  <c r="M21" i="9"/>
  <c r="N20" i="9"/>
  <c r="O20" i="9" s="1"/>
  <c r="M20" i="9"/>
  <c r="N19" i="9"/>
  <c r="O19" i="9" s="1"/>
  <c r="M19" i="9"/>
  <c r="N15" i="9"/>
  <c r="O15" i="9" s="1"/>
  <c r="V15" i="9" s="1"/>
  <c r="M15" i="9"/>
  <c r="N14" i="9"/>
  <c r="O14" i="9" s="1"/>
  <c r="V14" i="9" s="1"/>
  <c r="M14" i="9"/>
  <c r="N13" i="9"/>
  <c r="O13" i="9" s="1"/>
  <c r="M13" i="9"/>
  <c r="N12" i="9"/>
  <c r="O12" i="9" s="1"/>
  <c r="M12" i="9"/>
  <c r="N11" i="9"/>
  <c r="O11" i="9" s="1"/>
  <c r="M11" i="9"/>
  <c r="N10" i="9"/>
  <c r="O10" i="9" s="1"/>
  <c r="M10" i="9"/>
  <c r="N9" i="9"/>
  <c r="O9" i="9" s="1"/>
  <c r="M9" i="9"/>
  <c r="N8" i="9"/>
  <c r="O8" i="9" s="1"/>
  <c r="M8" i="9"/>
  <c r="N7" i="9"/>
  <c r="O7" i="9" s="1"/>
  <c r="M7" i="9"/>
  <c r="O6" i="9"/>
  <c r="N6" i="9"/>
  <c r="M6" i="9"/>
  <c r="N5" i="9"/>
  <c r="O5" i="9" s="1"/>
  <c r="M5" i="9"/>
  <c r="Z4" i="9"/>
  <c r="Z3" i="9"/>
  <c r="N169" i="8"/>
  <c r="O169" i="8" s="1"/>
  <c r="V169" i="8" s="1"/>
  <c r="M169" i="8"/>
  <c r="N168" i="8"/>
  <c r="O168" i="8" s="1"/>
  <c r="V168" i="8" s="1"/>
  <c r="M168" i="8"/>
  <c r="N167" i="8"/>
  <c r="O167" i="8" s="1"/>
  <c r="V167" i="8" s="1"/>
  <c r="M167" i="8"/>
  <c r="N166" i="8"/>
  <c r="O166" i="8" s="1"/>
  <c r="V166" i="8" s="1"/>
  <c r="M166" i="8"/>
  <c r="N165" i="8"/>
  <c r="O165" i="8" s="1"/>
  <c r="V165" i="8" s="1"/>
  <c r="M165" i="8"/>
  <c r="N164" i="8"/>
  <c r="O164" i="8" s="1"/>
  <c r="V164" i="8" s="1"/>
  <c r="M164" i="8"/>
  <c r="N163" i="8"/>
  <c r="O163" i="8" s="1"/>
  <c r="V163" i="8" s="1"/>
  <c r="M163" i="8"/>
  <c r="N162" i="8"/>
  <c r="O162" i="8" s="1"/>
  <c r="M162" i="8"/>
  <c r="N161" i="8"/>
  <c r="O161" i="8" s="1"/>
  <c r="M161" i="8"/>
  <c r="N160" i="8"/>
  <c r="O160" i="8" s="1"/>
  <c r="M160" i="8"/>
  <c r="N159" i="8"/>
  <c r="O159" i="8" s="1"/>
  <c r="M159" i="8"/>
  <c r="N155" i="8"/>
  <c r="O155" i="8" s="1"/>
  <c r="V155" i="8" s="1"/>
  <c r="M155" i="8"/>
  <c r="N154" i="8"/>
  <c r="O154" i="8" s="1"/>
  <c r="V154" i="8" s="1"/>
  <c r="M154" i="8"/>
  <c r="N153" i="8"/>
  <c r="O153" i="8" s="1"/>
  <c r="V153" i="8" s="1"/>
  <c r="M153" i="8"/>
  <c r="N152" i="8"/>
  <c r="O152" i="8" s="1"/>
  <c r="V152" i="8" s="1"/>
  <c r="M152" i="8"/>
  <c r="N151" i="8"/>
  <c r="O151" i="8" s="1"/>
  <c r="V151" i="8" s="1"/>
  <c r="M151" i="8"/>
  <c r="N150" i="8"/>
  <c r="O150" i="8" s="1"/>
  <c r="V150" i="8" s="1"/>
  <c r="M150" i="8"/>
  <c r="N149" i="8"/>
  <c r="O149" i="8" s="1"/>
  <c r="M149" i="8"/>
  <c r="N148" i="8"/>
  <c r="O148" i="8" s="1"/>
  <c r="M148" i="8"/>
  <c r="O147" i="8"/>
  <c r="N147" i="8"/>
  <c r="M147" i="8"/>
  <c r="N146" i="8"/>
  <c r="O146" i="8" s="1"/>
  <c r="M146" i="8"/>
  <c r="N145" i="8"/>
  <c r="O145" i="8" s="1"/>
  <c r="M145" i="8"/>
  <c r="N141" i="8"/>
  <c r="O141" i="8" s="1"/>
  <c r="V141" i="8" s="1"/>
  <c r="M141" i="8"/>
  <c r="N140" i="8"/>
  <c r="O140" i="8" s="1"/>
  <c r="V140" i="8" s="1"/>
  <c r="M140" i="8"/>
  <c r="N139" i="8"/>
  <c r="O139" i="8" s="1"/>
  <c r="V139" i="8" s="1"/>
  <c r="M139" i="8"/>
  <c r="N138" i="8"/>
  <c r="O138" i="8" s="1"/>
  <c r="V138" i="8" s="1"/>
  <c r="M138" i="8"/>
  <c r="N137" i="8"/>
  <c r="O137" i="8" s="1"/>
  <c r="V137" i="8" s="1"/>
  <c r="M137" i="8"/>
  <c r="N136" i="8"/>
  <c r="O136" i="8" s="1"/>
  <c r="V136" i="8" s="1"/>
  <c r="M136" i="8"/>
  <c r="N135" i="8"/>
  <c r="O135" i="8" s="1"/>
  <c r="M135" i="8"/>
  <c r="N134" i="8"/>
  <c r="O134" i="8" s="1"/>
  <c r="M134" i="8"/>
  <c r="N133" i="8"/>
  <c r="O133" i="8" s="1"/>
  <c r="M133" i="8"/>
  <c r="N132" i="8"/>
  <c r="O132" i="8" s="1"/>
  <c r="M132" i="8"/>
  <c r="N131" i="8"/>
  <c r="O131" i="8" s="1"/>
  <c r="M131" i="8"/>
  <c r="N127" i="8"/>
  <c r="O127" i="8" s="1"/>
  <c r="V127" i="8" s="1"/>
  <c r="M127" i="8"/>
  <c r="N126" i="8"/>
  <c r="O126" i="8" s="1"/>
  <c r="V126" i="8" s="1"/>
  <c r="M126" i="8"/>
  <c r="N125" i="8"/>
  <c r="O125" i="8" s="1"/>
  <c r="V125" i="8" s="1"/>
  <c r="M125" i="8"/>
  <c r="N124" i="8"/>
  <c r="O124" i="8" s="1"/>
  <c r="V124" i="8" s="1"/>
  <c r="M124" i="8"/>
  <c r="N123" i="8"/>
  <c r="O123" i="8" s="1"/>
  <c r="V123" i="8" s="1"/>
  <c r="M123" i="8"/>
  <c r="N122" i="8"/>
  <c r="O122" i="8" s="1"/>
  <c r="V122" i="8" s="1"/>
  <c r="M122" i="8"/>
  <c r="O121" i="8"/>
  <c r="V121" i="8" s="1"/>
  <c r="N121" i="8"/>
  <c r="M121" i="8"/>
  <c r="N120" i="8"/>
  <c r="O120" i="8" s="1"/>
  <c r="V120" i="8" s="1"/>
  <c r="M120" i="8"/>
  <c r="N119" i="8"/>
  <c r="O119" i="8" s="1"/>
  <c r="M119" i="8"/>
  <c r="N118" i="8"/>
  <c r="O118" i="8" s="1"/>
  <c r="M118" i="8"/>
  <c r="N117" i="8"/>
  <c r="O117" i="8" s="1"/>
  <c r="M117" i="8"/>
  <c r="N113" i="8"/>
  <c r="O113" i="8" s="1"/>
  <c r="V113" i="8" s="1"/>
  <c r="M113" i="8"/>
  <c r="O112" i="8"/>
  <c r="V112" i="8" s="1"/>
  <c r="N112" i="8"/>
  <c r="M112" i="8"/>
  <c r="N111" i="8"/>
  <c r="O111" i="8" s="1"/>
  <c r="V111" i="8" s="1"/>
  <c r="M111" i="8"/>
  <c r="N110" i="8"/>
  <c r="O110" i="8" s="1"/>
  <c r="V110" i="8" s="1"/>
  <c r="M110" i="8"/>
  <c r="N109" i="8"/>
  <c r="O109" i="8" s="1"/>
  <c r="V109" i="8" s="1"/>
  <c r="M109" i="8"/>
  <c r="N108" i="8"/>
  <c r="O108" i="8" s="1"/>
  <c r="V108" i="8" s="1"/>
  <c r="M108" i="8"/>
  <c r="N107" i="8"/>
  <c r="O107" i="8" s="1"/>
  <c r="V107" i="8" s="1"/>
  <c r="M107" i="8"/>
  <c r="N106" i="8"/>
  <c r="O106" i="8" s="1"/>
  <c r="M106" i="8"/>
  <c r="N105" i="8"/>
  <c r="O105" i="8" s="1"/>
  <c r="M105" i="8"/>
  <c r="N104" i="8"/>
  <c r="O104" i="8" s="1"/>
  <c r="M104" i="8"/>
  <c r="N103" i="8"/>
  <c r="O103" i="8" s="1"/>
  <c r="M103" i="8"/>
  <c r="O99" i="8"/>
  <c r="V99" i="8" s="1"/>
  <c r="N99" i="8"/>
  <c r="M99" i="8"/>
  <c r="N98" i="8"/>
  <c r="O98" i="8" s="1"/>
  <c r="V98" i="8" s="1"/>
  <c r="M98" i="8"/>
  <c r="N97" i="8"/>
  <c r="O97" i="8" s="1"/>
  <c r="V97" i="8" s="1"/>
  <c r="M97" i="8"/>
  <c r="N96" i="8"/>
  <c r="O96" i="8" s="1"/>
  <c r="V96" i="8" s="1"/>
  <c r="M96" i="8"/>
  <c r="N95" i="8"/>
  <c r="O95" i="8" s="1"/>
  <c r="V95" i="8" s="1"/>
  <c r="M95" i="8"/>
  <c r="N94" i="8"/>
  <c r="O94" i="8" s="1"/>
  <c r="V94" i="8" s="1"/>
  <c r="M94" i="8"/>
  <c r="N93" i="8"/>
  <c r="O93" i="8" s="1"/>
  <c r="V93" i="8" s="1"/>
  <c r="M93" i="8"/>
  <c r="N92" i="8"/>
  <c r="O92" i="8" s="1"/>
  <c r="M92" i="8"/>
  <c r="N91" i="8"/>
  <c r="O91" i="8" s="1"/>
  <c r="M91" i="8"/>
  <c r="N90" i="8"/>
  <c r="O90" i="8" s="1"/>
  <c r="M90" i="8"/>
  <c r="N89" i="8"/>
  <c r="O89" i="8" s="1"/>
  <c r="M89" i="8"/>
  <c r="N85" i="8"/>
  <c r="O85" i="8" s="1"/>
  <c r="V85" i="8" s="1"/>
  <c r="M85" i="8"/>
  <c r="N84" i="8"/>
  <c r="O84" i="8" s="1"/>
  <c r="V84" i="8" s="1"/>
  <c r="M84" i="8"/>
  <c r="N83" i="8"/>
  <c r="O83" i="8" s="1"/>
  <c r="V83" i="8" s="1"/>
  <c r="M83" i="8"/>
  <c r="N82" i="8"/>
  <c r="O82" i="8" s="1"/>
  <c r="V82" i="8" s="1"/>
  <c r="M82" i="8"/>
  <c r="N81" i="8"/>
  <c r="O81" i="8" s="1"/>
  <c r="V81" i="8" s="1"/>
  <c r="M81" i="8"/>
  <c r="N80" i="8"/>
  <c r="O80" i="8" s="1"/>
  <c r="V80" i="8" s="1"/>
  <c r="M80" i="8"/>
  <c r="N79" i="8"/>
  <c r="O79" i="8" s="1"/>
  <c r="V79" i="8" s="1"/>
  <c r="M79" i="8"/>
  <c r="N78" i="8"/>
  <c r="O78" i="8" s="1"/>
  <c r="M78" i="8"/>
  <c r="N77" i="8"/>
  <c r="O77" i="8" s="1"/>
  <c r="M77" i="8"/>
  <c r="N76" i="8"/>
  <c r="O76" i="8" s="1"/>
  <c r="M76" i="8"/>
  <c r="N75" i="8"/>
  <c r="O75" i="8" s="1"/>
  <c r="M75" i="8"/>
  <c r="N71" i="8"/>
  <c r="O71" i="8" s="1"/>
  <c r="V71" i="8" s="1"/>
  <c r="M71" i="8"/>
  <c r="N70" i="8"/>
  <c r="O70" i="8" s="1"/>
  <c r="V70" i="8" s="1"/>
  <c r="M70" i="8"/>
  <c r="N69" i="8"/>
  <c r="O69" i="8" s="1"/>
  <c r="V69" i="8" s="1"/>
  <c r="M69" i="8"/>
  <c r="N68" i="8"/>
  <c r="O68" i="8" s="1"/>
  <c r="V68" i="8" s="1"/>
  <c r="M68" i="8"/>
  <c r="N67" i="8"/>
  <c r="O67" i="8" s="1"/>
  <c r="V67" i="8" s="1"/>
  <c r="M67" i="8"/>
  <c r="N66" i="8"/>
  <c r="O66" i="8" s="1"/>
  <c r="V66" i="8" s="1"/>
  <c r="M66" i="8"/>
  <c r="N65" i="8"/>
  <c r="O65" i="8" s="1"/>
  <c r="V65" i="8" s="1"/>
  <c r="M65" i="8"/>
  <c r="N64" i="8"/>
  <c r="O64" i="8" s="1"/>
  <c r="M64" i="8"/>
  <c r="N63" i="8"/>
  <c r="O63" i="8" s="1"/>
  <c r="M63" i="8"/>
  <c r="N62" i="8"/>
  <c r="O62" i="8" s="1"/>
  <c r="M62" i="8"/>
  <c r="N61" i="8"/>
  <c r="O61" i="8" s="1"/>
  <c r="M61" i="8"/>
  <c r="N57" i="8"/>
  <c r="O57" i="8" s="1"/>
  <c r="V57" i="8" s="1"/>
  <c r="M57" i="8"/>
  <c r="N56" i="8"/>
  <c r="O56" i="8" s="1"/>
  <c r="V56" i="8" s="1"/>
  <c r="M56" i="8"/>
  <c r="N55" i="8"/>
  <c r="O55" i="8" s="1"/>
  <c r="V55" i="8" s="1"/>
  <c r="M55" i="8"/>
  <c r="N54" i="8"/>
  <c r="O54" i="8" s="1"/>
  <c r="V54" i="8" s="1"/>
  <c r="M54" i="8"/>
  <c r="N53" i="8"/>
  <c r="O53" i="8" s="1"/>
  <c r="V53" i="8" s="1"/>
  <c r="M53" i="8"/>
  <c r="N52" i="8"/>
  <c r="O52" i="8" s="1"/>
  <c r="V52" i="8" s="1"/>
  <c r="M52" i="8"/>
  <c r="N51" i="8"/>
  <c r="O51" i="8" s="1"/>
  <c r="M51" i="8"/>
  <c r="N50" i="8"/>
  <c r="O50" i="8" s="1"/>
  <c r="M50" i="8"/>
  <c r="N49" i="8"/>
  <c r="O49" i="8" s="1"/>
  <c r="M49" i="8"/>
  <c r="N48" i="8"/>
  <c r="O48" i="8" s="1"/>
  <c r="M48" i="8"/>
  <c r="N47" i="8"/>
  <c r="O47" i="8" s="1"/>
  <c r="M47" i="8"/>
  <c r="N43" i="8"/>
  <c r="O43" i="8" s="1"/>
  <c r="V43" i="8" s="1"/>
  <c r="M43" i="8"/>
  <c r="N42" i="8"/>
  <c r="O42" i="8" s="1"/>
  <c r="V42" i="8" s="1"/>
  <c r="M42" i="8"/>
  <c r="N41" i="8"/>
  <c r="O41" i="8" s="1"/>
  <c r="V41" i="8" s="1"/>
  <c r="M41" i="8"/>
  <c r="N40" i="8"/>
  <c r="O40" i="8" s="1"/>
  <c r="V40" i="8" s="1"/>
  <c r="M40" i="8"/>
  <c r="N39" i="8"/>
  <c r="O39" i="8" s="1"/>
  <c r="V39" i="8" s="1"/>
  <c r="M39" i="8"/>
  <c r="N38" i="8"/>
  <c r="O38" i="8" s="1"/>
  <c r="M38" i="8"/>
  <c r="N37" i="8"/>
  <c r="O37" i="8" s="1"/>
  <c r="M37" i="8"/>
  <c r="N36" i="8"/>
  <c r="O36" i="8" s="1"/>
  <c r="M36" i="8"/>
  <c r="N35" i="8"/>
  <c r="O35" i="8" s="1"/>
  <c r="M35" i="8"/>
  <c r="N34" i="8"/>
  <c r="O34" i="8" s="1"/>
  <c r="M34" i="8"/>
  <c r="N33" i="8"/>
  <c r="O33" i="8" s="1"/>
  <c r="M33" i="8"/>
  <c r="N29" i="8"/>
  <c r="O29" i="8" s="1"/>
  <c r="V29" i="8" s="1"/>
  <c r="M29" i="8"/>
  <c r="N28" i="8"/>
  <c r="O28" i="8" s="1"/>
  <c r="V28" i="8" s="1"/>
  <c r="M28" i="8"/>
  <c r="N27" i="8"/>
  <c r="O27" i="8" s="1"/>
  <c r="V27" i="8" s="1"/>
  <c r="M27" i="8"/>
  <c r="N26" i="8"/>
  <c r="O26" i="8" s="1"/>
  <c r="V26" i="8" s="1"/>
  <c r="M26" i="8"/>
  <c r="N25" i="8"/>
  <c r="O25" i="8" s="1"/>
  <c r="V25" i="8" s="1"/>
  <c r="M25" i="8"/>
  <c r="N24" i="8"/>
  <c r="O24" i="8" s="1"/>
  <c r="M24" i="8"/>
  <c r="N23" i="8"/>
  <c r="O23" i="8" s="1"/>
  <c r="M23" i="8"/>
  <c r="N22" i="8"/>
  <c r="O22" i="8" s="1"/>
  <c r="M22" i="8"/>
  <c r="N21" i="8"/>
  <c r="O21" i="8" s="1"/>
  <c r="M21" i="8"/>
  <c r="N20" i="8"/>
  <c r="O20" i="8" s="1"/>
  <c r="M20" i="8"/>
  <c r="N19" i="8"/>
  <c r="O19" i="8" s="1"/>
  <c r="M19" i="8"/>
  <c r="N15" i="8"/>
  <c r="O15" i="8" s="1"/>
  <c r="V15" i="8" s="1"/>
  <c r="M15" i="8"/>
  <c r="N14" i="8"/>
  <c r="O14" i="8" s="1"/>
  <c r="V14" i="8" s="1"/>
  <c r="M14" i="8"/>
  <c r="N13" i="8"/>
  <c r="O13" i="8" s="1"/>
  <c r="V13" i="8" s="1"/>
  <c r="M13" i="8"/>
  <c r="N12" i="8"/>
  <c r="O12" i="8" s="1"/>
  <c r="V12" i="8" s="1"/>
  <c r="M12" i="8"/>
  <c r="N11" i="8"/>
  <c r="O11" i="8" s="1"/>
  <c r="M11" i="8"/>
  <c r="N10" i="8"/>
  <c r="O10" i="8" s="1"/>
  <c r="M10" i="8"/>
  <c r="N9" i="8"/>
  <c r="O9" i="8" s="1"/>
  <c r="M9" i="8"/>
  <c r="N8" i="8"/>
  <c r="O8" i="8" s="1"/>
  <c r="M8" i="8"/>
  <c r="O7" i="8"/>
  <c r="N7" i="8"/>
  <c r="M7" i="8"/>
  <c r="N6" i="8"/>
  <c r="O6" i="8" s="1"/>
  <c r="M6" i="8"/>
  <c r="N5" i="8"/>
  <c r="O5" i="8" s="1"/>
  <c r="M5" i="8"/>
  <c r="Z4" i="8"/>
  <c r="Z3" i="8"/>
  <c r="N169" i="7"/>
  <c r="O169" i="7" s="1"/>
  <c r="V169" i="7" s="1"/>
  <c r="M169" i="7"/>
  <c r="O168" i="7"/>
  <c r="V168" i="7" s="1"/>
  <c r="N168" i="7"/>
  <c r="M168" i="7"/>
  <c r="N167" i="7"/>
  <c r="O167" i="7" s="1"/>
  <c r="V167" i="7" s="1"/>
  <c r="M167" i="7"/>
  <c r="N166" i="7"/>
  <c r="O166" i="7" s="1"/>
  <c r="V166" i="7" s="1"/>
  <c r="M166" i="7"/>
  <c r="N165" i="7"/>
  <c r="O165" i="7" s="1"/>
  <c r="V165" i="7" s="1"/>
  <c r="M165" i="7"/>
  <c r="N164" i="7"/>
  <c r="O164" i="7" s="1"/>
  <c r="V164" i="7" s="1"/>
  <c r="M164" i="7"/>
  <c r="N163" i="7"/>
  <c r="O163" i="7" s="1"/>
  <c r="V163" i="7" s="1"/>
  <c r="M163" i="7"/>
  <c r="N162" i="7"/>
  <c r="O162" i="7" s="1"/>
  <c r="M162" i="7"/>
  <c r="N161" i="7"/>
  <c r="O161" i="7" s="1"/>
  <c r="M161" i="7"/>
  <c r="N160" i="7"/>
  <c r="O160" i="7" s="1"/>
  <c r="M160" i="7"/>
  <c r="N159" i="7"/>
  <c r="O159" i="7" s="1"/>
  <c r="M159" i="7"/>
  <c r="N155" i="7"/>
  <c r="O155" i="7" s="1"/>
  <c r="V155" i="7" s="1"/>
  <c r="M155" i="7"/>
  <c r="N154" i="7"/>
  <c r="O154" i="7" s="1"/>
  <c r="V154" i="7" s="1"/>
  <c r="M154" i="7"/>
  <c r="N153" i="7"/>
  <c r="O153" i="7" s="1"/>
  <c r="V153" i="7" s="1"/>
  <c r="M153" i="7"/>
  <c r="N152" i="7"/>
  <c r="O152" i="7" s="1"/>
  <c r="V152" i="7" s="1"/>
  <c r="M152" i="7"/>
  <c r="N151" i="7"/>
  <c r="O151" i="7" s="1"/>
  <c r="V151" i="7" s="1"/>
  <c r="M151" i="7"/>
  <c r="N150" i="7"/>
  <c r="O150" i="7" s="1"/>
  <c r="V150" i="7" s="1"/>
  <c r="M150" i="7"/>
  <c r="N149" i="7"/>
  <c r="O149" i="7" s="1"/>
  <c r="M149" i="7"/>
  <c r="N148" i="7"/>
  <c r="O148" i="7" s="1"/>
  <c r="M148" i="7"/>
  <c r="N147" i="7"/>
  <c r="O147" i="7" s="1"/>
  <c r="M147" i="7"/>
  <c r="N146" i="7"/>
  <c r="O146" i="7" s="1"/>
  <c r="M146" i="7"/>
  <c r="O145" i="7"/>
  <c r="N145" i="7"/>
  <c r="M145" i="7"/>
  <c r="N141" i="7"/>
  <c r="O141" i="7" s="1"/>
  <c r="V141" i="7" s="1"/>
  <c r="M141" i="7"/>
  <c r="N140" i="7"/>
  <c r="O140" i="7" s="1"/>
  <c r="V140" i="7" s="1"/>
  <c r="M140" i="7"/>
  <c r="N139" i="7"/>
  <c r="O139" i="7" s="1"/>
  <c r="V139" i="7" s="1"/>
  <c r="M139" i="7"/>
  <c r="N138" i="7"/>
  <c r="O138" i="7" s="1"/>
  <c r="V138" i="7" s="1"/>
  <c r="M138" i="7"/>
  <c r="N137" i="7"/>
  <c r="O137" i="7" s="1"/>
  <c r="V137" i="7" s="1"/>
  <c r="M137" i="7"/>
  <c r="N136" i="7"/>
  <c r="O136" i="7" s="1"/>
  <c r="V136" i="7" s="1"/>
  <c r="M136" i="7"/>
  <c r="N135" i="7"/>
  <c r="O135" i="7" s="1"/>
  <c r="M135" i="7"/>
  <c r="N134" i="7"/>
  <c r="O134" i="7" s="1"/>
  <c r="M134" i="7"/>
  <c r="N133" i="7"/>
  <c r="O133" i="7" s="1"/>
  <c r="M133" i="7"/>
  <c r="N132" i="7"/>
  <c r="O132" i="7" s="1"/>
  <c r="M132" i="7"/>
  <c r="N131" i="7"/>
  <c r="O131" i="7" s="1"/>
  <c r="M131" i="7"/>
  <c r="N127" i="7"/>
  <c r="O127" i="7" s="1"/>
  <c r="V127" i="7" s="1"/>
  <c r="M127" i="7"/>
  <c r="N126" i="7"/>
  <c r="O126" i="7" s="1"/>
  <c r="V126" i="7" s="1"/>
  <c r="M126" i="7"/>
  <c r="N125" i="7"/>
  <c r="O125" i="7" s="1"/>
  <c r="V125" i="7" s="1"/>
  <c r="M125" i="7"/>
  <c r="N124" i="7"/>
  <c r="O124" i="7" s="1"/>
  <c r="V124" i="7" s="1"/>
  <c r="M124" i="7"/>
  <c r="N123" i="7"/>
  <c r="O123" i="7" s="1"/>
  <c r="V123" i="7" s="1"/>
  <c r="M123" i="7"/>
  <c r="N122" i="7"/>
  <c r="O122" i="7" s="1"/>
  <c r="V122" i="7" s="1"/>
  <c r="M122" i="7"/>
  <c r="N121" i="7"/>
  <c r="O121" i="7" s="1"/>
  <c r="V121" i="7" s="1"/>
  <c r="M121" i="7"/>
  <c r="N120" i="7"/>
  <c r="O120" i="7" s="1"/>
  <c r="M120" i="7"/>
  <c r="N119" i="7"/>
  <c r="O119" i="7" s="1"/>
  <c r="M119" i="7"/>
  <c r="N118" i="7"/>
  <c r="O118" i="7" s="1"/>
  <c r="M118" i="7"/>
  <c r="O117" i="7"/>
  <c r="N117" i="7"/>
  <c r="M117" i="7"/>
  <c r="N113" i="7"/>
  <c r="O113" i="7" s="1"/>
  <c r="V113" i="7" s="1"/>
  <c r="M113" i="7"/>
  <c r="N112" i="7"/>
  <c r="O112" i="7" s="1"/>
  <c r="V112" i="7" s="1"/>
  <c r="M112" i="7"/>
  <c r="N111" i="7"/>
  <c r="O111" i="7" s="1"/>
  <c r="V111" i="7" s="1"/>
  <c r="M111" i="7"/>
  <c r="N110" i="7"/>
  <c r="O110" i="7" s="1"/>
  <c r="V110" i="7" s="1"/>
  <c r="M110" i="7"/>
  <c r="N109" i="7"/>
  <c r="O109" i="7" s="1"/>
  <c r="V109" i="7" s="1"/>
  <c r="M109" i="7"/>
  <c r="N108" i="7"/>
  <c r="O108" i="7" s="1"/>
  <c r="V108" i="7" s="1"/>
  <c r="M108" i="7"/>
  <c r="N107" i="7"/>
  <c r="O107" i="7" s="1"/>
  <c r="V107" i="7" s="1"/>
  <c r="M107" i="7"/>
  <c r="N106" i="7"/>
  <c r="O106" i="7" s="1"/>
  <c r="M106" i="7"/>
  <c r="N105" i="7"/>
  <c r="O105" i="7" s="1"/>
  <c r="M105" i="7"/>
  <c r="N104" i="7"/>
  <c r="O104" i="7" s="1"/>
  <c r="M104" i="7"/>
  <c r="N103" i="7"/>
  <c r="O103" i="7" s="1"/>
  <c r="M103" i="7"/>
  <c r="N99" i="7"/>
  <c r="O99" i="7" s="1"/>
  <c r="V99" i="7" s="1"/>
  <c r="M99" i="7"/>
  <c r="N98" i="7"/>
  <c r="O98" i="7" s="1"/>
  <c r="V98" i="7" s="1"/>
  <c r="M98" i="7"/>
  <c r="N97" i="7"/>
  <c r="O97" i="7" s="1"/>
  <c r="V97" i="7" s="1"/>
  <c r="M97" i="7"/>
  <c r="O96" i="7"/>
  <c r="V96" i="7" s="1"/>
  <c r="N96" i="7"/>
  <c r="M96" i="7"/>
  <c r="N95" i="7"/>
  <c r="O95" i="7" s="1"/>
  <c r="V95" i="7" s="1"/>
  <c r="M95" i="7"/>
  <c r="N94" i="7"/>
  <c r="O94" i="7" s="1"/>
  <c r="V94" i="7" s="1"/>
  <c r="M94" i="7"/>
  <c r="N93" i="7"/>
  <c r="O93" i="7" s="1"/>
  <c r="V93" i="7" s="1"/>
  <c r="M93" i="7"/>
  <c r="N92" i="7"/>
  <c r="O92" i="7" s="1"/>
  <c r="M92" i="7"/>
  <c r="N91" i="7"/>
  <c r="O91" i="7" s="1"/>
  <c r="M91" i="7"/>
  <c r="N90" i="7"/>
  <c r="O90" i="7" s="1"/>
  <c r="M90" i="7"/>
  <c r="N89" i="7"/>
  <c r="O89" i="7" s="1"/>
  <c r="M89" i="7"/>
  <c r="N85" i="7"/>
  <c r="O85" i="7" s="1"/>
  <c r="V85" i="7" s="1"/>
  <c r="M85" i="7"/>
  <c r="N84" i="7"/>
  <c r="O84" i="7" s="1"/>
  <c r="V84" i="7" s="1"/>
  <c r="M84" i="7"/>
  <c r="N83" i="7"/>
  <c r="O83" i="7" s="1"/>
  <c r="V83" i="7" s="1"/>
  <c r="M83" i="7"/>
  <c r="N82" i="7"/>
  <c r="O82" i="7" s="1"/>
  <c r="V82" i="7" s="1"/>
  <c r="M82" i="7"/>
  <c r="N81" i="7"/>
  <c r="O81" i="7" s="1"/>
  <c r="V81" i="7" s="1"/>
  <c r="M81" i="7"/>
  <c r="N80" i="7"/>
  <c r="O80" i="7" s="1"/>
  <c r="V80" i="7" s="1"/>
  <c r="M80" i="7"/>
  <c r="N79" i="7"/>
  <c r="O79" i="7" s="1"/>
  <c r="V79" i="7" s="1"/>
  <c r="M79" i="7"/>
  <c r="N78" i="7"/>
  <c r="O78" i="7" s="1"/>
  <c r="M78" i="7"/>
  <c r="N77" i="7"/>
  <c r="O77" i="7" s="1"/>
  <c r="M77" i="7"/>
  <c r="N76" i="7"/>
  <c r="O76" i="7" s="1"/>
  <c r="M76" i="7"/>
  <c r="N75" i="7"/>
  <c r="O75" i="7" s="1"/>
  <c r="M75" i="7"/>
  <c r="N71" i="7"/>
  <c r="O71" i="7" s="1"/>
  <c r="V71" i="7" s="1"/>
  <c r="M71" i="7"/>
  <c r="N70" i="7"/>
  <c r="O70" i="7" s="1"/>
  <c r="V70" i="7" s="1"/>
  <c r="M70" i="7"/>
  <c r="N69" i="7"/>
  <c r="O69" i="7" s="1"/>
  <c r="V69" i="7" s="1"/>
  <c r="M69" i="7"/>
  <c r="N68" i="7"/>
  <c r="O68" i="7" s="1"/>
  <c r="V68" i="7" s="1"/>
  <c r="M68" i="7"/>
  <c r="N67" i="7"/>
  <c r="O67" i="7" s="1"/>
  <c r="V67" i="7" s="1"/>
  <c r="M67" i="7"/>
  <c r="N66" i="7"/>
  <c r="O66" i="7" s="1"/>
  <c r="V66" i="7" s="1"/>
  <c r="M66" i="7"/>
  <c r="N65" i="7"/>
  <c r="O65" i="7" s="1"/>
  <c r="M65" i="7"/>
  <c r="N64" i="7"/>
  <c r="O64" i="7" s="1"/>
  <c r="M64" i="7"/>
  <c r="N63" i="7"/>
  <c r="O63" i="7" s="1"/>
  <c r="M63" i="7"/>
  <c r="N62" i="7"/>
  <c r="O62" i="7" s="1"/>
  <c r="M62" i="7"/>
  <c r="N61" i="7"/>
  <c r="O61" i="7" s="1"/>
  <c r="M61" i="7"/>
  <c r="N57" i="7"/>
  <c r="O57" i="7" s="1"/>
  <c r="V57" i="7" s="1"/>
  <c r="M57" i="7"/>
  <c r="N56" i="7"/>
  <c r="O56" i="7" s="1"/>
  <c r="V56" i="7" s="1"/>
  <c r="M56" i="7"/>
  <c r="N55" i="7"/>
  <c r="O55" i="7" s="1"/>
  <c r="V55" i="7" s="1"/>
  <c r="M55" i="7"/>
  <c r="N54" i="7"/>
  <c r="O54" i="7" s="1"/>
  <c r="V54" i="7" s="1"/>
  <c r="M54" i="7"/>
  <c r="N53" i="7"/>
  <c r="O53" i="7" s="1"/>
  <c r="V53" i="7" s="1"/>
  <c r="M53" i="7"/>
  <c r="N52" i="7"/>
  <c r="O52" i="7" s="1"/>
  <c r="V52" i="7" s="1"/>
  <c r="M52" i="7"/>
  <c r="N51" i="7"/>
  <c r="O51" i="7" s="1"/>
  <c r="M51" i="7"/>
  <c r="N50" i="7"/>
  <c r="O50" i="7" s="1"/>
  <c r="M50" i="7"/>
  <c r="N49" i="7"/>
  <c r="O49" i="7" s="1"/>
  <c r="M49" i="7"/>
  <c r="N48" i="7"/>
  <c r="O48" i="7" s="1"/>
  <c r="M48" i="7"/>
  <c r="N47" i="7"/>
  <c r="O47" i="7" s="1"/>
  <c r="M47" i="7"/>
  <c r="N43" i="7"/>
  <c r="O43" i="7" s="1"/>
  <c r="V43" i="7" s="1"/>
  <c r="M43" i="7"/>
  <c r="O42" i="7"/>
  <c r="V42" i="7" s="1"/>
  <c r="N42" i="7"/>
  <c r="M42" i="7"/>
  <c r="N41" i="7"/>
  <c r="O41" i="7" s="1"/>
  <c r="V41" i="7" s="1"/>
  <c r="M41" i="7"/>
  <c r="N40" i="7"/>
  <c r="O40" i="7" s="1"/>
  <c r="V40" i="7" s="1"/>
  <c r="M40" i="7"/>
  <c r="N39" i="7"/>
  <c r="O39" i="7" s="1"/>
  <c r="V39" i="7" s="1"/>
  <c r="M39" i="7"/>
  <c r="N38" i="7"/>
  <c r="O38" i="7" s="1"/>
  <c r="M38" i="7"/>
  <c r="N37" i="7"/>
  <c r="O37" i="7" s="1"/>
  <c r="M37" i="7"/>
  <c r="N36" i="7"/>
  <c r="O36" i="7" s="1"/>
  <c r="M36" i="7"/>
  <c r="N35" i="7"/>
  <c r="O35" i="7" s="1"/>
  <c r="M35" i="7"/>
  <c r="N34" i="7"/>
  <c r="O34" i="7" s="1"/>
  <c r="M34" i="7"/>
  <c r="N33" i="7"/>
  <c r="O33" i="7" s="1"/>
  <c r="M33" i="7"/>
  <c r="N29" i="7"/>
  <c r="O29" i="7" s="1"/>
  <c r="V29" i="7" s="1"/>
  <c r="M29" i="7"/>
  <c r="N28" i="7"/>
  <c r="O28" i="7" s="1"/>
  <c r="V28" i="7" s="1"/>
  <c r="M28" i="7"/>
  <c r="N27" i="7"/>
  <c r="O27" i="7" s="1"/>
  <c r="V27" i="7" s="1"/>
  <c r="M27" i="7"/>
  <c r="N26" i="7"/>
  <c r="O26" i="7" s="1"/>
  <c r="V26" i="7" s="1"/>
  <c r="M26" i="7"/>
  <c r="N25" i="7"/>
  <c r="O25" i="7" s="1"/>
  <c r="V25" i="7" s="1"/>
  <c r="M25" i="7"/>
  <c r="N24" i="7"/>
  <c r="O24" i="7" s="1"/>
  <c r="M24" i="7"/>
  <c r="N23" i="7"/>
  <c r="O23" i="7" s="1"/>
  <c r="M23" i="7"/>
  <c r="N22" i="7"/>
  <c r="O22" i="7" s="1"/>
  <c r="M22" i="7"/>
  <c r="N21" i="7"/>
  <c r="O21" i="7" s="1"/>
  <c r="M21" i="7"/>
  <c r="N20" i="7"/>
  <c r="O20" i="7" s="1"/>
  <c r="M20" i="7"/>
  <c r="N19" i="7"/>
  <c r="O19" i="7" s="1"/>
  <c r="M19" i="7"/>
  <c r="N15" i="7"/>
  <c r="O15" i="7" s="1"/>
  <c r="V15" i="7" s="1"/>
  <c r="M15" i="7"/>
  <c r="N14" i="7"/>
  <c r="O14" i="7" s="1"/>
  <c r="V14" i="7" s="1"/>
  <c r="M14" i="7"/>
  <c r="N13" i="7"/>
  <c r="O13" i="7" s="1"/>
  <c r="V13" i="7" s="1"/>
  <c r="M13" i="7"/>
  <c r="N12" i="7"/>
  <c r="O12" i="7" s="1"/>
  <c r="V12" i="7" s="1"/>
  <c r="M12" i="7"/>
  <c r="N11" i="7"/>
  <c r="O11" i="7" s="1"/>
  <c r="M11" i="7"/>
  <c r="N10" i="7"/>
  <c r="O10" i="7" s="1"/>
  <c r="M10" i="7"/>
  <c r="N9" i="7"/>
  <c r="O9" i="7" s="1"/>
  <c r="M9" i="7"/>
  <c r="N8" i="7"/>
  <c r="O8" i="7" s="1"/>
  <c r="M8" i="7"/>
  <c r="N7" i="7"/>
  <c r="O7" i="7" s="1"/>
  <c r="M7" i="7"/>
  <c r="N6" i="7"/>
  <c r="O6" i="7" s="1"/>
  <c r="M6" i="7"/>
  <c r="N5" i="7"/>
  <c r="O5" i="7" s="1"/>
  <c r="M5" i="7"/>
  <c r="Z4" i="7"/>
  <c r="Z3" i="7"/>
  <c r="N169" i="6"/>
  <c r="O169" i="6" s="1"/>
  <c r="V169" i="6" s="1"/>
  <c r="M169" i="6"/>
  <c r="O168" i="6"/>
  <c r="V168" i="6" s="1"/>
  <c r="N168" i="6"/>
  <c r="M168" i="6"/>
  <c r="N167" i="6"/>
  <c r="O167" i="6" s="1"/>
  <c r="V167" i="6" s="1"/>
  <c r="M167" i="6"/>
  <c r="N166" i="6"/>
  <c r="O166" i="6" s="1"/>
  <c r="V166" i="6" s="1"/>
  <c r="M166" i="6"/>
  <c r="N165" i="6"/>
  <c r="O165" i="6" s="1"/>
  <c r="V165" i="6" s="1"/>
  <c r="M165" i="6"/>
  <c r="N164" i="6"/>
  <c r="O164" i="6" s="1"/>
  <c r="V164" i="6" s="1"/>
  <c r="M164" i="6"/>
  <c r="N163" i="6"/>
  <c r="O163" i="6" s="1"/>
  <c r="V163" i="6" s="1"/>
  <c r="M163" i="6"/>
  <c r="N162" i="6"/>
  <c r="O162" i="6" s="1"/>
  <c r="M162" i="6"/>
  <c r="N161" i="6"/>
  <c r="O161" i="6" s="1"/>
  <c r="M161" i="6"/>
  <c r="N160" i="6"/>
  <c r="O160" i="6" s="1"/>
  <c r="M160" i="6"/>
  <c r="N159" i="6"/>
  <c r="O159" i="6" s="1"/>
  <c r="M159" i="6"/>
  <c r="O155" i="6"/>
  <c r="V155" i="6" s="1"/>
  <c r="N155" i="6"/>
  <c r="M155" i="6"/>
  <c r="N154" i="6"/>
  <c r="O154" i="6" s="1"/>
  <c r="V154" i="6" s="1"/>
  <c r="M154" i="6"/>
  <c r="N153" i="6"/>
  <c r="O153" i="6" s="1"/>
  <c r="V153" i="6" s="1"/>
  <c r="M153" i="6"/>
  <c r="N152" i="6"/>
  <c r="O152" i="6" s="1"/>
  <c r="V152" i="6" s="1"/>
  <c r="M152" i="6"/>
  <c r="N151" i="6"/>
  <c r="O151" i="6" s="1"/>
  <c r="V151" i="6" s="1"/>
  <c r="M151" i="6"/>
  <c r="N150" i="6"/>
  <c r="O150" i="6" s="1"/>
  <c r="V150" i="6" s="1"/>
  <c r="M150" i="6"/>
  <c r="N149" i="6"/>
  <c r="O149" i="6" s="1"/>
  <c r="M149" i="6"/>
  <c r="N148" i="6"/>
  <c r="O148" i="6" s="1"/>
  <c r="M148" i="6"/>
  <c r="N147" i="6"/>
  <c r="O147" i="6" s="1"/>
  <c r="M147" i="6"/>
  <c r="N146" i="6"/>
  <c r="O146" i="6" s="1"/>
  <c r="M146" i="6"/>
  <c r="N145" i="6"/>
  <c r="O145" i="6" s="1"/>
  <c r="M145" i="6"/>
  <c r="N141" i="6"/>
  <c r="O141" i="6" s="1"/>
  <c r="V141" i="6" s="1"/>
  <c r="M141" i="6"/>
  <c r="N140" i="6"/>
  <c r="O140" i="6" s="1"/>
  <c r="V140" i="6" s="1"/>
  <c r="M140" i="6"/>
  <c r="N139" i="6"/>
  <c r="O139" i="6" s="1"/>
  <c r="V139" i="6" s="1"/>
  <c r="M139" i="6"/>
  <c r="N138" i="6"/>
  <c r="O138" i="6" s="1"/>
  <c r="V138" i="6" s="1"/>
  <c r="M138" i="6"/>
  <c r="N137" i="6"/>
  <c r="O137" i="6" s="1"/>
  <c r="V137" i="6" s="1"/>
  <c r="M137" i="6"/>
  <c r="N136" i="6"/>
  <c r="O136" i="6" s="1"/>
  <c r="V136" i="6" s="1"/>
  <c r="M136" i="6"/>
  <c r="N135" i="6"/>
  <c r="O135" i="6" s="1"/>
  <c r="M135" i="6"/>
  <c r="N134" i="6"/>
  <c r="O134" i="6" s="1"/>
  <c r="M134" i="6"/>
  <c r="N133" i="6"/>
  <c r="O133" i="6" s="1"/>
  <c r="M133" i="6"/>
  <c r="N132" i="6"/>
  <c r="O132" i="6" s="1"/>
  <c r="M132" i="6"/>
  <c r="N131" i="6"/>
  <c r="O131" i="6" s="1"/>
  <c r="M131" i="6"/>
  <c r="N127" i="6"/>
  <c r="O127" i="6" s="1"/>
  <c r="V127" i="6" s="1"/>
  <c r="M127" i="6"/>
  <c r="N126" i="6"/>
  <c r="O126" i="6" s="1"/>
  <c r="V126" i="6" s="1"/>
  <c r="M126" i="6"/>
  <c r="N125" i="6"/>
  <c r="O125" i="6" s="1"/>
  <c r="V125" i="6" s="1"/>
  <c r="M125" i="6"/>
  <c r="N124" i="6"/>
  <c r="O124" i="6" s="1"/>
  <c r="V124" i="6" s="1"/>
  <c r="M124" i="6"/>
  <c r="N123" i="6"/>
  <c r="O123" i="6" s="1"/>
  <c r="V123" i="6" s="1"/>
  <c r="M123" i="6"/>
  <c r="N122" i="6"/>
  <c r="O122" i="6" s="1"/>
  <c r="V122" i="6" s="1"/>
  <c r="M122" i="6"/>
  <c r="N121" i="6"/>
  <c r="O121" i="6" s="1"/>
  <c r="V121" i="6" s="1"/>
  <c r="M121" i="6"/>
  <c r="N120" i="6"/>
  <c r="O120" i="6" s="1"/>
  <c r="M120" i="6"/>
  <c r="N119" i="6"/>
  <c r="O119" i="6" s="1"/>
  <c r="M119" i="6"/>
  <c r="N118" i="6"/>
  <c r="O118" i="6" s="1"/>
  <c r="M118" i="6"/>
  <c r="N117" i="6"/>
  <c r="O117" i="6" s="1"/>
  <c r="M117" i="6"/>
  <c r="N113" i="6"/>
  <c r="O113" i="6" s="1"/>
  <c r="V113" i="6" s="1"/>
  <c r="M113" i="6"/>
  <c r="N112" i="6"/>
  <c r="O112" i="6" s="1"/>
  <c r="V112" i="6" s="1"/>
  <c r="M112" i="6"/>
  <c r="N111" i="6"/>
  <c r="O111" i="6" s="1"/>
  <c r="V111" i="6" s="1"/>
  <c r="M111" i="6"/>
  <c r="N110" i="6"/>
  <c r="O110" i="6" s="1"/>
  <c r="V110" i="6" s="1"/>
  <c r="M110" i="6"/>
  <c r="N109" i="6"/>
  <c r="O109" i="6" s="1"/>
  <c r="V109" i="6" s="1"/>
  <c r="M109" i="6"/>
  <c r="N108" i="6"/>
  <c r="O108" i="6" s="1"/>
  <c r="V108" i="6" s="1"/>
  <c r="M108" i="6"/>
  <c r="N107" i="6"/>
  <c r="O107" i="6" s="1"/>
  <c r="M107" i="6"/>
  <c r="N106" i="6"/>
  <c r="O106" i="6" s="1"/>
  <c r="M106" i="6"/>
  <c r="N105" i="6"/>
  <c r="O105" i="6" s="1"/>
  <c r="M105" i="6"/>
  <c r="N104" i="6"/>
  <c r="O104" i="6" s="1"/>
  <c r="M104" i="6"/>
  <c r="N103" i="6"/>
  <c r="O103" i="6" s="1"/>
  <c r="M103" i="6"/>
  <c r="N99" i="6"/>
  <c r="O99" i="6" s="1"/>
  <c r="V99" i="6" s="1"/>
  <c r="M99" i="6"/>
  <c r="N98" i="6"/>
  <c r="O98" i="6" s="1"/>
  <c r="V98" i="6" s="1"/>
  <c r="M98" i="6"/>
  <c r="N97" i="6"/>
  <c r="O97" i="6" s="1"/>
  <c r="V97" i="6" s="1"/>
  <c r="M97" i="6"/>
  <c r="N96" i="6"/>
  <c r="O96" i="6" s="1"/>
  <c r="V96" i="6" s="1"/>
  <c r="M96" i="6"/>
  <c r="N95" i="6"/>
  <c r="O95" i="6" s="1"/>
  <c r="V95" i="6" s="1"/>
  <c r="M95" i="6"/>
  <c r="N94" i="6"/>
  <c r="O94" i="6" s="1"/>
  <c r="V94" i="6" s="1"/>
  <c r="M94" i="6"/>
  <c r="N93" i="6"/>
  <c r="O93" i="6" s="1"/>
  <c r="M93" i="6"/>
  <c r="N92" i="6"/>
  <c r="O92" i="6" s="1"/>
  <c r="M92" i="6"/>
  <c r="O91" i="6"/>
  <c r="N91" i="6"/>
  <c r="M91" i="6"/>
  <c r="N90" i="6"/>
  <c r="O90" i="6" s="1"/>
  <c r="M90" i="6"/>
  <c r="N89" i="6"/>
  <c r="O89" i="6" s="1"/>
  <c r="M89" i="6"/>
  <c r="N85" i="6"/>
  <c r="O85" i="6" s="1"/>
  <c r="V85" i="6" s="1"/>
  <c r="M85" i="6"/>
  <c r="N84" i="6"/>
  <c r="O84" i="6" s="1"/>
  <c r="V84" i="6" s="1"/>
  <c r="M84" i="6"/>
  <c r="N83" i="6"/>
  <c r="O83" i="6" s="1"/>
  <c r="V83" i="6" s="1"/>
  <c r="M83" i="6"/>
  <c r="O82" i="6"/>
  <c r="V82" i="6" s="1"/>
  <c r="N82" i="6"/>
  <c r="M82" i="6"/>
  <c r="N81" i="6"/>
  <c r="O81" i="6" s="1"/>
  <c r="V81" i="6" s="1"/>
  <c r="M81" i="6"/>
  <c r="N80" i="6"/>
  <c r="O80" i="6" s="1"/>
  <c r="V80" i="6" s="1"/>
  <c r="M80" i="6"/>
  <c r="N79" i="6"/>
  <c r="O79" i="6" s="1"/>
  <c r="M79" i="6"/>
  <c r="N78" i="6"/>
  <c r="O78" i="6" s="1"/>
  <c r="M78" i="6"/>
  <c r="N77" i="6"/>
  <c r="O77" i="6" s="1"/>
  <c r="M77" i="6"/>
  <c r="N76" i="6"/>
  <c r="O76" i="6" s="1"/>
  <c r="M76" i="6"/>
  <c r="N75" i="6"/>
  <c r="O75" i="6" s="1"/>
  <c r="M75" i="6"/>
  <c r="N71" i="6"/>
  <c r="O71" i="6" s="1"/>
  <c r="V71" i="6" s="1"/>
  <c r="M71" i="6"/>
  <c r="N70" i="6"/>
  <c r="O70" i="6" s="1"/>
  <c r="V70" i="6" s="1"/>
  <c r="M70" i="6"/>
  <c r="O69" i="6"/>
  <c r="V69" i="6" s="1"/>
  <c r="N69" i="6"/>
  <c r="M69" i="6"/>
  <c r="N68" i="6"/>
  <c r="O68" i="6" s="1"/>
  <c r="V68" i="6" s="1"/>
  <c r="M68" i="6"/>
  <c r="N67" i="6"/>
  <c r="O67" i="6" s="1"/>
  <c r="V67" i="6" s="1"/>
  <c r="M67" i="6"/>
  <c r="N66" i="6"/>
  <c r="O66" i="6" s="1"/>
  <c r="M66" i="6"/>
  <c r="N65" i="6"/>
  <c r="O65" i="6" s="1"/>
  <c r="M65" i="6"/>
  <c r="N64" i="6"/>
  <c r="O64" i="6" s="1"/>
  <c r="M64" i="6"/>
  <c r="O63" i="6"/>
  <c r="N63" i="6"/>
  <c r="M63" i="6"/>
  <c r="N62" i="6"/>
  <c r="O62" i="6" s="1"/>
  <c r="M62" i="6"/>
  <c r="N61" i="6"/>
  <c r="O61" i="6" s="1"/>
  <c r="M61" i="6"/>
  <c r="N57" i="6"/>
  <c r="O57" i="6" s="1"/>
  <c r="V57" i="6" s="1"/>
  <c r="M57" i="6"/>
  <c r="N56" i="6"/>
  <c r="O56" i="6" s="1"/>
  <c r="V56" i="6" s="1"/>
  <c r="M56" i="6"/>
  <c r="N55" i="6"/>
  <c r="O55" i="6" s="1"/>
  <c r="V55" i="6" s="1"/>
  <c r="M55" i="6"/>
  <c r="O54" i="6"/>
  <c r="V54" i="6" s="1"/>
  <c r="N54" i="6"/>
  <c r="M54" i="6"/>
  <c r="N53" i="6"/>
  <c r="O53" i="6" s="1"/>
  <c r="V53" i="6" s="1"/>
  <c r="M53" i="6"/>
  <c r="N52" i="6"/>
  <c r="O52" i="6" s="1"/>
  <c r="M52" i="6"/>
  <c r="N51" i="6"/>
  <c r="O51" i="6" s="1"/>
  <c r="M51" i="6"/>
  <c r="N50" i="6"/>
  <c r="O50" i="6" s="1"/>
  <c r="M50" i="6"/>
  <c r="N49" i="6"/>
  <c r="O49" i="6" s="1"/>
  <c r="M49" i="6"/>
  <c r="N48" i="6"/>
  <c r="O48" i="6" s="1"/>
  <c r="M48" i="6"/>
  <c r="N47" i="6"/>
  <c r="O47" i="6" s="1"/>
  <c r="M47" i="6"/>
  <c r="N43" i="6"/>
  <c r="O43" i="6" s="1"/>
  <c r="V43" i="6" s="1"/>
  <c r="M43" i="6"/>
  <c r="N42" i="6"/>
  <c r="O42" i="6" s="1"/>
  <c r="V42" i="6" s="1"/>
  <c r="M42" i="6"/>
  <c r="O41" i="6"/>
  <c r="V41" i="6" s="1"/>
  <c r="N41" i="6"/>
  <c r="M41" i="6"/>
  <c r="N40" i="6"/>
  <c r="O40" i="6" s="1"/>
  <c r="V40" i="6" s="1"/>
  <c r="M40" i="6"/>
  <c r="N39" i="6"/>
  <c r="O39" i="6" s="1"/>
  <c r="V39" i="6" s="1"/>
  <c r="M39" i="6"/>
  <c r="N38" i="6"/>
  <c r="O38" i="6" s="1"/>
  <c r="M38" i="6"/>
  <c r="N37" i="6"/>
  <c r="O37" i="6" s="1"/>
  <c r="M37" i="6"/>
  <c r="N36" i="6"/>
  <c r="O36" i="6" s="1"/>
  <c r="M36" i="6"/>
  <c r="O35" i="6"/>
  <c r="N35" i="6"/>
  <c r="M35" i="6"/>
  <c r="N34" i="6"/>
  <c r="O34" i="6" s="1"/>
  <c r="M34" i="6"/>
  <c r="N33" i="6"/>
  <c r="O33" i="6" s="1"/>
  <c r="M33" i="6"/>
  <c r="N29" i="6"/>
  <c r="O29" i="6" s="1"/>
  <c r="V29" i="6" s="1"/>
  <c r="M29" i="6"/>
  <c r="O28" i="6"/>
  <c r="V28" i="6" s="1"/>
  <c r="N28" i="6"/>
  <c r="M28" i="6"/>
  <c r="N27" i="6"/>
  <c r="O27" i="6" s="1"/>
  <c r="V27" i="6" s="1"/>
  <c r="M27" i="6"/>
  <c r="N26" i="6"/>
  <c r="O26" i="6" s="1"/>
  <c r="V26" i="6" s="1"/>
  <c r="M26" i="6"/>
  <c r="N25" i="6"/>
  <c r="O25" i="6" s="1"/>
  <c r="M25" i="6"/>
  <c r="N24" i="6"/>
  <c r="O24" i="6" s="1"/>
  <c r="M24" i="6"/>
  <c r="N23" i="6"/>
  <c r="O23" i="6" s="1"/>
  <c r="M23" i="6"/>
  <c r="N22" i="6"/>
  <c r="O22" i="6" s="1"/>
  <c r="M22" i="6"/>
  <c r="N21" i="6"/>
  <c r="O21" i="6" s="1"/>
  <c r="M21" i="6"/>
  <c r="N20" i="6"/>
  <c r="O20" i="6" s="1"/>
  <c r="M20" i="6"/>
  <c r="N19" i="6"/>
  <c r="O19" i="6" s="1"/>
  <c r="M19" i="6"/>
  <c r="N15" i="6"/>
  <c r="O15" i="6" s="1"/>
  <c r="V15" i="6" s="1"/>
  <c r="M15" i="6"/>
  <c r="O14" i="6"/>
  <c r="V14" i="6" s="1"/>
  <c r="N14" i="6"/>
  <c r="M14" i="6"/>
  <c r="N13" i="6"/>
  <c r="O13" i="6" s="1"/>
  <c r="V13" i="6" s="1"/>
  <c r="M13" i="6"/>
  <c r="N12" i="6"/>
  <c r="O12" i="6" s="1"/>
  <c r="M12" i="6"/>
  <c r="N11" i="6"/>
  <c r="O11" i="6" s="1"/>
  <c r="M11" i="6"/>
  <c r="N10" i="6"/>
  <c r="O10" i="6" s="1"/>
  <c r="M10" i="6"/>
  <c r="N9" i="6"/>
  <c r="O9" i="6" s="1"/>
  <c r="M9" i="6"/>
  <c r="N8" i="6"/>
  <c r="O8" i="6" s="1"/>
  <c r="M8" i="6"/>
  <c r="N7" i="6"/>
  <c r="O7" i="6" s="1"/>
  <c r="M7" i="6"/>
  <c r="N6" i="6"/>
  <c r="O6" i="6" s="1"/>
  <c r="M6" i="6"/>
  <c r="N5" i="6"/>
  <c r="O5" i="6" s="1"/>
  <c r="M5" i="6"/>
  <c r="Z4" i="6"/>
  <c r="Z3" i="6"/>
  <c r="N169" i="5"/>
  <c r="O169" i="5" s="1"/>
  <c r="V169" i="5" s="1"/>
  <c r="M169" i="5"/>
  <c r="N168" i="5"/>
  <c r="O168" i="5" s="1"/>
  <c r="V168" i="5" s="1"/>
  <c r="M168" i="5"/>
  <c r="N167" i="5"/>
  <c r="O167" i="5" s="1"/>
  <c r="V167" i="5" s="1"/>
  <c r="M167" i="5"/>
  <c r="N166" i="5"/>
  <c r="O166" i="5" s="1"/>
  <c r="V166" i="5" s="1"/>
  <c r="M166" i="5"/>
  <c r="N165" i="5"/>
  <c r="O165" i="5" s="1"/>
  <c r="V165" i="5" s="1"/>
  <c r="M165" i="5"/>
  <c r="N164" i="5"/>
  <c r="O164" i="5" s="1"/>
  <c r="V164" i="5" s="1"/>
  <c r="M164" i="5"/>
  <c r="N163" i="5"/>
  <c r="O163" i="5" s="1"/>
  <c r="V163" i="5" s="1"/>
  <c r="M163" i="5"/>
  <c r="O162" i="5"/>
  <c r="N162" i="5"/>
  <c r="M162" i="5"/>
  <c r="N161" i="5"/>
  <c r="O161" i="5" s="1"/>
  <c r="M161" i="5"/>
  <c r="N160" i="5"/>
  <c r="O160" i="5" s="1"/>
  <c r="M160" i="5"/>
  <c r="N159" i="5"/>
  <c r="O159" i="5" s="1"/>
  <c r="M159" i="5"/>
  <c r="N155" i="5"/>
  <c r="O155" i="5" s="1"/>
  <c r="V155" i="5" s="1"/>
  <c r="M155" i="5"/>
  <c r="N154" i="5"/>
  <c r="O154" i="5" s="1"/>
  <c r="V154" i="5" s="1"/>
  <c r="M154" i="5"/>
  <c r="N153" i="5"/>
  <c r="O153" i="5" s="1"/>
  <c r="V153" i="5" s="1"/>
  <c r="M153" i="5"/>
  <c r="N152" i="5"/>
  <c r="O152" i="5" s="1"/>
  <c r="V152" i="5" s="1"/>
  <c r="M152" i="5"/>
  <c r="N151" i="5"/>
  <c r="O151" i="5" s="1"/>
  <c r="V151" i="5" s="1"/>
  <c r="M151" i="5"/>
  <c r="N150" i="5"/>
  <c r="O150" i="5" s="1"/>
  <c r="V150" i="5" s="1"/>
  <c r="M150" i="5"/>
  <c r="N149" i="5"/>
  <c r="O149" i="5" s="1"/>
  <c r="V149" i="5" s="1"/>
  <c r="M149" i="5"/>
  <c r="N148" i="5"/>
  <c r="O148" i="5" s="1"/>
  <c r="M148" i="5"/>
  <c r="N147" i="5"/>
  <c r="O147" i="5" s="1"/>
  <c r="M147" i="5"/>
  <c r="N146" i="5"/>
  <c r="O146" i="5" s="1"/>
  <c r="M146" i="5"/>
  <c r="N145" i="5"/>
  <c r="O145" i="5" s="1"/>
  <c r="M145" i="5"/>
  <c r="N141" i="5"/>
  <c r="O141" i="5" s="1"/>
  <c r="V141" i="5" s="1"/>
  <c r="M141" i="5"/>
  <c r="N140" i="5"/>
  <c r="O140" i="5" s="1"/>
  <c r="V140" i="5" s="1"/>
  <c r="M140" i="5"/>
  <c r="N139" i="5"/>
  <c r="O139" i="5" s="1"/>
  <c r="V139" i="5" s="1"/>
  <c r="M139" i="5"/>
  <c r="N138" i="5"/>
  <c r="O138" i="5" s="1"/>
  <c r="V138" i="5" s="1"/>
  <c r="M138" i="5"/>
  <c r="N137" i="5"/>
  <c r="O137" i="5" s="1"/>
  <c r="V137" i="5" s="1"/>
  <c r="M137" i="5"/>
  <c r="O136" i="5"/>
  <c r="V136" i="5" s="1"/>
  <c r="N136" i="5"/>
  <c r="M136" i="5"/>
  <c r="N135" i="5"/>
  <c r="O135" i="5" s="1"/>
  <c r="M135" i="5"/>
  <c r="N134" i="5"/>
  <c r="O134" i="5" s="1"/>
  <c r="M134" i="5"/>
  <c r="N133" i="5"/>
  <c r="O133" i="5" s="1"/>
  <c r="M133" i="5"/>
  <c r="N132" i="5"/>
  <c r="O132" i="5" s="1"/>
  <c r="M132" i="5"/>
  <c r="N131" i="5"/>
  <c r="O131" i="5" s="1"/>
  <c r="M131" i="5"/>
  <c r="N127" i="5"/>
  <c r="O127" i="5" s="1"/>
  <c r="V127" i="5" s="1"/>
  <c r="M127" i="5"/>
  <c r="N126" i="5"/>
  <c r="O126" i="5" s="1"/>
  <c r="V126" i="5" s="1"/>
  <c r="M126" i="5"/>
  <c r="N125" i="5"/>
  <c r="O125" i="5" s="1"/>
  <c r="V125" i="5" s="1"/>
  <c r="M125" i="5"/>
  <c r="N124" i="5"/>
  <c r="O124" i="5" s="1"/>
  <c r="V124" i="5" s="1"/>
  <c r="M124" i="5"/>
  <c r="N123" i="5"/>
  <c r="O123" i="5" s="1"/>
  <c r="V123" i="5" s="1"/>
  <c r="M123" i="5"/>
  <c r="N122" i="5"/>
  <c r="O122" i="5" s="1"/>
  <c r="V122" i="5" s="1"/>
  <c r="M122" i="5"/>
  <c r="N121" i="5"/>
  <c r="O121" i="5" s="1"/>
  <c r="M121" i="5"/>
  <c r="O120" i="5"/>
  <c r="N120" i="5"/>
  <c r="M120" i="5"/>
  <c r="N119" i="5"/>
  <c r="O119" i="5" s="1"/>
  <c r="M119" i="5"/>
  <c r="N118" i="5"/>
  <c r="O118" i="5" s="1"/>
  <c r="M118" i="5"/>
  <c r="N117" i="5"/>
  <c r="O117" i="5" s="1"/>
  <c r="M117" i="5"/>
  <c r="N113" i="5"/>
  <c r="O113" i="5" s="1"/>
  <c r="V113" i="5" s="1"/>
  <c r="M113" i="5"/>
  <c r="N112" i="5"/>
  <c r="O112" i="5" s="1"/>
  <c r="V112" i="5" s="1"/>
  <c r="M112" i="5"/>
  <c r="N111" i="5"/>
  <c r="O111" i="5" s="1"/>
  <c r="V111" i="5" s="1"/>
  <c r="M111" i="5"/>
  <c r="N110" i="5"/>
  <c r="O110" i="5" s="1"/>
  <c r="V110" i="5" s="1"/>
  <c r="M110" i="5"/>
  <c r="N109" i="5"/>
  <c r="O109" i="5" s="1"/>
  <c r="V109" i="5" s="1"/>
  <c r="M109" i="5"/>
  <c r="N108" i="5"/>
  <c r="O108" i="5" s="1"/>
  <c r="M108" i="5"/>
  <c r="N107" i="5"/>
  <c r="O107" i="5" s="1"/>
  <c r="M107" i="5"/>
  <c r="N106" i="5"/>
  <c r="O106" i="5" s="1"/>
  <c r="M106" i="5"/>
  <c r="N105" i="5"/>
  <c r="O105" i="5" s="1"/>
  <c r="M105" i="5"/>
  <c r="N104" i="5"/>
  <c r="O104" i="5" s="1"/>
  <c r="M104" i="5"/>
  <c r="N103" i="5"/>
  <c r="O103" i="5" s="1"/>
  <c r="M103" i="5"/>
  <c r="N99" i="5"/>
  <c r="O99" i="5" s="1"/>
  <c r="V99" i="5" s="1"/>
  <c r="M99" i="5"/>
  <c r="N98" i="5"/>
  <c r="O98" i="5" s="1"/>
  <c r="V98" i="5" s="1"/>
  <c r="M98" i="5"/>
  <c r="N97" i="5"/>
  <c r="O97" i="5" s="1"/>
  <c r="V97" i="5" s="1"/>
  <c r="M97" i="5"/>
  <c r="N96" i="5"/>
  <c r="O96" i="5" s="1"/>
  <c r="V96" i="5" s="1"/>
  <c r="M96" i="5"/>
  <c r="N95" i="5"/>
  <c r="O95" i="5" s="1"/>
  <c r="V95" i="5" s="1"/>
  <c r="M95" i="5"/>
  <c r="O94" i="5"/>
  <c r="N94" i="5"/>
  <c r="M94" i="5"/>
  <c r="N93" i="5"/>
  <c r="O93" i="5" s="1"/>
  <c r="M93" i="5"/>
  <c r="N92" i="5"/>
  <c r="O92" i="5" s="1"/>
  <c r="M92" i="5"/>
  <c r="N91" i="5"/>
  <c r="O91" i="5" s="1"/>
  <c r="M91" i="5"/>
  <c r="N90" i="5"/>
  <c r="O90" i="5" s="1"/>
  <c r="M90" i="5"/>
  <c r="N89" i="5"/>
  <c r="O89" i="5" s="1"/>
  <c r="M89" i="5"/>
  <c r="N85" i="5"/>
  <c r="O85" i="5" s="1"/>
  <c r="V85" i="5" s="1"/>
  <c r="M85" i="5"/>
  <c r="N84" i="5"/>
  <c r="O84" i="5" s="1"/>
  <c r="V84" i="5" s="1"/>
  <c r="M84" i="5"/>
  <c r="N83" i="5"/>
  <c r="O83" i="5" s="1"/>
  <c r="V83" i="5" s="1"/>
  <c r="M83" i="5"/>
  <c r="N82" i="5"/>
  <c r="O82" i="5" s="1"/>
  <c r="V82" i="5" s="1"/>
  <c r="M82" i="5"/>
  <c r="N81" i="5"/>
  <c r="O81" i="5" s="1"/>
  <c r="V81" i="5" s="1"/>
  <c r="M81" i="5"/>
  <c r="N80" i="5"/>
  <c r="O80" i="5" s="1"/>
  <c r="M80" i="5"/>
  <c r="N79" i="5"/>
  <c r="O79" i="5" s="1"/>
  <c r="M79" i="5"/>
  <c r="N78" i="5"/>
  <c r="O78" i="5" s="1"/>
  <c r="M78" i="5"/>
  <c r="N77" i="5"/>
  <c r="O77" i="5" s="1"/>
  <c r="M77" i="5"/>
  <c r="N76" i="5"/>
  <c r="O76" i="5" s="1"/>
  <c r="M76" i="5"/>
  <c r="O75" i="5"/>
  <c r="N75" i="5"/>
  <c r="M75" i="5"/>
  <c r="N71" i="5"/>
  <c r="O71" i="5" s="1"/>
  <c r="V71" i="5" s="1"/>
  <c r="M71" i="5"/>
  <c r="N70" i="5"/>
  <c r="O70" i="5" s="1"/>
  <c r="V70" i="5" s="1"/>
  <c r="M70" i="5"/>
  <c r="N69" i="5"/>
  <c r="O69" i="5" s="1"/>
  <c r="V69" i="5" s="1"/>
  <c r="M69" i="5"/>
  <c r="N68" i="5"/>
  <c r="O68" i="5" s="1"/>
  <c r="V68" i="5" s="1"/>
  <c r="M68" i="5"/>
  <c r="N67" i="5"/>
  <c r="O67" i="5" s="1"/>
  <c r="V67" i="5" s="1"/>
  <c r="M67" i="5"/>
  <c r="O66" i="5"/>
  <c r="N66" i="5"/>
  <c r="M66" i="5"/>
  <c r="N65" i="5"/>
  <c r="O65" i="5" s="1"/>
  <c r="M65" i="5"/>
  <c r="N64" i="5"/>
  <c r="O64" i="5" s="1"/>
  <c r="M64" i="5"/>
  <c r="N63" i="5"/>
  <c r="O63" i="5" s="1"/>
  <c r="M63" i="5"/>
  <c r="N62" i="5"/>
  <c r="O62" i="5" s="1"/>
  <c r="M62" i="5"/>
  <c r="N61" i="5"/>
  <c r="O61" i="5" s="1"/>
  <c r="M61" i="5"/>
  <c r="N57" i="5"/>
  <c r="O57" i="5" s="1"/>
  <c r="V57" i="5" s="1"/>
  <c r="M57" i="5"/>
  <c r="N56" i="5"/>
  <c r="O56" i="5" s="1"/>
  <c r="V56" i="5" s="1"/>
  <c r="M56" i="5"/>
  <c r="N55" i="5"/>
  <c r="O55" i="5" s="1"/>
  <c r="V55" i="5" s="1"/>
  <c r="M55" i="5"/>
  <c r="N54" i="5"/>
  <c r="O54" i="5" s="1"/>
  <c r="V54" i="5" s="1"/>
  <c r="M54" i="5"/>
  <c r="O53" i="5"/>
  <c r="N53" i="5"/>
  <c r="M53" i="5"/>
  <c r="N52" i="5"/>
  <c r="O52" i="5" s="1"/>
  <c r="M52" i="5"/>
  <c r="N51" i="5"/>
  <c r="O51" i="5" s="1"/>
  <c r="M51" i="5"/>
  <c r="N50" i="5"/>
  <c r="O50" i="5" s="1"/>
  <c r="M50" i="5"/>
  <c r="N49" i="5"/>
  <c r="O49" i="5" s="1"/>
  <c r="M49" i="5"/>
  <c r="N48" i="5"/>
  <c r="O48" i="5" s="1"/>
  <c r="M48" i="5"/>
  <c r="O47" i="5"/>
  <c r="N47" i="5"/>
  <c r="M47" i="5"/>
  <c r="N43" i="5"/>
  <c r="O43" i="5" s="1"/>
  <c r="V43" i="5" s="1"/>
  <c r="M43" i="5"/>
  <c r="N42" i="5"/>
  <c r="O42" i="5" s="1"/>
  <c r="V42" i="5" s="1"/>
  <c r="M42" i="5"/>
  <c r="N41" i="5"/>
  <c r="O41" i="5" s="1"/>
  <c r="V41" i="5" s="1"/>
  <c r="M41" i="5"/>
  <c r="N40" i="5"/>
  <c r="O40" i="5" s="1"/>
  <c r="M40" i="5"/>
  <c r="N39" i="5"/>
  <c r="O39" i="5" s="1"/>
  <c r="M39" i="5"/>
  <c r="O38" i="5"/>
  <c r="N38" i="5"/>
  <c r="M38" i="5"/>
  <c r="N37" i="5"/>
  <c r="O37" i="5" s="1"/>
  <c r="M37" i="5"/>
  <c r="N36" i="5"/>
  <c r="O36" i="5" s="1"/>
  <c r="M36" i="5"/>
  <c r="N35" i="5"/>
  <c r="O35" i="5" s="1"/>
  <c r="M35" i="5"/>
  <c r="N34" i="5"/>
  <c r="O34" i="5" s="1"/>
  <c r="M34" i="5"/>
  <c r="N33" i="5"/>
  <c r="O33" i="5" s="1"/>
  <c r="M33" i="5"/>
  <c r="N29" i="5"/>
  <c r="O29" i="5" s="1"/>
  <c r="V29" i="5" s="1"/>
  <c r="M29" i="5"/>
  <c r="N28" i="5"/>
  <c r="O28" i="5" s="1"/>
  <c r="V28" i="5" s="1"/>
  <c r="M28" i="5"/>
  <c r="N27" i="5"/>
  <c r="O27" i="5" s="1"/>
  <c r="V27" i="5" s="1"/>
  <c r="M27" i="5"/>
  <c r="N26" i="5"/>
  <c r="O26" i="5" s="1"/>
  <c r="M26" i="5"/>
  <c r="O25" i="5"/>
  <c r="N25" i="5"/>
  <c r="M25" i="5"/>
  <c r="N24" i="5"/>
  <c r="O24" i="5" s="1"/>
  <c r="M24" i="5"/>
  <c r="N23" i="5"/>
  <c r="O23" i="5" s="1"/>
  <c r="M23" i="5"/>
  <c r="N22" i="5"/>
  <c r="O22" i="5" s="1"/>
  <c r="M22" i="5"/>
  <c r="N21" i="5"/>
  <c r="O21" i="5" s="1"/>
  <c r="M21" i="5"/>
  <c r="N20" i="5"/>
  <c r="O20" i="5" s="1"/>
  <c r="M20" i="5"/>
  <c r="O19" i="5"/>
  <c r="N19" i="5"/>
  <c r="M19" i="5"/>
  <c r="N15" i="5"/>
  <c r="O15" i="5" s="1"/>
  <c r="V15" i="5" s="1"/>
  <c r="M15" i="5"/>
  <c r="N14" i="5"/>
  <c r="O14" i="5" s="1"/>
  <c r="V14" i="5" s="1"/>
  <c r="M14" i="5"/>
  <c r="N13" i="5"/>
  <c r="O13" i="5" s="1"/>
  <c r="M13" i="5"/>
  <c r="O12" i="5"/>
  <c r="N12" i="5"/>
  <c r="M12" i="5"/>
  <c r="N11" i="5"/>
  <c r="O11" i="5" s="1"/>
  <c r="M11" i="5"/>
  <c r="N10" i="5"/>
  <c r="O10" i="5" s="1"/>
  <c r="M10" i="5"/>
  <c r="N9" i="5"/>
  <c r="O9" i="5" s="1"/>
  <c r="M9" i="5"/>
  <c r="N8" i="5"/>
  <c r="O8" i="5" s="1"/>
  <c r="M8" i="5"/>
  <c r="N7" i="5"/>
  <c r="O7" i="5" s="1"/>
  <c r="M7" i="5"/>
  <c r="N6" i="5"/>
  <c r="O6" i="5" s="1"/>
  <c r="M6" i="5"/>
  <c r="N5" i="5"/>
  <c r="O5" i="5" s="1"/>
  <c r="M5" i="5"/>
  <c r="Z4" i="5"/>
  <c r="Z3" i="5"/>
  <c r="N169" i="3"/>
  <c r="O169" i="3" s="1"/>
  <c r="M169" i="3"/>
  <c r="O168" i="3"/>
  <c r="N168" i="3"/>
  <c r="M168" i="3"/>
  <c r="N167" i="3"/>
  <c r="O167" i="3" s="1"/>
  <c r="M167" i="3"/>
  <c r="N166" i="3"/>
  <c r="O166" i="3" s="1"/>
  <c r="M166" i="3"/>
  <c r="N165" i="3"/>
  <c r="O165" i="3" s="1"/>
  <c r="M165" i="3"/>
  <c r="N164" i="3"/>
  <c r="O164" i="3" s="1"/>
  <c r="M164" i="3"/>
  <c r="N163" i="3"/>
  <c r="O163" i="3" s="1"/>
  <c r="CL18" i="3" s="1"/>
  <c r="M163" i="3"/>
  <c r="O162" i="3"/>
  <c r="CL17" i="3" s="1"/>
  <c r="N162" i="3"/>
  <c r="M162" i="3"/>
  <c r="N161" i="3"/>
  <c r="O161" i="3" s="1"/>
  <c r="CL16" i="3" s="1"/>
  <c r="M161" i="3"/>
  <c r="N160" i="3"/>
  <c r="O160" i="3" s="1"/>
  <c r="CL15" i="3" s="1"/>
  <c r="M160" i="3"/>
  <c r="N159" i="3"/>
  <c r="O159" i="3" s="1"/>
  <c r="CL14" i="3" s="1"/>
  <c r="M159" i="3"/>
  <c r="N155" i="3"/>
  <c r="O155" i="3" s="1"/>
  <c r="M155" i="3"/>
  <c r="N154" i="3"/>
  <c r="O154" i="3" s="1"/>
  <c r="M154" i="3"/>
  <c r="N153" i="3"/>
  <c r="O153" i="3" s="1"/>
  <c r="M153" i="3"/>
  <c r="N152" i="3"/>
  <c r="O152" i="3" s="1"/>
  <c r="M152" i="3"/>
  <c r="N151" i="3"/>
  <c r="O151" i="3" s="1"/>
  <c r="M151" i="3"/>
  <c r="N150" i="3"/>
  <c r="O150" i="3" s="1"/>
  <c r="M150" i="3"/>
  <c r="O149" i="3"/>
  <c r="CF18" i="3" s="1"/>
  <c r="N149" i="3"/>
  <c r="M149" i="3"/>
  <c r="N148" i="3"/>
  <c r="O148" i="3" s="1"/>
  <c r="CF17" i="3" s="1"/>
  <c r="M148" i="3"/>
  <c r="N147" i="3"/>
  <c r="O147" i="3" s="1"/>
  <c r="CF16" i="3" s="1"/>
  <c r="M147" i="3"/>
  <c r="N146" i="3"/>
  <c r="O146" i="3" s="1"/>
  <c r="CF15" i="3" s="1"/>
  <c r="M146" i="3"/>
  <c r="N145" i="3"/>
  <c r="O145" i="3" s="1"/>
  <c r="CF14" i="3" s="1"/>
  <c r="M145" i="3"/>
  <c r="N141" i="3"/>
  <c r="O141" i="3" s="1"/>
  <c r="M141" i="3"/>
  <c r="O140" i="3"/>
  <c r="N140" i="3"/>
  <c r="M140" i="3"/>
  <c r="N139" i="3"/>
  <c r="O139" i="3" s="1"/>
  <c r="M139" i="3"/>
  <c r="N138" i="3"/>
  <c r="O138" i="3" s="1"/>
  <c r="M138" i="3"/>
  <c r="N137" i="3"/>
  <c r="O137" i="3" s="1"/>
  <c r="M137" i="3"/>
  <c r="N136" i="3"/>
  <c r="O136" i="3" s="1"/>
  <c r="BZ19" i="3" s="1"/>
  <c r="M136" i="3"/>
  <c r="N135" i="3"/>
  <c r="O135" i="3" s="1"/>
  <c r="BZ18" i="3" s="1"/>
  <c r="M135" i="3"/>
  <c r="O134" i="3"/>
  <c r="BZ17" i="3" s="1"/>
  <c r="N134" i="3"/>
  <c r="M134" i="3"/>
  <c r="N133" i="3"/>
  <c r="O133" i="3" s="1"/>
  <c r="BZ16" i="3" s="1"/>
  <c r="M133" i="3"/>
  <c r="N132" i="3"/>
  <c r="O132" i="3" s="1"/>
  <c r="BZ15" i="3" s="1"/>
  <c r="M132" i="3"/>
  <c r="N131" i="3"/>
  <c r="O131" i="3" s="1"/>
  <c r="BZ14" i="3" s="1"/>
  <c r="M131" i="3"/>
  <c r="N127" i="3"/>
  <c r="O127" i="3" s="1"/>
  <c r="M127" i="3"/>
  <c r="N126" i="3"/>
  <c r="O126" i="3" s="1"/>
  <c r="M126" i="3"/>
  <c r="N125" i="3"/>
  <c r="O125" i="3" s="1"/>
  <c r="M125" i="3"/>
  <c r="N124" i="3"/>
  <c r="O124" i="3" s="1"/>
  <c r="M124" i="3"/>
  <c r="N123" i="3"/>
  <c r="O123" i="3" s="1"/>
  <c r="M123" i="3"/>
  <c r="N122" i="3"/>
  <c r="O122" i="3" s="1"/>
  <c r="BT19" i="3" s="1"/>
  <c r="M122" i="3"/>
  <c r="O121" i="3"/>
  <c r="BT18" i="3" s="1"/>
  <c r="N121" i="3"/>
  <c r="M121" i="3"/>
  <c r="N120" i="3"/>
  <c r="O120" i="3" s="1"/>
  <c r="BT17" i="3" s="1"/>
  <c r="M120" i="3"/>
  <c r="N119" i="3"/>
  <c r="O119" i="3" s="1"/>
  <c r="BT16" i="3" s="1"/>
  <c r="M119" i="3"/>
  <c r="N118" i="3"/>
  <c r="O118" i="3" s="1"/>
  <c r="BT15" i="3" s="1"/>
  <c r="M118" i="3"/>
  <c r="N117" i="3"/>
  <c r="O117" i="3" s="1"/>
  <c r="BT14" i="3" s="1"/>
  <c r="M117" i="3"/>
  <c r="N113" i="3"/>
  <c r="O113" i="3" s="1"/>
  <c r="M113" i="3"/>
  <c r="O112" i="3"/>
  <c r="N112" i="3"/>
  <c r="M112" i="3"/>
  <c r="N111" i="3"/>
  <c r="O111" i="3" s="1"/>
  <c r="M111" i="3"/>
  <c r="N110" i="3"/>
  <c r="O110" i="3" s="1"/>
  <c r="M110" i="3"/>
  <c r="N109" i="3"/>
  <c r="O109" i="3" s="1"/>
  <c r="M109" i="3"/>
  <c r="O108" i="3"/>
  <c r="BN19" i="3" s="1"/>
  <c r="N108" i="3"/>
  <c r="M108" i="3"/>
  <c r="N107" i="3"/>
  <c r="O107" i="3" s="1"/>
  <c r="BN18" i="3" s="1"/>
  <c r="M107" i="3"/>
  <c r="N106" i="3"/>
  <c r="O106" i="3" s="1"/>
  <c r="BN17" i="3" s="1"/>
  <c r="M106" i="3"/>
  <c r="N105" i="3"/>
  <c r="O105" i="3" s="1"/>
  <c r="BN16" i="3" s="1"/>
  <c r="M105" i="3"/>
  <c r="N104" i="3"/>
  <c r="O104" i="3" s="1"/>
  <c r="BN15" i="3" s="1"/>
  <c r="M104" i="3"/>
  <c r="N103" i="3"/>
  <c r="O103" i="3" s="1"/>
  <c r="BN14" i="3" s="1"/>
  <c r="M103" i="3"/>
  <c r="N99" i="3"/>
  <c r="O99" i="3" s="1"/>
  <c r="M99" i="3"/>
  <c r="N98" i="3"/>
  <c r="O98" i="3" s="1"/>
  <c r="M98" i="3"/>
  <c r="N97" i="3"/>
  <c r="O97" i="3" s="1"/>
  <c r="M97" i="3"/>
  <c r="N96" i="3"/>
  <c r="O96" i="3" s="1"/>
  <c r="M96" i="3"/>
  <c r="N95" i="3"/>
  <c r="O95" i="3" s="1"/>
  <c r="BH20" i="3" s="1"/>
  <c r="M95" i="3"/>
  <c r="N94" i="3"/>
  <c r="O94" i="3" s="1"/>
  <c r="BH19" i="3" s="1"/>
  <c r="M94" i="3"/>
  <c r="O93" i="3"/>
  <c r="BH18" i="3" s="1"/>
  <c r="N93" i="3"/>
  <c r="M93" i="3"/>
  <c r="N92" i="3"/>
  <c r="O92" i="3" s="1"/>
  <c r="BH17" i="3" s="1"/>
  <c r="M92" i="3"/>
  <c r="N91" i="3"/>
  <c r="O91" i="3" s="1"/>
  <c r="BH16" i="3" s="1"/>
  <c r="M91" i="3"/>
  <c r="N90" i="3"/>
  <c r="O90" i="3" s="1"/>
  <c r="BH15" i="3" s="1"/>
  <c r="M90" i="3"/>
  <c r="N89" i="3"/>
  <c r="O89" i="3" s="1"/>
  <c r="BH14" i="3" s="1"/>
  <c r="M89" i="3"/>
  <c r="N85" i="3"/>
  <c r="O85" i="3" s="1"/>
  <c r="M85" i="3"/>
  <c r="N84" i="3"/>
  <c r="O84" i="3" s="1"/>
  <c r="M84" i="3"/>
  <c r="N83" i="3"/>
  <c r="O83" i="3" s="1"/>
  <c r="M83" i="3"/>
  <c r="N82" i="3"/>
  <c r="O82" i="3" s="1"/>
  <c r="M82" i="3"/>
  <c r="N81" i="3"/>
  <c r="O81" i="3" s="1"/>
  <c r="BB20" i="3" s="1"/>
  <c r="M81" i="3"/>
  <c r="O80" i="3"/>
  <c r="BB19" i="3" s="1"/>
  <c r="N80" i="3"/>
  <c r="M80" i="3"/>
  <c r="N79" i="3"/>
  <c r="O79" i="3" s="1"/>
  <c r="BB18" i="3" s="1"/>
  <c r="M79" i="3"/>
  <c r="N78" i="3"/>
  <c r="O78" i="3" s="1"/>
  <c r="BB17" i="3" s="1"/>
  <c r="M78" i="3"/>
  <c r="N77" i="3"/>
  <c r="O77" i="3" s="1"/>
  <c r="BB16" i="3" s="1"/>
  <c r="M77" i="3"/>
  <c r="N76" i="3"/>
  <c r="O76" i="3" s="1"/>
  <c r="BB15" i="3" s="1"/>
  <c r="M76" i="3"/>
  <c r="N75" i="3"/>
  <c r="O75" i="3" s="1"/>
  <c r="BB14" i="3" s="1"/>
  <c r="M75" i="3"/>
  <c r="N71" i="3"/>
  <c r="O71" i="3" s="1"/>
  <c r="M71" i="3"/>
  <c r="N70" i="3"/>
  <c r="O70" i="3" s="1"/>
  <c r="M70" i="3"/>
  <c r="N69" i="3"/>
  <c r="O69" i="3" s="1"/>
  <c r="M69" i="3"/>
  <c r="N68" i="3"/>
  <c r="O68" i="3" s="1"/>
  <c r="AV21" i="3" s="1"/>
  <c r="M68" i="3"/>
  <c r="N67" i="3"/>
  <c r="O67" i="3" s="1"/>
  <c r="AV20" i="3" s="1"/>
  <c r="M67" i="3"/>
  <c r="N66" i="3"/>
  <c r="O66" i="3" s="1"/>
  <c r="AV19" i="3" s="1"/>
  <c r="M66" i="3"/>
  <c r="N65" i="3"/>
  <c r="O65" i="3" s="1"/>
  <c r="AV18" i="3" s="1"/>
  <c r="M65" i="3"/>
  <c r="N64" i="3"/>
  <c r="O64" i="3" s="1"/>
  <c r="AV17" i="3" s="1"/>
  <c r="M64" i="3"/>
  <c r="N63" i="3"/>
  <c r="O63" i="3" s="1"/>
  <c r="AV16" i="3" s="1"/>
  <c r="M63" i="3"/>
  <c r="N62" i="3"/>
  <c r="O62" i="3" s="1"/>
  <c r="AV15" i="3" s="1"/>
  <c r="M62" i="3"/>
  <c r="N61" i="3"/>
  <c r="O61" i="3" s="1"/>
  <c r="AV14" i="3" s="1"/>
  <c r="M61" i="3"/>
  <c r="N57" i="3"/>
  <c r="O57" i="3" s="1"/>
  <c r="M57" i="3"/>
  <c r="N56" i="3"/>
  <c r="O56" i="3" s="1"/>
  <c r="M56" i="3"/>
  <c r="N55" i="3"/>
  <c r="O55" i="3" s="1"/>
  <c r="AP22" i="3" s="1"/>
  <c r="M55" i="3"/>
  <c r="N54" i="3"/>
  <c r="O54" i="3" s="1"/>
  <c r="AP21" i="3" s="1"/>
  <c r="M54" i="3"/>
  <c r="N53" i="3"/>
  <c r="O53" i="3" s="1"/>
  <c r="AP20" i="3" s="1"/>
  <c r="M53" i="3"/>
  <c r="O52" i="3"/>
  <c r="AP19" i="3" s="1"/>
  <c r="N52" i="3"/>
  <c r="M52" i="3"/>
  <c r="N51" i="3"/>
  <c r="O51" i="3" s="1"/>
  <c r="AP18" i="3" s="1"/>
  <c r="M51" i="3"/>
  <c r="N50" i="3"/>
  <c r="O50" i="3" s="1"/>
  <c r="AP17" i="3" s="1"/>
  <c r="M50" i="3"/>
  <c r="N49" i="3"/>
  <c r="O49" i="3" s="1"/>
  <c r="AP16" i="3" s="1"/>
  <c r="M49" i="3"/>
  <c r="N48" i="3"/>
  <c r="O48" i="3" s="1"/>
  <c r="AP15" i="3" s="1"/>
  <c r="M48" i="3"/>
  <c r="N47" i="3"/>
  <c r="O47" i="3" s="1"/>
  <c r="AP14" i="3" s="1"/>
  <c r="M47" i="3"/>
  <c r="N43" i="3"/>
  <c r="O43" i="3" s="1"/>
  <c r="M43" i="3"/>
  <c r="N42" i="3"/>
  <c r="O42" i="3" s="1"/>
  <c r="M42" i="3"/>
  <c r="N41" i="3"/>
  <c r="O41" i="3" s="1"/>
  <c r="AJ22" i="3" s="1"/>
  <c r="M41" i="3"/>
  <c r="N40" i="3"/>
  <c r="O40" i="3" s="1"/>
  <c r="AJ21" i="3" s="1"/>
  <c r="M40" i="3"/>
  <c r="N39" i="3"/>
  <c r="O39" i="3" s="1"/>
  <c r="AJ20" i="3" s="1"/>
  <c r="M39" i="3"/>
  <c r="N38" i="3"/>
  <c r="O38" i="3" s="1"/>
  <c r="AJ19" i="3" s="1"/>
  <c r="M38" i="3"/>
  <c r="N37" i="3"/>
  <c r="O37" i="3" s="1"/>
  <c r="AJ18" i="3" s="1"/>
  <c r="M37" i="3"/>
  <c r="N36" i="3"/>
  <c r="O36" i="3" s="1"/>
  <c r="AJ17" i="3" s="1"/>
  <c r="M36" i="3"/>
  <c r="N35" i="3"/>
  <c r="O35" i="3" s="1"/>
  <c r="AJ16" i="3" s="1"/>
  <c r="M35" i="3"/>
  <c r="N34" i="3"/>
  <c r="O34" i="3" s="1"/>
  <c r="AJ15" i="3" s="1"/>
  <c r="M34" i="3"/>
  <c r="N33" i="3"/>
  <c r="O33" i="3" s="1"/>
  <c r="AJ14" i="3" s="1"/>
  <c r="M33" i="3"/>
  <c r="N29" i="3"/>
  <c r="O29" i="3" s="1"/>
  <c r="M29" i="3"/>
  <c r="N28" i="3"/>
  <c r="O28" i="3" s="1"/>
  <c r="M28" i="3"/>
  <c r="N27" i="3"/>
  <c r="O27" i="3" s="1"/>
  <c r="AD22" i="3" s="1"/>
  <c r="M27" i="3"/>
  <c r="O26" i="3"/>
  <c r="AD21" i="3" s="1"/>
  <c r="N26" i="3"/>
  <c r="M26" i="3"/>
  <c r="N25" i="3"/>
  <c r="O25" i="3" s="1"/>
  <c r="AD20" i="3" s="1"/>
  <c r="M25" i="3"/>
  <c r="N24" i="3"/>
  <c r="O24" i="3" s="1"/>
  <c r="AD19" i="3" s="1"/>
  <c r="M24" i="3"/>
  <c r="N23" i="3"/>
  <c r="O23" i="3" s="1"/>
  <c r="AD18" i="3" s="1"/>
  <c r="M23" i="3"/>
  <c r="N22" i="3"/>
  <c r="O22" i="3" s="1"/>
  <c r="AD17" i="3" s="1"/>
  <c r="M22" i="3"/>
  <c r="N21" i="3"/>
  <c r="O21" i="3" s="1"/>
  <c r="AD16" i="3" s="1"/>
  <c r="M21" i="3"/>
  <c r="N20" i="3"/>
  <c r="O20" i="3" s="1"/>
  <c r="AD15" i="3" s="1"/>
  <c r="M20" i="3"/>
  <c r="N19" i="3"/>
  <c r="O19" i="3" s="1"/>
  <c r="AD14" i="3" s="1"/>
  <c r="M19" i="3"/>
  <c r="N15" i="3"/>
  <c r="O15" i="3" s="1"/>
  <c r="M15" i="3"/>
  <c r="N14" i="3"/>
  <c r="O14" i="3" s="1"/>
  <c r="M14" i="3"/>
  <c r="N13" i="3"/>
  <c r="O13" i="3" s="1"/>
  <c r="X22" i="3" s="1"/>
  <c r="M13" i="3"/>
  <c r="N12" i="3"/>
  <c r="O12" i="3" s="1"/>
  <c r="X21" i="3" s="1"/>
  <c r="M12" i="3"/>
  <c r="N11" i="3"/>
  <c r="O11" i="3" s="1"/>
  <c r="X20" i="3" s="1"/>
  <c r="M11" i="3"/>
  <c r="N10" i="3"/>
  <c r="O10" i="3" s="1"/>
  <c r="X19" i="3" s="1"/>
  <c r="M10" i="3"/>
  <c r="N9" i="3"/>
  <c r="O9" i="3" s="1"/>
  <c r="X18" i="3" s="1"/>
  <c r="M9" i="3"/>
  <c r="N8" i="3"/>
  <c r="O8" i="3" s="1"/>
  <c r="X17" i="3" s="1"/>
  <c r="M8" i="3"/>
  <c r="O7" i="3"/>
  <c r="X16" i="3" s="1"/>
  <c r="N7" i="3"/>
  <c r="M7" i="3"/>
  <c r="N6" i="3"/>
  <c r="O6" i="3" s="1"/>
  <c r="X15" i="3" s="1"/>
  <c r="M6" i="3"/>
  <c r="N5" i="3"/>
  <c r="O5" i="3" s="1"/>
  <c r="X14" i="3" s="1"/>
  <c r="M5" i="3"/>
  <c r="N169" i="2"/>
  <c r="O169" i="2" s="1"/>
  <c r="M169" i="2"/>
  <c r="N168" i="2"/>
  <c r="O168" i="2" s="1"/>
  <c r="M168" i="2"/>
  <c r="N167" i="2"/>
  <c r="O167" i="2" s="1"/>
  <c r="M167" i="2"/>
  <c r="N166" i="2"/>
  <c r="O166" i="2" s="1"/>
  <c r="M166" i="2"/>
  <c r="N165" i="2"/>
  <c r="O165" i="2" s="1"/>
  <c r="M165" i="2"/>
  <c r="O164" i="2"/>
  <c r="CL19" i="2" s="1"/>
  <c r="N164" i="2"/>
  <c r="M164" i="2"/>
  <c r="N163" i="2"/>
  <c r="O163" i="2" s="1"/>
  <c r="CL18" i="2" s="1"/>
  <c r="M163" i="2"/>
  <c r="N162" i="2"/>
  <c r="O162" i="2" s="1"/>
  <c r="CL17" i="2" s="1"/>
  <c r="M162" i="2"/>
  <c r="N161" i="2"/>
  <c r="O161" i="2" s="1"/>
  <c r="CL16" i="2" s="1"/>
  <c r="M161" i="2"/>
  <c r="N160" i="2"/>
  <c r="O160" i="2" s="1"/>
  <c r="CL15" i="2" s="1"/>
  <c r="M160" i="2"/>
  <c r="N159" i="2"/>
  <c r="O159" i="2" s="1"/>
  <c r="CL14" i="2" s="1"/>
  <c r="M159" i="2"/>
  <c r="N155" i="2"/>
  <c r="O155" i="2" s="1"/>
  <c r="M155" i="2"/>
  <c r="N154" i="2"/>
  <c r="O154" i="2" s="1"/>
  <c r="M154" i="2"/>
  <c r="N153" i="2"/>
  <c r="O153" i="2" s="1"/>
  <c r="M153" i="2"/>
  <c r="N152" i="2"/>
  <c r="O152" i="2" s="1"/>
  <c r="M152" i="2"/>
  <c r="N151" i="2"/>
  <c r="O151" i="2" s="1"/>
  <c r="CF20" i="2" s="1"/>
  <c r="M151" i="2"/>
  <c r="N150" i="2"/>
  <c r="O150" i="2" s="1"/>
  <c r="CF19" i="2" s="1"/>
  <c r="M150" i="2"/>
  <c r="N149" i="2"/>
  <c r="O149" i="2" s="1"/>
  <c r="CF18" i="2" s="1"/>
  <c r="M149" i="2"/>
  <c r="N148" i="2"/>
  <c r="O148" i="2" s="1"/>
  <c r="CF17" i="2" s="1"/>
  <c r="M148" i="2"/>
  <c r="N147" i="2"/>
  <c r="O147" i="2" s="1"/>
  <c r="CF16" i="2" s="1"/>
  <c r="M147" i="2"/>
  <c r="N146" i="2"/>
  <c r="O146" i="2" s="1"/>
  <c r="CF15" i="2" s="1"/>
  <c r="M146" i="2"/>
  <c r="N145" i="2"/>
  <c r="O145" i="2" s="1"/>
  <c r="CF14" i="2" s="1"/>
  <c r="M145" i="2"/>
  <c r="N141" i="2"/>
  <c r="O141" i="2" s="1"/>
  <c r="M141" i="2"/>
  <c r="N140" i="2"/>
  <c r="O140" i="2" s="1"/>
  <c r="M140" i="2"/>
  <c r="N139" i="2"/>
  <c r="O139" i="2" s="1"/>
  <c r="M139" i="2"/>
  <c r="N138" i="2"/>
  <c r="O138" i="2" s="1"/>
  <c r="M138" i="2"/>
  <c r="N137" i="2"/>
  <c r="O137" i="2" s="1"/>
  <c r="BZ20" i="2" s="1"/>
  <c r="M137" i="2"/>
  <c r="O136" i="2"/>
  <c r="BZ19" i="2" s="1"/>
  <c r="N136" i="2"/>
  <c r="M136" i="2"/>
  <c r="N135" i="2"/>
  <c r="O135" i="2" s="1"/>
  <c r="BZ18" i="2" s="1"/>
  <c r="M135" i="2"/>
  <c r="N134" i="2"/>
  <c r="O134" i="2" s="1"/>
  <c r="BZ17" i="2" s="1"/>
  <c r="M134" i="2"/>
  <c r="N133" i="2"/>
  <c r="O133" i="2" s="1"/>
  <c r="BZ16" i="2" s="1"/>
  <c r="M133" i="2"/>
  <c r="O132" i="2"/>
  <c r="BZ15" i="2" s="1"/>
  <c r="N132" i="2"/>
  <c r="M132" i="2"/>
  <c r="N131" i="2"/>
  <c r="O131" i="2" s="1"/>
  <c r="BZ14" i="2" s="1"/>
  <c r="M131" i="2"/>
  <c r="N127" i="2"/>
  <c r="O127" i="2" s="1"/>
  <c r="M127" i="2"/>
  <c r="N126" i="2"/>
  <c r="O126" i="2" s="1"/>
  <c r="M126" i="2"/>
  <c r="N125" i="2"/>
  <c r="O125" i="2" s="1"/>
  <c r="M125" i="2"/>
  <c r="N124" i="2"/>
  <c r="O124" i="2" s="1"/>
  <c r="BT21" i="2" s="1"/>
  <c r="M124" i="2"/>
  <c r="N123" i="2"/>
  <c r="O123" i="2" s="1"/>
  <c r="BT20" i="2" s="1"/>
  <c r="M123" i="2"/>
  <c r="N122" i="2"/>
  <c r="O122" i="2" s="1"/>
  <c r="BT19" i="2" s="1"/>
  <c r="M122" i="2"/>
  <c r="N121" i="2"/>
  <c r="O121" i="2" s="1"/>
  <c r="BT18" i="2" s="1"/>
  <c r="M121" i="2"/>
  <c r="N120" i="2"/>
  <c r="O120" i="2" s="1"/>
  <c r="BT17" i="2" s="1"/>
  <c r="M120" i="2"/>
  <c r="N119" i="2"/>
  <c r="O119" i="2" s="1"/>
  <c r="BT16" i="2" s="1"/>
  <c r="M119" i="2"/>
  <c r="N118" i="2"/>
  <c r="O118" i="2" s="1"/>
  <c r="BT15" i="2" s="1"/>
  <c r="M118" i="2"/>
  <c r="N117" i="2"/>
  <c r="O117" i="2" s="1"/>
  <c r="BT14" i="2" s="1"/>
  <c r="M117" i="2"/>
  <c r="N113" i="2"/>
  <c r="O113" i="2" s="1"/>
  <c r="M113" i="2"/>
  <c r="N112" i="2"/>
  <c r="O112" i="2" s="1"/>
  <c r="M112" i="2"/>
  <c r="N111" i="2"/>
  <c r="O111" i="2" s="1"/>
  <c r="M111" i="2"/>
  <c r="N110" i="2"/>
  <c r="O110" i="2" s="1"/>
  <c r="BN21" i="2" s="1"/>
  <c r="M110" i="2"/>
  <c r="N109" i="2"/>
  <c r="O109" i="2" s="1"/>
  <c r="BN20" i="2" s="1"/>
  <c r="M109" i="2"/>
  <c r="N108" i="2"/>
  <c r="O108" i="2" s="1"/>
  <c r="BN19" i="2" s="1"/>
  <c r="M108" i="2"/>
  <c r="N107" i="2"/>
  <c r="O107" i="2" s="1"/>
  <c r="BN18" i="2" s="1"/>
  <c r="M107" i="2"/>
  <c r="N106" i="2"/>
  <c r="O106" i="2" s="1"/>
  <c r="BN17" i="2" s="1"/>
  <c r="M106" i="2"/>
  <c r="N105" i="2"/>
  <c r="O105" i="2" s="1"/>
  <c r="BN16" i="2" s="1"/>
  <c r="M105" i="2"/>
  <c r="N104" i="2"/>
  <c r="O104" i="2" s="1"/>
  <c r="BN15" i="2" s="1"/>
  <c r="M104" i="2"/>
  <c r="N103" i="2"/>
  <c r="O103" i="2" s="1"/>
  <c r="BN14" i="2" s="1"/>
  <c r="M103" i="2"/>
  <c r="N99" i="2"/>
  <c r="O99" i="2" s="1"/>
  <c r="M99" i="2"/>
  <c r="N98" i="2"/>
  <c r="O98" i="2" s="1"/>
  <c r="M98" i="2"/>
  <c r="N97" i="2"/>
  <c r="O97" i="2" s="1"/>
  <c r="M97" i="2"/>
  <c r="N96" i="2"/>
  <c r="O96" i="2" s="1"/>
  <c r="BH21" i="2" s="1"/>
  <c r="M96" i="2"/>
  <c r="N95" i="2"/>
  <c r="O95" i="2" s="1"/>
  <c r="BH20" i="2" s="1"/>
  <c r="M95" i="2"/>
  <c r="N94" i="2"/>
  <c r="O94" i="2" s="1"/>
  <c r="BH19" i="2" s="1"/>
  <c r="M94" i="2"/>
  <c r="N93" i="2"/>
  <c r="O93" i="2" s="1"/>
  <c r="BH18" i="2" s="1"/>
  <c r="M93" i="2"/>
  <c r="N92" i="2"/>
  <c r="O92" i="2" s="1"/>
  <c r="BH17" i="2" s="1"/>
  <c r="M92" i="2"/>
  <c r="O91" i="2"/>
  <c r="BH16" i="2" s="1"/>
  <c r="N91" i="2"/>
  <c r="M91" i="2"/>
  <c r="N90" i="2"/>
  <c r="O90" i="2" s="1"/>
  <c r="BH15" i="2" s="1"/>
  <c r="M90" i="2"/>
  <c r="N89" i="2"/>
  <c r="O89" i="2" s="1"/>
  <c r="BH14" i="2" s="1"/>
  <c r="M89" i="2"/>
  <c r="N85" i="2"/>
  <c r="O85" i="2" s="1"/>
  <c r="M85" i="2"/>
  <c r="N84" i="2"/>
  <c r="O84" i="2" s="1"/>
  <c r="M84" i="2"/>
  <c r="N83" i="2"/>
  <c r="O83" i="2" s="1"/>
  <c r="BB22" i="2" s="1"/>
  <c r="M83" i="2"/>
  <c r="O82" i="2"/>
  <c r="BB21" i="2" s="1"/>
  <c r="N82" i="2"/>
  <c r="M82" i="2"/>
  <c r="N81" i="2"/>
  <c r="O81" i="2" s="1"/>
  <c r="BB20" i="2" s="1"/>
  <c r="M81" i="2"/>
  <c r="N80" i="2"/>
  <c r="O80" i="2" s="1"/>
  <c r="BB19" i="2" s="1"/>
  <c r="M80" i="2"/>
  <c r="N79" i="2"/>
  <c r="O79" i="2" s="1"/>
  <c r="BB18" i="2" s="1"/>
  <c r="M79" i="2"/>
  <c r="O78" i="2"/>
  <c r="BB17" i="2" s="1"/>
  <c r="N78" i="2"/>
  <c r="M78" i="2"/>
  <c r="N77" i="2"/>
  <c r="O77" i="2" s="1"/>
  <c r="BB16" i="2" s="1"/>
  <c r="M77" i="2"/>
  <c r="N76" i="2"/>
  <c r="O76" i="2" s="1"/>
  <c r="BB15" i="2" s="1"/>
  <c r="M76" i="2"/>
  <c r="N75" i="2"/>
  <c r="O75" i="2" s="1"/>
  <c r="BB14" i="2" s="1"/>
  <c r="M75" i="2"/>
  <c r="N71" i="2"/>
  <c r="O71" i="2" s="1"/>
  <c r="M71" i="2"/>
  <c r="N70" i="2"/>
  <c r="O70" i="2" s="1"/>
  <c r="M70" i="2"/>
  <c r="N69" i="2"/>
  <c r="O69" i="2" s="1"/>
  <c r="AV22" i="2" s="1"/>
  <c r="M69" i="2"/>
  <c r="N68" i="2"/>
  <c r="O68" i="2" s="1"/>
  <c r="AV21" i="2" s="1"/>
  <c r="M68" i="2"/>
  <c r="N67" i="2"/>
  <c r="O67" i="2" s="1"/>
  <c r="AV20" i="2" s="1"/>
  <c r="M67" i="2"/>
  <c r="N66" i="2"/>
  <c r="O66" i="2" s="1"/>
  <c r="AV19" i="2" s="1"/>
  <c r="M66" i="2"/>
  <c r="N65" i="2"/>
  <c r="O65" i="2" s="1"/>
  <c r="AV18" i="2" s="1"/>
  <c r="M65" i="2"/>
  <c r="N64" i="2"/>
  <c r="O64" i="2" s="1"/>
  <c r="AV17" i="2" s="1"/>
  <c r="M64" i="2"/>
  <c r="O63" i="2"/>
  <c r="AV16" i="2" s="1"/>
  <c r="N63" i="2"/>
  <c r="M63" i="2"/>
  <c r="N62" i="2"/>
  <c r="O62" i="2" s="1"/>
  <c r="AV15" i="2" s="1"/>
  <c r="M62" i="2"/>
  <c r="N61" i="2"/>
  <c r="O61" i="2" s="1"/>
  <c r="AV14" i="2" s="1"/>
  <c r="M61" i="2"/>
  <c r="N57" i="2"/>
  <c r="O57" i="2" s="1"/>
  <c r="M57" i="2"/>
  <c r="N56" i="2"/>
  <c r="O56" i="2" s="1"/>
  <c r="M56" i="2"/>
  <c r="N55" i="2"/>
  <c r="O55" i="2" s="1"/>
  <c r="AP22" i="2" s="1"/>
  <c r="M55" i="2"/>
  <c r="N54" i="2"/>
  <c r="O54" i="2" s="1"/>
  <c r="AP21" i="2" s="1"/>
  <c r="M54" i="2"/>
  <c r="N53" i="2"/>
  <c r="O53" i="2" s="1"/>
  <c r="AP20" i="2" s="1"/>
  <c r="M53" i="2"/>
  <c r="N52" i="2"/>
  <c r="O52" i="2" s="1"/>
  <c r="AP19" i="2" s="1"/>
  <c r="M52" i="2"/>
  <c r="N51" i="2"/>
  <c r="O51" i="2" s="1"/>
  <c r="AP18" i="2" s="1"/>
  <c r="M51" i="2"/>
  <c r="O50" i="2"/>
  <c r="AP17" i="2" s="1"/>
  <c r="N50" i="2"/>
  <c r="M50" i="2"/>
  <c r="N49" i="2"/>
  <c r="O49" i="2" s="1"/>
  <c r="AP16" i="2" s="1"/>
  <c r="M49" i="2"/>
  <c r="N48" i="2"/>
  <c r="O48" i="2" s="1"/>
  <c r="AP15" i="2" s="1"/>
  <c r="M48" i="2"/>
  <c r="N47" i="2"/>
  <c r="O47" i="2" s="1"/>
  <c r="AP14" i="2" s="1"/>
  <c r="M47" i="2"/>
  <c r="N43" i="2"/>
  <c r="O43" i="2" s="1"/>
  <c r="M43" i="2"/>
  <c r="N42" i="2"/>
  <c r="O42" i="2" s="1"/>
  <c r="AJ23" i="2" s="1"/>
  <c r="M42" i="2"/>
  <c r="N41" i="2"/>
  <c r="O41" i="2" s="1"/>
  <c r="AJ22" i="2" s="1"/>
  <c r="M41" i="2"/>
  <c r="N40" i="2"/>
  <c r="O40" i="2" s="1"/>
  <c r="AJ21" i="2" s="1"/>
  <c r="M40" i="2"/>
  <c r="N39" i="2"/>
  <c r="O39" i="2" s="1"/>
  <c r="AJ20" i="2" s="1"/>
  <c r="M39" i="2"/>
  <c r="N38" i="2"/>
  <c r="O38" i="2" s="1"/>
  <c r="AJ19" i="2" s="1"/>
  <c r="M38" i="2"/>
  <c r="N37" i="2"/>
  <c r="O37" i="2" s="1"/>
  <c r="AJ18" i="2" s="1"/>
  <c r="M37" i="2"/>
  <c r="N36" i="2"/>
  <c r="O36" i="2" s="1"/>
  <c r="AJ17" i="2" s="1"/>
  <c r="M36" i="2"/>
  <c r="N35" i="2"/>
  <c r="O35" i="2" s="1"/>
  <c r="AJ16" i="2" s="1"/>
  <c r="M35" i="2"/>
  <c r="N34" i="2"/>
  <c r="O34" i="2" s="1"/>
  <c r="AJ15" i="2" s="1"/>
  <c r="M34" i="2"/>
  <c r="N33" i="2"/>
  <c r="O33" i="2" s="1"/>
  <c r="AJ14" i="2" s="1"/>
  <c r="M33" i="2"/>
  <c r="N29" i="2"/>
  <c r="O29" i="2" s="1"/>
  <c r="M29" i="2"/>
  <c r="N28" i="2"/>
  <c r="O28" i="2" s="1"/>
  <c r="AD23" i="2" s="1"/>
  <c r="M28" i="2"/>
  <c r="N27" i="2"/>
  <c r="O27" i="2" s="1"/>
  <c r="AD22" i="2" s="1"/>
  <c r="M27" i="2"/>
  <c r="N26" i="2"/>
  <c r="O26" i="2" s="1"/>
  <c r="AD21" i="2" s="1"/>
  <c r="M26" i="2"/>
  <c r="N25" i="2"/>
  <c r="O25" i="2" s="1"/>
  <c r="AD20" i="2" s="1"/>
  <c r="M25" i="2"/>
  <c r="N24" i="2"/>
  <c r="O24" i="2" s="1"/>
  <c r="AD19" i="2" s="1"/>
  <c r="M24" i="2"/>
  <c r="N23" i="2"/>
  <c r="O23" i="2" s="1"/>
  <c r="AD18" i="2" s="1"/>
  <c r="M23" i="2"/>
  <c r="O22" i="2"/>
  <c r="AD17" i="2" s="1"/>
  <c r="N22" i="2"/>
  <c r="M22" i="2"/>
  <c r="N21" i="2"/>
  <c r="O21" i="2" s="1"/>
  <c r="AD16" i="2" s="1"/>
  <c r="M21" i="2"/>
  <c r="N20" i="2"/>
  <c r="O20" i="2" s="1"/>
  <c r="AD15" i="2" s="1"/>
  <c r="M20" i="2"/>
  <c r="N19" i="2"/>
  <c r="O19" i="2" s="1"/>
  <c r="AD14" i="2" s="1"/>
  <c r="M19" i="2"/>
  <c r="N15" i="2"/>
  <c r="O15" i="2" s="1"/>
  <c r="M15" i="2"/>
  <c r="N14" i="2"/>
  <c r="O14" i="2" s="1"/>
  <c r="X23" i="2" s="1"/>
  <c r="M14" i="2"/>
  <c r="N13" i="2"/>
  <c r="O13" i="2" s="1"/>
  <c r="X22" i="2" s="1"/>
  <c r="M13" i="2"/>
  <c r="N12" i="2"/>
  <c r="O12" i="2" s="1"/>
  <c r="X21" i="2" s="1"/>
  <c r="M12" i="2"/>
  <c r="N11" i="2"/>
  <c r="O11" i="2" s="1"/>
  <c r="X20" i="2" s="1"/>
  <c r="M11" i="2"/>
  <c r="N10" i="2"/>
  <c r="O10" i="2" s="1"/>
  <c r="X19" i="2" s="1"/>
  <c r="M10" i="2"/>
  <c r="N9" i="2"/>
  <c r="O9" i="2" s="1"/>
  <c r="X18" i="2" s="1"/>
  <c r="M9" i="2"/>
  <c r="N8" i="2"/>
  <c r="O8" i="2" s="1"/>
  <c r="X17" i="2" s="1"/>
  <c r="M8" i="2"/>
  <c r="N7" i="2"/>
  <c r="O7" i="2" s="1"/>
  <c r="X16" i="2" s="1"/>
  <c r="M7" i="2"/>
  <c r="N6" i="2"/>
  <c r="O6" i="2" s="1"/>
  <c r="X15" i="2" s="1"/>
  <c r="M6" i="2"/>
  <c r="N5" i="2"/>
  <c r="O5" i="2" s="1"/>
  <c r="X14" i="2" s="1"/>
  <c r="M5" i="2"/>
  <c r="N169" i="1"/>
  <c r="O169" i="1" s="1"/>
  <c r="M169" i="1"/>
  <c r="N168" i="1"/>
  <c r="O168" i="1" s="1"/>
  <c r="M168" i="1"/>
  <c r="N167" i="1"/>
  <c r="O167" i="1" s="1"/>
  <c r="CL22" i="1" s="1"/>
  <c r="M167" i="1"/>
  <c r="N166" i="1"/>
  <c r="O166" i="1" s="1"/>
  <c r="CL21" i="1" s="1"/>
  <c r="M166" i="1"/>
  <c r="N165" i="1"/>
  <c r="O165" i="1" s="1"/>
  <c r="CL20" i="1" s="1"/>
  <c r="M165" i="1"/>
  <c r="N164" i="1"/>
  <c r="O164" i="1" s="1"/>
  <c r="CL19" i="1" s="1"/>
  <c r="M164" i="1"/>
  <c r="N163" i="1"/>
  <c r="O163" i="1" s="1"/>
  <c r="CL18" i="1" s="1"/>
  <c r="M163" i="1"/>
  <c r="N162" i="1"/>
  <c r="O162" i="1" s="1"/>
  <c r="CL17" i="1" s="1"/>
  <c r="M162" i="1"/>
  <c r="N161" i="1"/>
  <c r="O161" i="1" s="1"/>
  <c r="CL16" i="1" s="1"/>
  <c r="M161" i="1"/>
  <c r="N160" i="1"/>
  <c r="O160" i="1" s="1"/>
  <c r="CL15" i="1" s="1"/>
  <c r="M160" i="1"/>
  <c r="N159" i="1"/>
  <c r="O159" i="1" s="1"/>
  <c r="CL14" i="1" s="1"/>
  <c r="M159" i="1"/>
  <c r="N155" i="1"/>
  <c r="O155" i="1" s="1"/>
  <c r="M155" i="1"/>
  <c r="N154" i="1"/>
  <c r="O154" i="1" s="1"/>
  <c r="M154" i="1"/>
  <c r="N153" i="1"/>
  <c r="O153" i="1" s="1"/>
  <c r="CF22" i="1" s="1"/>
  <c r="M153" i="1"/>
  <c r="N152" i="1"/>
  <c r="O152" i="1" s="1"/>
  <c r="CF21" i="1" s="1"/>
  <c r="M152" i="1"/>
  <c r="N151" i="1"/>
  <c r="O151" i="1" s="1"/>
  <c r="CF20" i="1" s="1"/>
  <c r="M151" i="1"/>
  <c r="N150" i="1"/>
  <c r="O150" i="1" s="1"/>
  <c r="CF19" i="1" s="1"/>
  <c r="M150" i="1"/>
  <c r="N149" i="1"/>
  <c r="O149" i="1" s="1"/>
  <c r="CF18" i="1" s="1"/>
  <c r="M149" i="1"/>
  <c r="N148" i="1"/>
  <c r="O148" i="1" s="1"/>
  <c r="CF17" i="1" s="1"/>
  <c r="M148" i="1"/>
  <c r="N147" i="1"/>
  <c r="O147" i="1" s="1"/>
  <c r="CF16" i="1" s="1"/>
  <c r="M147" i="1"/>
  <c r="N146" i="1"/>
  <c r="O146" i="1" s="1"/>
  <c r="CF15" i="1" s="1"/>
  <c r="M146" i="1"/>
  <c r="N145" i="1"/>
  <c r="O145" i="1" s="1"/>
  <c r="CF14" i="1" s="1"/>
  <c r="M145" i="1"/>
  <c r="N141" i="1"/>
  <c r="O141" i="1" s="1"/>
  <c r="M141" i="1"/>
  <c r="N140" i="1"/>
  <c r="O140" i="1" s="1"/>
  <c r="BZ23" i="1" s="1"/>
  <c r="M140" i="1"/>
  <c r="N139" i="1"/>
  <c r="O139" i="1" s="1"/>
  <c r="BZ22" i="1" s="1"/>
  <c r="M139" i="1"/>
  <c r="N138" i="1"/>
  <c r="O138" i="1" s="1"/>
  <c r="BZ21" i="1" s="1"/>
  <c r="M138" i="1"/>
  <c r="N137" i="1"/>
  <c r="O137" i="1" s="1"/>
  <c r="BZ20" i="1" s="1"/>
  <c r="M137" i="1"/>
  <c r="N136" i="1"/>
  <c r="O136" i="1" s="1"/>
  <c r="BZ19" i="1" s="1"/>
  <c r="M136" i="1"/>
  <c r="N135" i="1"/>
  <c r="O135" i="1" s="1"/>
  <c r="BZ18" i="1" s="1"/>
  <c r="M135" i="1"/>
  <c r="O134" i="1"/>
  <c r="BZ17" i="1" s="1"/>
  <c r="N134" i="1"/>
  <c r="M134" i="1"/>
  <c r="N133" i="1"/>
  <c r="O133" i="1" s="1"/>
  <c r="BZ16" i="1" s="1"/>
  <c r="M133" i="1"/>
  <c r="N132" i="1"/>
  <c r="O132" i="1" s="1"/>
  <c r="BZ15" i="1" s="1"/>
  <c r="M132" i="1"/>
  <c r="N131" i="1"/>
  <c r="O131" i="1" s="1"/>
  <c r="BZ14" i="1" s="1"/>
  <c r="M131" i="1"/>
  <c r="N127" i="1"/>
  <c r="O127" i="1" s="1"/>
  <c r="M127" i="1"/>
  <c r="N126" i="1"/>
  <c r="O126" i="1" s="1"/>
  <c r="M126" i="1"/>
  <c r="N125" i="1"/>
  <c r="O125" i="1" s="1"/>
  <c r="BT22" i="1" s="1"/>
  <c r="M125" i="1"/>
  <c r="N124" i="1"/>
  <c r="O124" i="1" s="1"/>
  <c r="BT21" i="1" s="1"/>
  <c r="M124" i="1"/>
  <c r="N123" i="1"/>
  <c r="O123" i="1" s="1"/>
  <c r="BT20" i="1" s="1"/>
  <c r="M123" i="1"/>
  <c r="N122" i="1"/>
  <c r="O122" i="1" s="1"/>
  <c r="BT19" i="1" s="1"/>
  <c r="M122" i="1"/>
  <c r="N121" i="1"/>
  <c r="O121" i="1" s="1"/>
  <c r="BT18" i="1" s="1"/>
  <c r="M121" i="1"/>
  <c r="N120" i="1"/>
  <c r="O120" i="1" s="1"/>
  <c r="BT17" i="1" s="1"/>
  <c r="M120" i="1"/>
  <c r="N119" i="1"/>
  <c r="O119" i="1" s="1"/>
  <c r="BT16" i="1" s="1"/>
  <c r="M119" i="1"/>
  <c r="N118" i="1"/>
  <c r="O118" i="1" s="1"/>
  <c r="BT15" i="1" s="1"/>
  <c r="M118" i="1"/>
  <c r="N117" i="1"/>
  <c r="O117" i="1" s="1"/>
  <c r="BT14" i="1" s="1"/>
  <c r="M117" i="1"/>
  <c r="N113" i="1"/>
  <c r="O113" i="1" s="1"/>
  <c r="M113" i="1"/>
  <c r="N112" i="1"/>
  <c r="O112" i="1" s="1"/>
  <c r="BN23" i="1" s="1"/>
  <c r="M112" i="1"/>
  <c r="N111" i="1"/>
  <c r="O111" i="1" s="1"/>
  <c r="BN22" i="1" s="1"/>
  <c r="M111" i="1"/>
  <c r="N110" i="1"/>
  <c r="O110" i="1" s="1"/>
  <c r="BN21" i="1" s="1"/>
  <c r="M110" i="1"/>
  <c r="N109" i="1"/>
  <c r="O109" i="1" s="1"/>
  <c r="BN20" i="1" s="1"/>
  <c r="M109" i="1"/>
  <c r="N108" i="1"/>
  <c r="O108" i="1" s="1"/>
  <c r="BN19" i="1" s="1"/>
  <c r="M108" i="1"/>
  <c r="N107" i="1"/>
  <c r="O107" i="1" s="1"/>
  <c r="BN18" i="1" s="1"/>
  <c r="M107" i="1"/>
  <c r="N106" i="1"/>
  <c r="O106" i="1" s="1"/>
  <c r="BN17" i="1" s="1"/>
  <c r="M106" i="1"/>
  <c r="N105" i="1"/>
  <c r="O105" i="1" s="1"/>
  <c r="BN16" i="1" s="1"/>
  <c r="M105" i="1"/>
  <c r="N104" i="1"/>
  <c r="O104" i="1" s="1"/>
  <c r="BN15" i="1" s="1"/>
  <c r="M104" i="1"/>
  <c r="N103" i="1"/>
  <c r="O103" i="1" s="1"/>
  <c r="BN14" i="1" s="1"/>
  <c r="M103" i="1"/>
  <c r="N99" i="1"/>
  <c r="O99" i="1" s="1"/>
  <c r="M99" i="1"/>
  <c r="N98" i="1"/>
  <c r="O98" i="1" s="1"/>
  <c r="BH23" i="1" s="1"/>
  <c r="M98" i="1"/>
  <c r="N97" i="1"/>
  <c r="O97" i="1" s="1"/>
  <c r="BH22" i="1" s="1"/>
  <c r="M97" i="1"/>
  <c r="N96" i="1"/>
  <c r="O96" i="1" s="1"/>
  <c r="BH21" i="1" s="1"/>
  <c r="M96" i="1"/>
  <c r="N95" i="1"/>
  <c r="O95" i="1" s="1"/>
  <c r="BH20" i="1" s="1"/>
  <c r="M95" i="1"/>
  <c r="N94" i="1"/>
  <c r="O94" i="1" s="1"/>
  <c r="BH19" i="1" s="1"/>
  <c r="M94" i="1"/>
  <c r="N93" i="1"/>
  <c r="O93" i="1" s="1"/>
  <c r="BH18" i="1" s="1"/>
  <c r="M93" i="1"/>
  <c r="N92" i="1"/>
  <c r="O92" i="1" s="1"/>
  <c r="BH17" i="1" s="1"/>
  <c r="M92" i="1"/>
  <c r="N91" i="1"/>
  <c r="O91" i="1" s="1"/>
  <c r="BH16" i="1" s="1"/>
  <c r="M91" i="1"/>
  <c r="N90" i="1"/>
  <c r="O90" i="1" s="1"/>
  <c r="BH15" i="1" s="1"/>
  <c r="M90" i="1"/>
  <c r="N89" i="1"/>
  <c r="O89" i="1" s="1"/>
  <c r="BH14" i="1" s="1"/>
  <c r="M89" i="1"/>
  <c r="N85" i="1"/>
  <c r="O85" i="1" s="1"/>
  <c r="M85" i="1"/>
  <c r="N84" i="1"/>
  <c r="O84" i="1" s="1"/>
  <c r="BB23" i="1" s="1"/>
  <c r="M84" i="1"/>
  <c r="N83" i="1"/>
  <c r="O83" i="1" s="1"/>
  <c r="BB22" i="1" s="1"/>
  <c r="M83" i="1"/>
  <c r="N82" i="1"/>
  <c r="O82" i="1" s="1"/>
  <c r="BB21" i="1" s="1"/>
  <c r="M82" i="1"/>
  <c r="N81" i="1"/>
  <c r="O81" i="1" s="1"/>
  <c r="BB20" i="1" s="1"/>
  <c r="M81" i="1"/>
  <c r="N80" i="1"/>
  <c r="O80" i="1" s="1"/>
  <c r="BB19" i="1" s="1"/>
  <c r="M80" i="1"/>
  <c r="N79" i="1"/>
  <c r="O79" i="1" s="1"/>
  <c r="BB18" i="1" s="1"/>
  <c r="M79" i="1"/>
  <c r="N78" i="1"/>
  <c r="O78" i="1" s="1"/>
  <c r="BB17" i="1" s="1"/>
  <c r="M78" i="1"/>
  <c r="N77" i="1"/>
  <c r="O77" i="1" s="1"/>
  <c r="BB16" i="1" s="1"/>
  <c r="M77" i="1"/>
  <c r="N76" i="1"/>
  <c r="O76" i="1" s="1"/>
  <c r="BB15" i="1" s="1"/>
  <c r="M76" i="1"/>
  <c r="N75" i="1"/>
  <c r="O75" i="1" s="1"/>
  <c r="BB14" i="1" s="1"/>
  <c r="M75" i="1"/>
  <c r="N71" i="1"/>
  <c r="O71" i="1" s="1"/>
  <c r="M71" i="1"/>
  <c r="N70" i="1"/>
  <c r="O70" i="1" s="1"/>
  <c r="AV23" i="1" s="1"/>
  <c r="M70" i="1"/>
  <c r="N69" i="1"/>
  <c r="O69" i="1" s="1"/>
  <c r="AV22" i="1" s="1"/>
  <c r="M69" i="1"/>
  <c r="N68" i="1"/>
  <c r="O68" i="1" s="1"/>
  <c r="AV21" i="1" s="1"/>
  <c r="M68" i="1"/>
  <c r="N67" i="1"/>
  <c r="O67" i="1" s="1"/>
  <c r="AV20" i="1" s="1"/>
  <c r="M67" i="1"/>
  <c r="N66" i="1"/>
  <c r="O66" i="1" s="1"/>
  <c r="AV19" i="1" s="1"/>
  <c r="M66" i="1"/>
  <c r="N65" i="1"/>
  <c r="O65" i="1" s="1"/>
  <c r="AV18" i="1" s="1"/>
  <c r="M65" i="1"/>
  <c r="N64" i="1"/>
  <c r="O64" i="1" s="1"/>
  <c r="AV17" i="1" s="1"/>
  <c r="M64" i="1"/>
  <c r="N63" i="1"/>
  <c r="O63" i="1" s="1"/>
  <c r="AV16" i="1" s="1"/>
  <c r="M63" i="1"/>
  <c r="N62" i="1"/>
  <c r="O62" i="1" s="1"/>
  <c r="AV15" i="1" s="1"/>
  <c r="M62" i="1"/>
  <c r="N61" i="1"/>
  <c r="O61" i="1" s="1"/>
  <c r="AV14" i="1" s="1"/>
  <c r="M61" i="1"/>
  <c r="N57" i="1"/>
  <c r="O57" i="1" s="1"/>
  <c r="M57" i="1"/>
  <c r="N56" i="1"/>
  <c r="O56" i="1" s="1"/>
  <c r="AP23" i="1" s="1"/>
  <c r="M56" i="1"/>
  <c r="N55" i="1"/>
  <c r="O55" i="1" s="1"/>
  <c r="AP22" i="1" s="1"/>
  <c r="M55" i="1"/>
  <c r="N54" i="1"/>
  <c r="O54" i="1" s="1"/>
  <c r="AP21" i="1" s="1"/>
  <c r="M54" i="1"/>
  <c r="N53" i="1"/>
  <c r="O53" i="1" s="1"/>
  <c r="AP20" i="1" s="1"/>
  <c r="M53" i="1"/>
  <c r="N52" i="1"/>
  <c r="O52" i="1" s="1"/>
  <c r="AP19" i="1" s="1"/>
  <c r="M52" i="1"/>
  <c r="N51" i="1"/>
  <c r="O51" i="1" s="1"/>
  <c r="AP18" i="1" s="1"/>
  <c r="M51" i="1"/>
  <c r="N50" i="1"/>
  <c r="O50" i="1" s="1"/>
  <c r="AP17" i="1" s="1"/>
  <c r="M50" i="1"/>
  <c r="N49" i="1"/>
  <c r="O49" i="1" s="1"/>
  <c r="AP16" i="1" s="1"/>
  <c r="M49" i="1"/>
  <c r="N48" i="1"/>
  <c r="O48" i="1" s="1"/>
  <c r="AP15" i="1" s="1"/>
  <c r="M48" i="1"/>
  <c r="N47" i="1"/>
  <c r="O47" i="1" s="1"/>
  <c r="AP14" i="1" s="1"/>
  <c r="M47" i="1"/>
  <c r="N43" i="1"/>
  <c r="O43" i="1" s="1"/>
  <c r="AJ24" i="1" s="1"/>
  <c r="M43" i="1"/>
  <c r="N42" i="1"/>
  <c r="O42" i="1" s="1"/>
  <c r="AJ23" i="1" s="1"/>
  <c r="M42" i="1"/>
  <c r="N41" i="1"/>
  <c r="O41" i="1" s="1"/>
  <c r="AJ22" i="1" s="1"/>
  <c r="M41" i="1"/>
  <c r="N40" i="1"/>
  <c r="O40" i="1" s="1"/>
  <c r="AJ21" i="1" s="1"/>
  <c r="M40" i="1"/>
  <c r="N39" i="1"/>
  <c r="O39" i="1" s="1"/>
  <c r="AJ20" i="1" s="1"/>
  <c r="M39" i="1"/>
  <c r="N38" i="1"/>
  <c r="O38" i="1" s="1"/>
  <c r="AJ19" i="1" s="1"/>
  <c r="M38" i="1"/>
  <c r="N37" i="1"/>
  <c r="O37" i="1" s="1"/>
  <c r="AJ18" i="1" s="1"/>
  <c r="M37" i="1"/>
  <c r="N36" i="1"/>
  <c r="O36" i="1" s="1"/>
  <c r="AJ17" i="1" s="1"/>
  <c r="M36" i="1"/>
  <c r="N35" i="1"/>
  <c r="O35" i="1" s="1"/>
  <c r="AJ16" i="1" s="1"/>
  <c r="M35" i="1"/>
  <c r="N34" i="1"/>
  <c r="O34" i="1" s="1"/>
  <c r="AJ15" i="1" s="1"/>
  <c r="M34" i="1"/>
  <c r="N33" i="1"/>
  <c r="O33" i="1" s="1"/>
  <c r="AJ14" i="1" s="1"/>
  <c r="M33" i="1"/>
  <c r="N29" i="1"/>
  <c r="O29" i="1" s="1"/>
  <c r="AD24" i="1" s="1"/>
  <c r="M29" i="1"/>
  <c r="N28" i="1"/>
  <c r="O28" i="1" s="1"/>
  <c r="AD23" i="1" s="1"/>
  <c r="M28" i="1"/>
  <c r="N27" i="1"/>
  <c r="O27" i="1" s="1"/>
  <c r="AD22" i="1" s="1"/>
  <c r="M27" i="1"/>
  <c r="N26" i="1"/>
  <c r="O26" i="1" s="1"/>
  <c r="AD21" i="1" s="1"/>
  <c r="M26" i="1"/>
  <c r="N25" i="1"/>
  <c r="O25" i="1" s="1"/>
  <c r="AD20" i="1" s="1"/>
  <c r="M25" i="1"/>
  <c r="N24" i="1"/>
  <c r="O24" i="1" s="1"/>
  <c r="AD19" i="1" s="1"/>
  <c r="M24" i="1"/>
  <c r="N23" i="1"/>
  <c r="O23" i="1" s="1"/>
  <c r="AD18" i="1" s="1"/>
  <c r="M23" i="1"/>
  <c r="N22" i="1"/>
  <c r="O22" i="1" s="1"/>
  <c r="AD17" i="1" s="1"/>
  <c r="M22" i="1"/>
  <c r="N21" i="1"/>
  <c r="O21" i="1" s="1"/>
  <c r="AD16" i="1" s="1"/>
  <c r="M21" i="1"/>
  <c r="N20" i="1"/>
  <c r="O20" i="1" s="1"/>
  <c r="AD15" i="1" s="1"/>
  <c r="M20" i="1"/>
  <c r="N19" i="1"/>
  <c r="O19" i="1" s="1"/>
  <c r="AD14" i="1" s="1"/>
  <c r="M19" i="1"/>
  <c r="N15" i="1"/>
  <c r="O15" i="1" s="1"/>
  <c r="X24" i="1" s="1"/>
  <c r="M15" i="1"/>
  <c r="N14" i="1"/>
  <c r="O14" i="1" s="1"/>
  <c r="X23" i="1" s="1"/>
  <c r="M14" i="1"/>
  <c r="N13" i="1"/>
  <c r="O13" i="1" s="1"/>
  <c r="X22" i="1" s="1"/>
  <c r="M13" i="1"/>
  <c r="N12" i="1"/>
  <c r="O12" i="1" s="1"/>
  <c r="X21" i="1" s="1"/>
  <c r="M12" i="1"/>
  <c r="N11" i="1"/>
  <c r="O11" i="1" s="1"/>
  <c r="X20" i="1" s="1"/>
  <c r="M11" i="1"/>
  <c r="N10" i="1"/>
  <c r="O10" i="1" s="1"/>
  <c r="X19" i="1" s="1"/>
  <c r="M10" i="1"/>
  <c r="N9" i="1"/>
  <c r="O9" i="1" s="1"/>
  <c r="X18" i="1" s="1"/>
  <c r="M9" i="1"/>
  <c r="N8" i="1"/>
  <c r="O8" i="1" s="1"/>
  <c r="X17" i="1" s="1"/>
  <c r="M8" i="1"/>
  <c r="N7" i="1"/>
  <c r="O7" i="1" s="1"/>
  <c r="X16" i="1" s="1"/>
  <c r="M7" i="1"/>
  <c r="N6" i="1"/>
  <c r="O6" i="1" s="1"/>
  <c r="X15" i="1" s="1"/>
  <c r="M6" i="1"/>
  <c r="N5" i="1"/>
  <c r="X14" i="1" s="1"/>
  <c r="M5" i="1"/>
  <c r="Z4" i="1"/>
  <c r="Z3" i="1"/>
  <c r="H127" i="21" l="1"/>
  <c r="Q106" i="11"/>
  <c r="H107" i="21"/>
  <c r="H118" i="21"/>
  <c r="Q118" i="21" s="1"/>
  <c r="H106" i="21"/>
  <c r="BR17" i="21" s="1"/>
  <c r="H117" i="21"/>
  <c r="Q117" i="21" s="1"/>
  <c r="H125" i="21"/>
  <c r="Q122" i="11"/>
  <c r="S122" i="11" s="1"/>
  <c r="BU19" i="11" s="1"/>
  <c r="H104" i="21"/>
  <c r="H112" i="21"/>
  <c r="H123" i="21"/>
  <c r="BX22" i="21"/>
  <c r="H110" i="21"/>
  <c r="BR21" i="21" s="1"/>
  <c r="H121" i="21"/>
  <c r="BX18" i="21" s="1"/>
  <c r="Q119" i="11"/>
  <c r="S119" i="11" s="1"/>
  <c r="BU16" i="11" s="1"/>
  <c r="Q105" i="11"/>
  <c r="V10" i="5"/>
  <c r="X19" i="5"/>
  <c r="V51" i="5"/>
  <c r="AP18" i="5"/>
  <c r="V134" i="5"/>
  <c r="BZ17" i="5"/>
  <c r="V162" i="7"/>
  <c r="CL17" i="7"/>
  <c r="V5" i="5"/>
  <c r="X14" i="5"/>
  <c r="V20" i="5"/>
  <c r="AD15" i="5"/>
  <c r="V38" i="5"/>
  <c r="AJ19" i="5"/>
  <c r="V40" i="5"/>
  <c r="AJ21" i="5"/>
  <c r="V61" i="5"/>
  <c r="AV14" i="5"/>
  <c r="V79" i="5"/>
  <c r="BB18" i="5"/>
  <c r="V120" i="5"/>
  <c r="BT17" i="5"/>
  <c r="V19" i="6"/>
  <c r="AD14" i="6"/>
  <c r="V37" i="6"/>
  <c r="AJ18" i="6"/>
  <c r="V78" i="6"/>
  <c r="BB17" i="6"/>
  <c r="V51" i="7"/>
  <c r="AP18" i="7"/>
  <c r="V92" i="7"/>
  <c r="BH17" i="7"/>
  <c r="V149" i="8"/>
  <c r="CF18" i="8"/>
  <c r="V162" i="9"/>
  <c r="CL17" i="9"/>
  <c r="V63" i="10"/>
  <c r="AV16" i="10"/>
  <c r="V145" i="10"/>
  <c r="CF14" i="10"/>
  <c r="V34" i="12"/>
  <c r="AJ15" i="12"/>
  <c r="V53" i="12"/>
  <c r="AP20" i="12"/>
  <c r="V55" i="12"/>
  <c r="AP22" i="12"/>
  <c r="V77" i="12"/>
  <c r="BB16" i="12"/>
  <c r="V8" i="5"/>
  <c r="X17" i="5"/>
  <c r="V92" i="5"/>
  <c r="BH17" i="5"/>
  <c r="V48" i="6"/>
  <c r="AP15" i="6"/>
  <c r="V9" i="5"/>
  <c r="X18" i="5"/>
  <c r="V50" i="5"/>
  <c r="AP17" i="5"/>
  <c r="V91" i="5"/>
  <c r="BH16" i="5"/>
  <c r="V8" i="6"/>
  <c r="X17" i="6"/>
  <c r="V21" i="12"/>
  <c r="AD16" i="12"/>
  <c r="V40" i="12"/>
  <c r="AJ21" i="12"/>
  <c r="V64" i="12"/>
  <c r="AV17" i="12"/>
  <c r="V83" i="12"/>
  <c r="BB22" i="12"/>
  <c r="V108" i="12"/>
  <c r="BN19" i="12"/>
  <c r="V127" i="12"/>
  <c r="BT24" i="12"/>
  <c r="V149" i="12"/>
  <c r="CF18" i="12"/>
  <c r="V168" i="12"/>
  <c r="CL23" i="12"/>
  <c r="V12" i="13"/>
  <c r="X21" i="13"/>
  <c r="V34" i="13"/>
  <c r="AJ15" i="13"/>
  <c r="V53" i="13"/>
  <c r="AP20" i="13"/>
  <c r="V75" i="13"/>
  <c r="BB14" i="13"/>
  <c r="V49" i="5"/>
  <c r="AP16" i="5"/>
  <c r="V90" i="5"/>
  <c r="BH15" i="5"/>
  <c r="V89" i="6"/>
  <c r="BH14" i="6"/>
  <c r="V62" i="7"/>
  <c r="AV15" i="7"/>
  <c r="V119" i="8"/>
  <c r="BT16" i="8"/>
  <c r="V19" i="5"/>
  <c r="AD14" i="5"/>
  <c r="V21" i="5"/>
  <c r="AD16" i="5"/>
  <c r="V39" i="5"/>
  <c r="AJ20" i="5"/>
  <c r="V62" i="5"/>
  <c r="AV15" i="5"/>
  <c r="V80" i="5"/>
  <c r="BB19" i="5"/>
  <c r="V103" i="5"/>
  <c r="BN14" i="5"/>
  <c r="V121" i="5"/>
  <c r="BT18" i="5"/>
  <c r="V145" i="5"/>
  <c r="CF14" i="5"/>
  <c r="V132" i="6"/>
  <c r="BZ15" i="6"/>
  <c r="V132" i="7"/>
  <c r="BZ15" i="7"/>
  <c r="V9" i="8"/>
  <c r="X18" i="8"/>
  <c r="V22" i="10"/>
  <c r="AD17" i="10"/>
  <c r="V104" i="10"/>
  <c r="BN15" i="10"/>
  <c r="V11" i="12"/>
  <c r="X20" i="12"/>
  <c r="V117" i="12"/>
  <c r="BT14" i="12"/>
  <c r="V136" i="12"/>
  <c r="BZ19" i="12"/>
  <c r="V155" i="12"/>
  <c r="CF24" i="12"/>
  <c r="V21" i="13"/>
  <c r="AD16" i="13"/>
  <c r="V40" i="13"/>
  <c r="AJ21" i="13"/>
  <c r="V62" i="13"/>
  <c r="AV15" i="13"/>
  <c r="V81" i="13"/>
  <c r="BB20" i="13"/>
  <c r="V7" i="6"/>
  <c r="X16" i="6"/>
  <c r="V25" i="6"/>
  <c r="AD20" i="6"/>
  <c r="V66" i="6"/>
  <c r="AV19" i="6"/>
  <c r="V104" i="6"/>
  <c r="BN15" i="6"/>
  <c r="V105" i="6"/>
  <c r="BN16" i="6"/>
  <c r="V118" i="6"/>
  <c r="BT15" i="6"/>
  <c r="V119" i="6"/>
  <c r="BT16" i="6"/>
  <c r="V160" i="6"/>
  <c r="CL15" i="6"/>
  <c r="V38" i="7"/>
  <c r="AJ19" i="7"/>
  <c r="V49" i="7"/>
  <c r="AP16" i="7"/>
  <c r="V90" i="7"/>
  <c r="BH15" i="7"/>
  <c r="V119" i="7"/>
  <c r="BT16" i="7"/>
  <c r="V149" i="7"/>
  <c r="CF18" i="7"/>
  <c r="V160" i="7"/>
  <c r="CL15" i="7"/>
  <c r="V8" i="8"/>
  <c r="X17" i="8"/>
  <c r="V19" i="8"/>
  <c r="AD14" i="8"/>
  <c r="V20" i="8"/>
  <c r="AD15" i="8"/>
  <c r="V22" i="8"/>
  <c r="AD17" i="8"/>
  <c r="V23" i="8"/>
  <c r="AD18" i="8"/>
  <c r="V34" i="8"/>
  <c r="AJ15" i="8"/>
  <c r="V35" i="8"/>
  <c r="AJ16" i="8"/>
  <c r="V37" i="8"/>
  <c r="AJ18" i="8"/>
  <c r="V38" i="8"/>
  <c r="AJ19" i="8"/>
  <c r="V48" i="8"/>
  <c r="AP15" i="8"/>
  <c r="V49" i="8"/>
  <c r="AP16" i="8"/>
  <c r="V51" i="8"/>
  <c r="AP18" i="8"/>
  <c r="V61" i="8"/>
  <c r="AV14" i="8"/>
  <c r="V63" i="8"/>
  <c r="AV16" i="8"/>
  <c r="V64" i="8"/>
  <c r="AV17" i="8"/>
  <c r="V75" i="8"/>
  <c r="BB14" i="8"/>
  <c r="V77" i="8"/>
  <c r="BB16" i="8"/>
  <c r="V89" i="8"/>
  <c r="BH14" i="8"/>
  <c r="V91" i="8"/>
  <c r="BH16" i="8"/>
  <c r="V106" i="8"/>
  <c r="BN17" i="8"/>
  <c r="V117" i="8"/>
  <c r="BT14" i="8"/>
  <c r="V147" i="8"/>
  <c r="CF16" i="8"/>
  <c r="V160" i="8"/>
  <c r="CL15" i="8"/>
  <c r="V8" i="9"/>
  <c r="X17" i="9"/>
  <c r="V33" i="9"/>
  <c r="AJ14" i="9"/>
  <c r="V37" i="9"/>
  <c r="AJ18" i="9"/>
  <c r="V38" i="9"/>
  <c r="AJ19" i="9"/>
  <c r="V75" i="9"/>
  <c r="BB14" i="9"/>
  <c r="V78" i="9"/>
  <c r="BB17" i="9"/>
  <c r="V119" i="9"/>
  <c r="BT16" i="9"/>
  <c r="V132" i="9"/>
  <c r="BZ15" i="9"/>
  <c r="V147" i="9"/>
  <c r="CF16" i="9"/>
  <c r="V160" i="9"/>
  <c r="CL15" i="9"/>
  <c r="V161" i="9"/>
  <c r="CL16" i="9"/>
  <c r="V13" i="10"/>
  <c r="X22" i="10"/>
  <c r="V23" i="10"/>
  <c r="AD18" i="10"/>
  <c r="V64" i="10"/>
  <c r="AV17" i="10"/>
  <c r="V105" i="10"/>
  <c r="BN16" i="10"/>
  <c r="V146" i="10"/>
  <c r="CF15" i="10"/>
  <c r="V149" i="10"/>
  <c r="CF18" i="10"/>
  <c r="V162" i="10"/>
  <c r="CL17" i="10"/>
  <c r="V5" i="12"/>
  <c r="X14" i="12"/>
  <c r="V12" i="12"/>
  <c r="X21" i="12"/>
  <c r="V19" i="12"/>
  <c r="AD14" i="12"/>
  <c r="V20" i="12"/>
  <c r="AD15" i="12"/>
  <c r="V22" i="12"/>
  <c r="AD17" i="12"/>
  <c r="V23" i="12"/>
  <c r="AD18" i="12"/>
  <c r="V29" i="12"/>
  <c r="AD24" i="12"/>
  <c r="V47" i="12"/>
  <c r="AP14" i="12"/>
  <c r="V54" i="12"/>
  <c r="AP21" i="12"/>
  <c r="V68" i="12"/>
  <c r="AV21" i="12"/>
  <c r="V78" i="12"/>
  <c r="BB17" i="12"/>
  <c r="V81" i="12"/>
  <c r="BB20" i="12"/>
  <c r="V82" i="12"/>
  <c r="BB21" i="12"/>
  <c r="V84" i="12"/>
  <c r="BB23" i="12"/>
  <c r="V85" i="12"/>
  <c r="BB24" i="12"/>
  <c r="V94" i="12"/>
  <c r="BH19" i="12"/>
  <c r="V99" i="12"/>
  <c r="BH24" i="12"/>
  <c r="V109" i="12"/>
  <c r="BN20" i="12"/>
  <c r="V112" i="12"/>
  <c r="BN23" i="12"/>
  <c r="V113" i="12"/>
  <c r="BN24" i="12"/>
  <c r="V118" i="12"/>
  <c r="BT15" i="12"/>
  <c r="V119" i="12"/>
  <c r="BT16" i="12"/>
  <c r="V125" i="12"/>
  <c r="BT22" i="12"/>
  <c r="V140" i="12"/>
  <c r="BZ23" i="12"/>
  <c r="V150" i="12"/>
  <c r="CF19" i="12"/>
  <c r="V153" i="12"/>
  <c r="CF22" i="12"/>
  <c r="V154" i="12"/>
  <c r="CF23" i="12"/>
  <c r="V159" i="12"/>
  <c r="CL14" i="12"/>
  <c r="V160" i="12"/>
  <c r="CL15" i="12"/>
  <c r="V166" i="12"/>
  <c r="CL21" i="12"/>
  <c r="V5" i="13"/>
  <c r="X14" i="13"/>
  <c r="V6" i="13"/>
  <c r="X15" i="13"/>
  <c r="V13" i="13"/>
  <c r="X22" i="13"/>
  <c r="V19" i="13"/>
  <c r="AD14" i="13"/>
  <c r="V20" i="13"/>
  <c r="AD15" i="13"/>
  <c r="V22" i="13"/>
  <c r="AD17" i="13"/>
  <c r="V23" i="13"/>
  <c r="AD18" i="13"/>
  <c r="V29" i="13"/>
  <c r="AD24" i="13"/>
  <c r="V47" i="13"/>
  <c r="AP14" i="13"/>
  <c r="V54" i="13"/>
  <c r="AP21" i="13"/>
  <c r="V57" i="13"/>
  <c r="AP24" i="13"/>
  <c r="V61" i="13"/>
  <c r="AV14" i="13"/>
  <c r="V63" i="13"/>
  <c r="AV16" i="13"/>
  <c r="V64" i="13"/>
  <c r="AV17" i="13"/>
  <c r="V70" i="13"/>
  <c r="AV23" i="13"/>
  <c r="V85" i="13"/>
  <c r="BB24" i="13"/>
  <c r="V91" i="13"/>
  <c r="BH16" i="13"/>
  <c r="V92" i="13"/>
  <c r="BH17" i="13"/>
  <c r="V94" i="13"/>
  <c r="BH19" i="13"/>
  <c r="V104" i="13"/>
  <c r="BN15" i="13"/>
  <c r="V107" i="13"/>
  <c r="BN18" i="13"/>
  <c r="V110" i="13"/>
  <c r="BN21" i="13"/>
  <c r="V111" i="13"/>
  <c r="BN22" i="13"/>
  <c r="V123" i="13"/>
  <c r="BT20" i="13"/>
  <c r="V126" i="13"/>
  <c r="BT23" i="13"/>
  <c r="V132" i="13"/>
  <c r="BZ15" i="13"/>
  <c r="V133" i="13"/>
  <c r="BZ16" i="13"/>
  <c r="V135" i="13"/>
  <c r="BZ18" i="13"/>
  <c r="V140" i="13"/>
  <c r="BZ23" i="13"/>
  <c r="V148" i="13"/>
  <c r="CF17" i="13"/>
  <c r="V161" i="13"/>
  <c r="CL16" i="13"/>
  <c r="V163" i="13"/>
  <c r="CL18" i="13"/>
  <c r="V165" i="13"/>
  <c r="CL20" i="13"/>
  <c r="V7" i="14"/>
  <c r="X16" i="14"/>
  <c r="V9" i="14"/>
  <c r="X18" i="14"/>
  <c r="V11" i="14"/>
  <c r="X20" i="14"/>
  <c r="V13" i="14"/>
  <c r="X22" i="14"/>
  <c r="V15" i="14"/>
  <c r="X24" i="14"/>
  <c r="V20" i="14"/>
  <c r="AD15" i="14"/>
  <c r="V22" i="14"/>
  <c r="AD17" i="14"/>
  <c r="V27" i="14"/>
  <c r="AD22" i="14"/>
  <c r="V40" i="14"/>
  <c r="AJ21" i="14"/>
  <c r="V42" i="14"/>
  <c r="AJ23" i="14"/>
  <c r="V47" i="14"/>
  <c r="AP14" i="14"/>
  <c r="V63" i="14"/>
  <c r="AV16" i="14"/>
  <c r="V68" i="14"/>
  <c r="AV21" i="14"/>
  <c r="V81" i="14"/>
  <c r="BB20" i="14"/>
  <c r="V83" i="14"/>
  <c r="BB22" i="14"/>
  <c r="V145" i="14"/>
  <c r="CF14" i="14"/>
  <c r="V25" i="15"/>
  <c r="AD20" i="15"/>
  <c r="V47" i="15"/>
  <c r="AP14" i="15"/>
  <c r="V66" i="15"/>
  <c r="AV19" i="15"/>
  <c r="V107" i="15"/>
  <c r="BN18" i="15"/>
  <c r="V133" i="15"/>
  <c r="BZ16" i="15"/>
  <c r="V138" i="15"/>
  <c r="BZ21" i="15"/>
  <c r="V151" i="15"/>
  <c r="CF20" i="15"/>
  <c r="V153" i="15"/>
  <c r="CF22" i="15"/>
  <c r="V7" i="16"/>
  <c r="X16" i="16"/>
  <c r="V23" i="16"/>
  <c r="AD18" i="16"/>
  <c r="V28" i="16"/>
  <c r="AD23" i="16"/>
  <c r="V41" i="16"/>
  <c r="AJ22" i="16"/>
  <c r="V48" i="16"/>
  <c r="AP15" i="16"/>
  <c r="V64" i="16"/>
  <c r="AV17" i="16"/>
  <c r="V69" i="16"/>
  <c r="AV22" i="16"/>
  <c r="V82" i="16"/>
  <c r="BB21" i="16"/>
  <c r="V90" i="16"/>
  <c r="BH15" i="16"/>
  <c r="V103" i="16"/>
  <c r="BN14" i="16"/>
  <c r="V105" i="16"/>
  <c r="BN16" i="16"/>
  <c r="V107" i="16"/>
  <c r="BN18" i="16"/>
  <c r="V123" i="16"/>
  <c r="BT20" i="16"/>
  <c r="V135" i="16"/>
  <c r="BZ18" i="16"/>
  <c r="V160" i="16"/>
  <c r="CL15" i="16"/>
  <c r="V6" i="17"/>
  <c r="X15" i="17"/>
  <c r="V19" i="17"/>
  <c r="AD14" i="17"/>
  <c r="V21" i="17"/>
  <c r="AD16" i="17"/>
  <c r="V23" i="17"/>
  <c r="AD18" i="17"/>
  <c r="V37" i="17"/>
  <c r="AJ18" i="17"/>
  <c r="V39" i="17"/>
  <c r="AJ20" i="17"/>
  <c r="V41" i="17"/>
  <c r="AJ22" i="17"/>
  <c r="V65" i="17"/>
  <c r="AV18" i="17"/>
  <c r="V78" i="17"/>
  <c r="BB17" i="17"/>
  <c r="V80" i="17"/>
  <c r="BB19" i="17"/>
  <c r="V82" i="17"/>
  <c r="BB21" i="17"/>
  <c r="V106" i="17"/>
  <c r="BN17" i="17"/>
  <c r="V119" i="17"/>
  <c r="BT16" i="17"/>
  <c r="V147" i="17"/>
  <c r="CF16" i="17"/>
  <c r="V160" i="17"/>
  <c r="CL15" i="17"/>
  <c r="V162" i="17"/>
  <c r="CL17" i="17"/>
  <c r="V20" i="18"/>
  <c r="AD15" i="18"/>
  <c r="V25" i="18"/>
  <c r="AD20" i="18"/>
  <c r="V49" i="18"/>
  <c r="AP16" i="18"/>
  <c r="V62" i="18"/>
  <c r="AV15" i="18"/>
  <c r="V64" i="18"/>
  <c r="AV17" i="18"/>
  <c r="V89" i="18"/>
  <c r="BH14" i="18"/>
  <c r="V105" i="18"/>
  <c r="BN16" i="18"/>
  <c r="V133" i="18"/>
  <c r="BZ16" i="18"/>
  <c r="V146" i="18"/>
  <c r="CF15" i="18"/>
  <c r="V148" i="18"/>
  <c r="CF17" i="18"/>
  <c r="V7" i="19"/>
  <c r="X16" i="19"/>
  <c r="V23" i="19"/>
  <c r="AD18" i="19"/>
  <c r="V28" i="19"/>
  <c r="AD23" i="19"/>
  <c r="V48" i="19"/>
  <c r="AP15" i="19"/>
  <c r="V64" i="19"/>
  <c r="AV17" i="19"/>
  <c r="V89" i="19"/>
  <c r="BH14" i="19"/>
  <c r="V134" i="19"/>
  <c r="BZ17" i="19"/>
  <c r="V5" i="20"/>
  <c r="X14" i="20"/>
  <c r="V19" i="20"/>
  <c r="AD14" i="20"/>
  <c r="V28" i="20"/>
  <c r="AD23" i="20"/>
  <c r="V50" i="20"/>
  <c r="AP17" i="20"/>
  <c r="V89" i="20"/>
  <c r="BH14" i="20"/>
  <c r="V117" i="20"/>
  <c r="BT14" i="20"/>
  <c r="V145" i="20"/>
  <c r="CF14" i="20"/>
  <c r="V160" i="20"/>
  <c r="CL15" i="20"/>
  <c r="V162" i="20"/>
  <c r="CL17" i="20"/>
  <c r="V7" i="21"/>
  <c r="X16" i="21"/>
  <c r="V55" i="21"/>
  <c r="AP22" i="21"/>
  <c r="V57" i="21"/>
  <c r="AP24" i="21"/>
  <c r="V62" i="21"/>
  <c r="AV15" i="21"/>
  <c r="V64" i="21"/>
  <c r="AV17" i="21"/>
  <c r="V66" i="21"/>
  <c r="AV19" i="21"/>
  <c r="V77" i="21"/>
  <c r="BB16" i="21"/>
  <c r="V85" i="21"/>
  <c r="BB24" i="21"/>
  <c r="V108" i="21"/>
  <c r="BN19" i="21"/>
  <c r="V110" i="21"/>
  <c r="BN21" i="21"/>
  <c r="V112" i="21"/>
  <c r="BN23" i="21"/>
  <c r="V117" i="21"/>
  <c r="BT14" i="21"/>
  <c r="V126" i="21"/>
  <c r="BT23" i="21"/>
  <c r="V5" i="11"/>
  <c r="X14" i="11"/>
  <c r="V6" i="11"/>
  <c r="X15" i="11"/>
  <c r="V13" i="11"/>
  <c r="X22" i="11"/>
  <c r="V23" i="11"/>
  <c r="AD18" i="11"/>
  <c r="V25" i="11"/>
  <c r="AD20" i="11"/>
  <c r="V35" i="11"/>
  <c r="AJ16" i="11"/>
  <c r="V42" i="11"/>
  <c r="AJ23" i="11"/>
  <c r="V47" i="11"/>
  <c r="AP14" i="11"/>
  <c r="V54" i="11"/>
  <c r="AP21" i="11"/>
  <c r="V56" i="11"/>
  <c r="AP23" i="11"/>
  <c r="V61" i="11"/>
  <c r="AV14" i="11"/>
  <c r="V63" i="11"/>
  <c r="AV16" i="11"/>
  <c r="V65" i="11"/>
  <c r="AV18" i="11"/>
  <c r="V67" i="11"/>
  <c r="AV20" i="11"/>
  <c r="V69" i="11"/>
  <c r="AV22" i="11"/>
  <c r="V76" i="11"/>
  <c r="BB15" i="11"/>
  <c r="V78" i="11"/>
  <c r="BB17" i="11"/>
  <c r="V80" i="11"/>
  <c r="BB19" i="11"/>
  <c r="V82" i="11"/>
  <c r="BB21" i="11"/>
  <c r="V89" i="11"/>
  <c r="BH14" i="11"/>
  <c r="V118" i="11"/>
  <c r="BT15" i="11"/>
  <c r="V119" i="11"/>
  <c r="BT16" i="11"/>
  <c r="V120" i="11"/>
  <c r="BT17" i="11"/>
  <c r="V11" i="5"/>
  <c r="X20" i="5"/>
  <c r="V22" i="5"/>
  <c r="AD17" i="5"/>
  <c r="V33" i="5"/>
  <c r="AJ14" i="5"/>
  <c r="V52" i="5"/>
  <c r="AP19" i="5"/>
  <c r="V63" i="5"/>
  <c r="AV16" i="5"/>
  <c r="V93" i="5"/>
  <c r="BH18" i="5"/>
  <c r="V104" i="5"/>
  <c r="BN15" i="5"/>
  <c r="V135" i="5"/>
  <c r="BZ18" i="5"/>
  <c r="V146" i="5"/>
  <c r="CF15" i="5"/>
  <c r="V9" i="6"/>
  <c r="X18" i="6"/>
  <c r="V20" i="6"/>
  <c r="AD15" i="6"/>
  <c r="V38" i="6"/>
  <c r="AJ19" i="6"/>
  <c r="V49" i="6"/>
  <c r="AP16" i="6"/>
  <c r="V79" i="6"/>
  <c r="BB18" i="6"/>
  <c r="V90" i="6"/>
  <c r="BH15" i="6"/>
  <c r="V133" i="6"/>
  <c r="BZ16" i="6"/>
  <c r="V6" i="7"/>
  <c r="X15" i="7"/>
  <c r="V7" i="7"/>
  <c r="X16" i="7"/>
  <c r="V8" i="7"/>
  <c r="X17" i="7"/>
  <c r="V9" i="7"/>
  <c r="X18" i="7"/>
  <c r="V10" i="7"/>
  <c r="X19" i="7"/>
  <c r="V11" i="7"/>
  <c r="X20" i="7"/>
  <c r="V19" i="7"/>
  <c r="AD14" i="7"/>
  <c r="V20" i="7"/>
  <c r="AD15" i="7"/>
  <c r="V21" i="7"/>
  <c r="AD16" i="7"/>
  <c r="V22" i="7"/>
  <c r="AD17" i="7"/>
  <c r="V33" i="7"/>
  <c r="AJ14" i="7"/>
  <c r="V63" i="7"/>
  <c r="AV16" i="7"/>
  <c r="V103" i="7"/>
  <c r="BN14" i="7"/>
  <c r="V133" i="7"/>
  <c r="BZ16" i="7"/>
  <c r="V10" i="8"/>
  <c r="X19" i="8"/>
  <c r="V131" i="8"/>
  <c r="BZ14" i="8"/>
  <c r="V159" i="8"/>
  <c r="CL14" i="8"/>
  <c r="V162" i="8"/>
  <c r="CL17" i="8"/>
  <c r="V12" i="9"/>
  <c r="X21" i="9"/>
  <c r="V22" i="9"/>
  <c r="AD17" i="9"/>
  <c r="V25" i="9"/>
  <c r="AD20" i="9"/>
  <c r="V64" i="9"/>
  <c r="AV17" i="9"/>
  <c r="V105" i="9"/>
  <c r="BN16" i="9"/>
  <c r="V146" i="9"/>
  <c r="CF15" i="9"/>
  <c r="V149" i="9"/>
  <c r="CF18" i="9"/>
  <c r="V5" i="10"/>
  <c r="X14" i="10"/>
  <c r="V12" i="10"/>
  <c r="X21" i="10"/>
  <c r="V19" i="10"/>
  <c r="AD14" i="10"/>
  <c r="V21" i="10"/>
  <c r="AD16" i="10"/>
  <c r="V62" i="10"/>
  <c r="AV15" i="10"/>
  <c r="V103" i="10"/>
  <c r="BN14" i="10"/>
  <c r="V135" i="10"/>
  <c r="BZ18" i="10"/>
  <c r="V7" i="12"/>
  <c r="X16" i="12"/>
  <c r="V8" i="12"/>
  <c r="X17" i="12"/>
  <c r="V10" i="12"/>
  <c r="X19" i="12"/>
  <c r="V36" i="12"/>
  <c r="AJ17" i="12"/>
  <c r="V43" i="12"/>
  <c r="AJ24" i="12"/>
  <c r="V49" i="12"/>
  <c r="AP16" i="12"/>
  <c r="V50" i="12"/>
  <c r="AP17" i="12"/>
  <c r="V52" i="12"/>
  <c r="AP19" i="12"/>
  <c r="V57" i="12"/>
  <c r="AP24" i="12"/>
  <c r="V67" i="12"/>
  <c r="AV20" i="12"/>
  <c r="V70" i="12"/>
  <c r="AV23" i="12"/>
  <c r="V71" i="12"/>
  <c r="AV24" i="12"/>
  <c r="V76" i="12"/>
  <c r="BB15" i="12"/>
  <c r="V98" i="12"/>
  <c r="BH23" i="12"/>
  <c r="V104" i="12"/>
  <c r="BN15" i="12"/>
  <c r="V105" i="12"/>
  <c r="BN16" i="12"/>
  <c r="V107" i="12"/>
  <c r="BN18" i="12"/>
  <c r="V132" i="12"/>
  <c r="BZ15" i="12"/>
  <c r="V139" i="12"/>
  <c r="BZ22" i="12"/>
  <c r="V145" i="12"/>
  <c r="CF14" i="12"/>
  <c r="V146" i="12"/>
  <c r="CF15" i="12"/>
  <c r="V148" i="12"/>
  <c r="CF17" i="12"/>
  <c r="V8" i="13"/>
  <c r="X17" i="13"/>
  <c r="V9" i="13"/>
  <c r="X18" i="13"/>
  <c r="V11" i="13"/>
  <c r="X20" i="13"/>
  <c r="V36" i="13"/>
  <c r="AJ17" i="13"/>
  <c r="V43" i="13"/>
  <c r="AJ24" i="13"/>
  <c r="V49" i="13"/>
  <c r="AP16" i="13"/>
  <c r="V50" i="13"/>
  <c r="AP17" i="13"/>
  <c r="V52" i="13"/>
  <c r="AP19" i="13"/>
  <c r="V77" i="13"/>
  <c r="BB16" i="13"/>
  <c r="V84" i="13"/>
  <c r="BB23" i="13"/>
  <c r="V90" i="13"/>
  <c r="BH15" i="13"/>
  <c r="V109" i="13"/>
  <c r="BN20" i="13"/>
  <c r="V131" i="13"/>
  <c r="BZ14" i="13"/>
  <c r="V151" i="13"/>
  <c r="CF20" i="13"/>
  <c r="V159" i="13"/>
  <c r="CL14" i="13"/>
  <c r="V33" i="14"/>
  <c r="AJ14" i="14"/>
  <c r="V38" i="14"/>
  <c r="AJ19" i="14"/>
  <c r="V51" i="14"/>
  <c r="AP18" i="14"/>
  <c r="V53" i="14"/>
  <c r="AP20" i="14"/>
  <c r="V55" i="14"/>
  <c r="AP22" i="14"/>
  <c r="V79" i="14"/>
  <c r="BB18" i="14"/>
  <c r="V92" i="14"/>
  <c r="BH17" i="14"/>
  <c r="V94" i="14"/>
  <c r="BH19" i="14"/>
  <c r="V136" i="14"/>
  <c r="BZ19" i="14"/>
  <c r="V138" i="14"/>
  <c r="BZ21" i="14"/>
  <c r="V148" i="14"/>
  <c r="CF17" i="14"/>
  <c r="V160" i="14"/>
  <c r="CL15" i="14"/>
  <c r="V162" i="14"/>
  <c r="CL17" i="14"/>
  <c r="V7" i="15"/>
  <c r="X16" i="15"/>
  <c r="V9" i="15"/>
  <c r="X18" i="15"/>
  <c r="V19" i="15"/>
  <c r="AD14" i="15"/>
  <c r="V21" i="15"/>
  <c r="AD16" i="15"/>
  <c r="V28" i="15"/>
  <c r="AD23" i="15"/>
  <c r="V38" i="15"/>
  <c r="AJ19" i="15"/>
  <c r="V40" i="15"/>
  <c r="AJ21" i="15"/>
  <c r="V50" i="15"/>
  <c r="AP17" i="15"/>
  <c r="V62" i="15"/>
  <c r="AV15" i="15"/>
  <c r="V69" i="15"/>
  <c r="AV22" i="15"/>
  <c r="V79" i="15"/>
  <c r="BB18" i="15"/>
  <c r="V81" i="15"/>
  <c r="BB20" i="15"/>
  <c r="V91" i="15"/>
  <c r="BH16" i="15"/>
  <c r="V98" i="15"/>
  <c r="BH23" i="15"/>
  <c r="V103" i="15"/>
  <c r="BN14" i="15"/>
  <c r="V110" i="15"/>
  <c r="BN21" i="15"/>
  <c r="V120" i="15"/>
  <c r="BT17" i="15"/>
  <c r="V122" i="15"/>
  <c r="BT19" i="15"/>
  <c r="V149" i="15"/>
  <c r="CF18" i="15"/>
  <c r="V162" i="15"/>
  <c r="CL17" i="15"/>
  <c r="V11" i="16"/>
  <c r="X20" i="16"/>
  <c r="V13" i="16"/>
  <c r="X22" i="16"/>
  <c r="V15" i="16"/>
  <c r="X24" i="16"/>
  <c r="V34" i="16"/>
  <c r="AJ15" i="16"/>
  <c r="V39" i="16"/>
  <c r="AJ20" i="16"/>
  <c r="V52" i="16"/>
  <c r="AP19" i="16"/>
  <c r="V54" i="16"/>
  <c r="AP21" i="16"/>
  <c r="V56" i="16"/>
  <c r="AP23" i="16"/>
  <c r="V75" i="16"/>
  <c r="BB14" i="16"/>
  <c r="V80" i="16"/>
  <c r="BB19" i="16"/>
  <c r="V93" i="16"/>
  <c r="BH18" i="16"/>
  <c r="V111" i="16"/>
  <c r="BN22" i="16"/>
  <c r="V118" i="16"/>
  <c r="BT15" i="16"/>
  <c r="V146" i="16"/>
  <c r="CF15" i="16"/>
  <c r="V5" i="17"/>
  <c r="X14" i="17"/>
  <c r="V9" i="17"/>
  <c r="X18" i="17"/>
  <c r="V14" i="17"/>
  <c r="X23" i="17"/>
  <c r="V27" i="17"/>
  <c r="AD22" i="17"/>
  <c r="V35" i="17"/>
  <c r="AJ16" i="17"/>
  <c r="V48" i="17"/>
  <c r="AP15" i="17"/>
  <c r="V50" i="17"/>
  <c r="AP17" i="17"/>
  <c r="V52" i="17"/>
  <c r="AP19" i="17"/>
  <c r="V68" i="17"/>
  <c r="AV21" i="17"/>
  <c r="V76" i="17"/>
  <c r="BB15" i="17"/>
  <c r="V89" i="17"/>
  <c r="BH14" i="17"/>
  <c r="V91" i="17"/>
  <c r="BH16" i="17"/>
  <c r="V93" i="17"/>
  <c r="BH18" i="17"/>
  <c r="V109" i="17"/>
  <c r="BN20" i="17"/>
  <c r="V117" i="17"/>
  <c r="BT14" i="17"/>
  <c r="V132" i="17"/>
  <c r="BZ15" i="17"/>
  <c r="V134" i="17"/>
  <c r="BZ17" i="17"/>
  <c r="V8" i="18"/>
  <c r="X17" i="18"/>
  <c r="V12" i="18"/>
  <c r="X21" i="18"/>
  <c r="V34" i="18"/>
  <c r="AJ15" i="18"/>
  <c r="V36" i="18"/>
  <c r="AJ17" i="18"/>
  <c r="V75" i="18"/>
  <c r="BB14" i="18"/>
  <c r="V159" i="18"/>
  <c r="CL14" i="18"/>
  <c r="V161" i="18"/>
  <c r="CL16" i="18"/>
  <c r="V11" i="19"/>
  <c r="X20" i="19"/>
  <c r="V13" i="19"/>
  <c r="X22" i="19"/>
  <c r="V15" i="19"/>
  <c r="X24" i="19"/>
  <c r="V34" i="19"/>
  <c r="AJ15" i="19"/>
  <c r="V75" i="19"/>
  <c r="BB14" i="19"/>
  <c r="V147" i="19"/>
  <c r="CF16" i="19"/>
  <c r="V149" i="19"/>
  <c r="CF18" i="19"/>
  <c r="V159" i="19"/>
  <c r="CL14" i="19"/>
  <c r="V10" i="20"/>
  <c r="X19" i="20"/>
  <c r="V12" i="20"/>
  <c r="X21" i="20"/>
  <c r="V22" i="20"/>
  <c r="AD17" i="20"/>
  <c r="V24" i="20"/>
  <c r="AD19" i="20"/>
  <c r="V34" i="20"/>
  <c r="AJ15" i="20"/>
  <c r="V63" i="20"/>
  <c r="AV16" i="20"/>
  <c r="V75" i="20"/>
  <c r="BB14" i="20"/>
  <c r="V105" i="20"/>
  <c r="BN16" i="20"/>
  <c r="V132" i="20"/>
  <c r="BZ15" i="20"/>
  <c r="V148" i="20"/>
  <c r="CF17" i="20"/>
  <c r="V39" i="21"/>
  <c r="AJ20" i="21"/>
  <c r="V41" i="21"/>
  <c r="AJ22" i="21"/>
  <c r="V43" i="21"/>
  <c r="AJ24" i="21"/>
  <c r="V96" i="21"/>
  <c r="BH21" i="21"/>
  <c r="V98" i="21"/>
  <c r="BH23" i="21"/>
  <c r="V103" i="21"/>
  <c r="BN14" i="21"/>
  <c r="V21" i="11"/>
  <c r="AD16" i="11"/>
  <c r="V40" i="11"/>
  <c r="AJ21" i="11"/>
  <c r="V94" i="11"/>
  <c r="BH19" i="11"/>
  <c r="V105" i="11"/>
  <c r="BN16" i="11"/>
  <c r="V133" i="5"/>
  <c r="BZ16" i="5"/>
  <c r="V35" i="6"/>
  <c r="AJ16" i="6"/>
  <c r="V47" i="6"/>
  <c r="AP14" i="6"/>
  <c r="V77" i="6"/>
  <c r="BB16" i="6"/>
  <c r="V103" i="6"/>
  <c r="BN14" i="6"/>
  <c r="V107" i="6"/>
  <c r="BN18" i="6"/>
  <c r="V117" i="6"/>
  <c r="BT14" i="6"/>
  <c r="V131" i="6"/>
  <c r="BZ14" i="6"/>
  <c r="V149" i="6"/>
  <c r="CF18" i="6"/>
  <c r="V5" i="7"/>
  <c r="X14" i="7"/>
  <c r="V50" i="7"/>
  <c r="AP17" i="7"/>
  <c r="V61" i="7"/>
  <c r="AV14" i="7"/>
  <c r="V91" i="7"/>
  <c r="BH16" i="7"/>
  <c r="V120" i="7"/>
  <c r="BT17" i="7"/>
  <c r="V131" i="7"/>
  <c r="BZ14" i="7"/>
  <c r="V161" i="7"/>
  <c r="CL16" i="7"/>
  <c r="V7" i="8"/>
  <c r="X16" i="8"/>
  <c r="V21" i="8"/>
  <c r="AD16" i="8"/>
  <c r="V24" i="8"/>
  <c r="AD19" i="8"/>
  <c r="V33" i="8"/>
  <c r="AJ14" i="8"/>
  <c r="V36" i="8"/>
  <c r="AJ17" i="8"/>
  <c r="V47" i="8"/>
  <c r="AP14" i="8"/>
  <c r="V50" i="8"/>
  <c r="AP17" i="8"/>
  <c r="V62" i="8"/>
  <c r="AV15" i="8"/>
  <c r="V76" i="8"/>
  <c r="BB15" i="8"/>
  <c r="V78" i="8"/>
  <c r="BB17" i="8"/>
  <c r="V90" i="8"/>
  <c r="BH15" i="8"/>
  <c r="V92" i="8"/>
  <c r="BH17" i="8"/>
  <c r="V118" i="8"/>
  <c r="BT15" i="8"/>
  <c r="V148" i="8"/>
  <c r="CF17" i="8"/>
  <c r="V23" i="9"/>
  <c r="AD18" i="9"/>
  <c r="V50" i="9"/>
  <c r="AP17" i="9"/>
  <c r="V65" i="9"/>
  <c r="AV18" i="9"/>
  <c r="V91" i="9"/>
  <c r="BH16" i="9"/>
  <c r="V33" i="10"/>
  <c r="AJ14" i="10"/>
  <c r="V15" i="12"/>
  <c r="X24" i="12"/>
  <c r="V12" i="5"/>
  <c r="X21" i="5"/>
  <c r="V13" i="5"/>
  <c r="X22" i="5"/>
  <c r="V23" i="5"/>
  <c r="AD18" i="5"/>
  <c r="V24" i="5"/>
  <c r="AD19" i="5"/>
  <c r="V34" i="5"/>
  <c r="AJ15" i="5"/>
  <c r="V35" i="5"/>
  <c r="AJ16" i="5"/>
  <c r="V53" i="5"/>
  <c r="AP20" i="5"/>
  <c r="V64" i="5"/>
  <c r="AV17" i="5"/>
  <c r="V65" i="5"/>
  <c r="AV18" i="5"/>
  <c r="V75" i="5"/>
  <c r="BB14" i="5"/>
  <c r="V76" i="5"/>
  <c r="BB15" i="5"/>
  <c r="V94" i="5"/>
  <c r="BH19" i="5"/>
  <c r="V105" i="5"/>
  <c r="BN16" i="5"/>
  <c r="V106" i="5"/>
  <c r="BN17" i="5"/>
  <c r="V117" i="5"/>
  <c r="BT14" i="5"/>
  <c r="V147" i="5"/>
  <c r="CF16" i="5"/>
  <c r="V148" i="5"/>
  <c r="CF17" i="5"/>
  <c r="V159" i="5"/>
  <c r="CL14" i="5"/>
  <c r="V5" i="6"/>
  <c r="X14" i="6"/>
  <c r="V10" i="6"/>
  <c r="X19" i="6"/>
  <c r="V11" i="6"/>
  <c r="X20" i="6"/>
  <c r="V21" i="6"/>
  <c r="AD16" i="6"/>
  <c r="V22" i="6"/>
  <c r="AD17" i="6"/>
  <c r="V50" i="6"/>
  <c r="AP17" i="6"/>
  <c r="V51" i="6"/>
  <c r="AP18" i="6"/>
  <c r="V61" i="6"/>
  <c r="AV14" i="6"/>
  <c r="V62" i="6"/>
  <c r="AV15" i="6"/>
  <c r="V91" i="6"/>
  <c r="BH16" i="6"/>
  <c r="V92" i="6"/>
  <c r="BH17" i="6"/>
  <c r="V134" i="6"/>
  <c r="BZ17" i="6"/>
  <c r="V135" i="6"/>
  <c r="BZ18" i="6"/>
  <c r="V145" i="6"/>
  <c r="CF14" i="6"/>
  <c r="V146" i="6"/>
  <c r="CF15" i="6"/>
  <c r="V161" i="6"/>
  <c r="CL16" i="6"/>
  <c r="V23" i="7"/>
  <c r="AD18" i="7"/>
  <c r="V24" i="7"/>
  <c r="AD19" i="7"/>
  <c r="V34" i="7"/>
  <c r="AJ15" i="7"/>
  <c r="V35" i="7"/>
  <c r="AJ16" i="7"/>
  <c r="V64" i="7"/>
  <c r="AV17" i="7"/>
  <c r="V65" i="7"/>
  <c r="AV18" i="7"/>
  <c r="V75" i="7"/>
  <c r="BB14" i="7"/>
  <c r="V76" i="7"/>
  <c r="BB15" i="7"/>
  <c r="V104" i="7"/>
  <c r="BN15" i="7"/>
  <c r="V105" i="7"/>
  <c r="BN16" i="7"/>
  <c r="V134" i="7"/>
  <c r="BZ17" i="7"/>
  <c r="V135" i="7"/>
  <c r="BZ18" i="7"/>
  <c r="V145" i="7"/>
  <c r="CF14" i="7"/>
  <c r="V146" i="7"/>
  <c r="CF15" i="7"/>
  <c r="V5" i="8"/>
  <c r="X14" i="8"/>
  <c r="V11" i="8"/>
  <c r="X20" i="8"/>
  <c r="V103" i="8"/>
  <c r="BN14" i="8"/>
  <c r="V132" i="8"/>
  <c r="BZ15" i="8"/>
  <c r="V133" i="8"/>
  <c r="BZ16" i="8"/>
  <c r="V5" i="9"/>
  <c r="X14" i="9"/>
  <c r="V11" i="9"/>
  <c r="X20" i="9"/>
  <c r="V20" i="9"/>
  <c r="AD15" i="9"/>
  <c r="V21" i="9"/>
  <c r="AD16" i="9"/>
  <c r="V62" i="9"/>
  <c r="AV15" i="9"/>
  <c r="V63" i="9"/>
  <c r="AV16" i="9"/>
  <c r="V103" i="9"/>
  <c r="BN14" i="9"/>
  <c r="V104" i="9"/>
  <c r="BN15" i="9"/>
  <c r="V135" i="9"/>
  <c r="BZ18" i="9"/>
  <c r="V145" i="9"/>
  <c r="CF14" i="9"/>
  <c r="V7" i="10"/>
  <c r="X16" i="10"/>
  <c r="V8" i="10"/>
  <c r="X17" i="10"/>
  <c r="V10" i="10"/>
  <c r="X19" i="10"/>
  <c r="V11" i="10"/>
  <c r="X20" i="10"/>
  <c r="V20" i="10"/>
  <c r="AD15" i="10"/>
  <c r="V35" i="10"/>
  <c r="AJ16" i="10"/>
  <c r="V48" i="10"/>
  <c r="AP15" i="10"/>
  <c r="V49" i="10"/>
  <c r="AP16" i="10"/>
  <c r="V51" i="10"/>
  <c r="AP18" i="10"/>
  <c r="V52" i="10"/>
  <c r="AP19" i="10"/>
  <c r="V61" i="10"/>
  <c r="AV14" i="10"/>
  <c r="V76" i="10"/>
  <c r="BB15" i="10"/>
  <c r="V89" i="10"/>
  <c r="BH14" i="10"/>
  <c r="V90" i="10"/>
  <c r="BH15" i="10"/>
  <c r="V92" i="10"/>
  <c r="BH17" i="10"/>
  <c r="V93" i="10"/>
  <c r="BH18" i="10"/>
  <c r="V117" i="10"/>
  <c r="BT14" i="10"/>
  <c r="V131" i="10"/>
  <c r="BZ14" i="10"/>
  <c r="V133" i="10"/>
  <c r="BZ16" i="10"/>
  <c r="V134" i="10"/>
  <c r="BZ17" i="10"/>
  <c r="V9" i="12"/>
  <c r="X18" i="12"/>
  <c r="V25" i="12"/>
  <c r="AD20" i="12"/>
  <c r="V35" i="12"/>
  <c r="AJ16" i="12"/>
  <c r="V38" i="12"/>
  <c r="AJ19" i="12"/>
  <c r="V39" i="12"/>
  <c r="AJ20" i="12"/>
  <c r="V41" i="12"/>
  <c r="AJ22" i="12"/>
  <c r="V42" i="12"/>
  <c r="AJ23" i="12"/>
  <c r="V51" i="12"/>
  <c r="AP18" i="12"/>
  <c r="V56" i="12"/>
  <c r="AP23" i="12"/>
  <c r="V62" i="12"/>
  <c r="AV15" i="12"/>
  <c r="V63" i="12"/>
  <c r="AV16" i="12"/>
  <c r="V65" i="12"/>
  <c r="AV18" i="12"/>
  <c r="V66" i="12"/>
  <c r="AV19" i="12"/>
  <c r="V75" i="12"/>
  <c r="BB14" i="12"/>
  <c r="V90" i="12"/>
  <c r="BH15" i="12"/>
  <c r="V96" i="12"/>
  <c r="BH21" i="12"/>
  <c r="V97" i="12"/>
  <c r="BH22" i="12"/>
  <c r="V106" i="12"/>
  <c r="BN17" i="12"/>
  <c r="V121" i="12"/>
  <c r="BT18" i="12"/>
  <c r="V131" i="12"/>
  <c r="BZ14" i="12"/>
  <c r="V134" i="12"/>
  <c r="BZ17" i="12"/>
  <c r="V135" i="12"/>
  <c r="BZ18" i="12"/>
  <c r="V137" i="12"/>
  <c r="BZ20" i="12"/>
  <c r="V138" i="12"/>
  <c r="BZ21" i="12"/>
  <c r="V147" i="12"/>
  <c r="CF16" i="12"/>
  <c r="V162" i="12"/>
  <c r="CL17" i="12"/>
  <c r="V10" i="13"/>
  <c r="X19" i="13"/>
  <c r="V25" i="13"/>
  <c r="AD20" i="13"/>
  <c r="V35" i="13"/>
  <c r="AJ16" i="13"/>
  <c r="V38" i="13"/>
  <c r="AJ19" i="13"/>
  <c r="V39" i="13"/>
  <c r="AJ20" i="13"/>
  <c r="V41" i="13"/>
  <c r="AJ22" i="13"/>
  <c r="V42" i="13"/>
  <c r="AJ23" i="13"/>
  <c r="V51" i="13"/>
  <c r="AP18" i="13"/>
  <c r="V66" i="13"/>
  <c r="AV19" i="13"/>
  <c r="V76" i="13"/>
  <c r="BB15" i="13"/>
  <c r="V79" i="13"/>
  <c r="BB18" i="13"/>
  <c r="V80" i="13"/>
  <c r="BB19" i="13"/>
  <c r="V82" i="13"/>
  <c r="BB21" i="13"/>
  <c r="V83" i="13"/>
  <c r="BB22" i="13"/>
  <c r="V93" i="13"/>
  <c r="BH18" i="13"/>
  <c r="V96" i="13"/>
  <c r="BH21" i="13"/>
  <c r="V99" i="13"/>
  <c r="BH24" i="13"/>
  <c r="V103" i="13"/>
  <c r="BN14" i="13"/>
  <c r="V105" i="13"/>
  <c r="BN16" i="13"/>
  <c r="V112" i="13"/>
  <c r="BN23" i="13"/>
  <c r="V118" i="13"/>
  <c r="BT15" i="13"/>
  <c r="V121" i="13"/>
  <c r="BT18" i="13"/>
  <c r="V122" i="13"/>
  <c r="BT19" i="13"/>
  <c r="V124" i="13"/>
  <c r="BT21" i="13"/>
  <c r="V134" i="13"/>
  <c r="BZ17" i="13"/>
  <c r="V137" i="13"/>
  <c r="BZ20" i="13"/>
  <c r="V139" i="13"/>
  <c r="BZ22" i="13"/>
  <c r="V146" i="13"/>
  <c r="CF15" i="13"/>
  <c r="V162" i="13"/>
  <c r="CL17" i="13"/>
  <c r="V167" i="13"/>
  <c r="CL22" i="13"/>
  <c r="V6" i="14"/>
  <c r="X15" i="14"/>
  <c r="V8" i="14"/>
  <c r="X17" i="14"/>
  <c r="V10" i="14"/>
  <c r="X19" i="14"/>
  <c r="V12" i="14"/>
  <c r="X21" i="14"/>
  <c r="V14" i="14"/>
  <c r="X23" i="14"/>
  <c r="V19" i="14"/>
  <c r="AD14" i="14"/>
  <c r="V21" i="14"/>
  <c r="AD16" i="14"/>
  <c r="V23" i="14"/>
  <c r="AD18" i="14"/>
  <c r="V25" i="14"/>
  <c r="AD20" i="14"/>
  <c r="V41" i="14"/>
  <c r="AJ22" i="14"/>
  <c r="V49" i="14"/>
  <c r="AP16" i="14"/>
  <c r="V62" i="14"/>
  <c r="AV15" i="14"/>
  <c r="V64" i="14"/>
  <c r="AV17" i="14"/>
  <c r="V66" i="14"/>
  <c r="AV19" i="14"/>
  <c r="V82" i="14"/>
  <c r="BB21" i="14"/>
  <c r="V90" i="14"/>
  <c r="BH15" i="14"/>
  <c r="V134" i="14"/>
  <c r="BZ17" i="14"/>
  <c r="V14" i="15"/>
  <c r="X23" i="15"/>
  <c r="V36" i="15"/>
  <c r="AJ17" i="15"/>
  <c r="V55" i="15"/>
  <c r="AP22" i="15"/>
  <c r="V77" i="15"/>
  <c r="BB16" i="15"/>
  <c r="V96" i="15"/>
  <c r="BH21" i="15"/>
  <c r="V118" i="15"/>
  <c r="BT15" i="15"/>
  <c r="V132" i="15"/>
  <c r="BZ15" i="15"/>
  <c r="V134" i="15"/>
  <c r="BZ17" i="15"/>
  <c r="V136" i="15"/>
  <c r="BZ19" i="15"/>
  <c r="V152" i="15"/>
  <c r="CF21" i="15"/>
  <c r="V160" i="15"/>
  <c r="CL15" i="15"/>
  <c r="V9" i="16"/>
  <c r="X18" i="16"/>
  <c r="V22" i="16"/>
  <c r="AD17" i="16"/>
  <c r="V24" i="16"/>
  <c r="AD19" i="16"/>
  <c r="V26" i="16"/>
  <c r="AD21" i="16"/>
  <c r="V42" i="16"/>
  <c r="AJ23" i="16"/>
  <c r="V50" i="16"/>
  <c r="AP17" i="16"/>
  <c r="V63" i="16"/>
  <c r="AV16" i="16"/>
  <c r="V65" i="16"/>
  <c r="AV18" i="16"/>
  <c r="V67" i="16"/>
  <c r="AV20" i="16"/>
  <c r="V83" i="16"/>
  <c r="BB22" i="16"/>
  <c r="V104" i="16"/>
  <c r="BN15" i="16"/>
  <c r="V109" i="16"/>
  <c r="BN20" i="16"/>
  <c r="V122" i="16"/>
  <c r="BT19" i="16"/>
  <c r="V124" i="16"/>
  <c r="BT21" i="16"/>
  <c r="V134" i="16"/>
  <c r="BZ17" i="16"/>
  <c r="V136" i="16"/>
  <c r="BZ19" i="16"/>
  <c r="V162" i="16"/>
  <c r="CL17" i="16"/>
  <c r="V20" i="17"/>
  <c r="AD15" i="17"/>
  <c r="V25" i="17"/>
  <c r="AD20" i="17"/>
  <c r="V38" i="17"/>
  <c r="AJ19" i="17"/>
  <c r="V61" i="17"/>
  <c r="AV14" i="17"/>
  <c r="V63" i="17"/>
  <c r="AV16" i="17"/>
  <c r="V79" i="17"/>
  <c r="BB18" i="17"/>
  <c r="V97" i="17"/>
  <c r="BH22" i="17"/>
  <c r="V104" i="17"/>
  <c r="BN15" i="17"/>
  <c r="V120" i="17"/>
  <c r="BT17" i="17"/>
  <c r="V145" i="17"/>
  <c r="CF14" i="17"/>
  <c r="V161" i="17"/>
  <c r="CL16" i="17"/>
  <c r="V19" i="18"/>
  <c r="AD14" i="18"/>
  <c r="V21" i="18"/>
  <c r="AD16" i="18"/>
  <c r="V23" i="18"/>
  <c r="AD18" i="18"/>
  <c r="V47" i="18"/>
  <c r="AP14" i="18"/>
  <c r="V63" i="18"/>
  <c r="AV16" i="18"/>
  <c r="V91" i="18"/>
  <c r="BH16" i="18"/>
  <c r="V104" i="18"/>
  <c r="BN15" i="18"/>
  <c r="V131" i="18"/>
  <c r="BZ14" i="18"/>
  <c r="V147" i="18"/>
  <c r="CF16" i="18"/>
  <c r="V9" i="19"/>
  <c r="X18" i="19"/>
  <c r="V22" i="19"/>
  <c r="AD17" i="19"/>
  <c r="V24" i="19"/>
  <c r="AD19" i="19"/>
  <c r="V26" i="19"/>
  <c r="AD21" i="19"/>
  <c r="V50" i="19"/>
  <c r="AP17" i="19"/>
  <c r="V63" i="19"/>
  <c r="AV16" i="19"/>
  <c r="V91" i="19"/>
  <c r="BH16" i="19"/>
  <c r="V145" i="19"/>
  <c r="CF14" i="19"/>
  <c r="V8" i="20"/>
  <c r="X17" i="20"/>
  <c r="V39" i="20"/>
  <c r="AJ20" i="20"/>
  <c r="V61" i="20"/>
  <c r="AV14" i="20"/>
  <c r="V91" i="20"/>
  <c r="BH16" i="20"/>
  <c r="V103" i="20"/>
  <c r="BN14" i="20"/>
  <c r="V118" i="20"/>
  <c r="BT15" i="20"/>
  <c r="V120" i="20"/>
  <c r="BT17" i="20"/>
  <c r="V159" i="20"/>
  <c r="CL14" i="20"/>
  <c r="V8" i="21"/>
  <c r="X17" i="21"/>
  <c r="V78" i="21"/>
  <c r="BB17" i="21"/>
  <c r="V80" i="21"/>
  <c r="BB19" i="21"/>
  <c r="V82" i="21"/>
  <c r="BB21" i="21"/>
  <c r="V84" i="21"/>
  <c r="BB23" i="21"/>
  <c r="V107" i="21"/>
  <c r="BN18" i="21"/>
  <c r="BX14" i="21"/>
  <c r="R117" i="21"/>
  <c r="BY14" i="21" s="1"/>
  <c r="V12" i="11"/>
  <c r="X21" i="11"/>
  <c r="V14" i="11"/>
  <c r="X23" i="11"/>
  <c r="V24" i="11"/>
  <c r="AD19" i="11"/>
  <c r="V34" i="11"/>
  <c r="AJ15" i="11"/>
  <c r="V36" i="11"/>
  <c r="AJ17" i="11"/>
  <c r="V53" i="11"/>
  <c r="AP20" i="11"/>
  <c r="V55" i="11"/>
  <c r="AP22" i="11"/>
  <c r="V62" i="11"/>
  <c r="AV15" i="11"/>
  <c r="V64" i="11"/>
  <c r="AV17" i="11"/>
  <c r="V66" i="11"/>
  <c r="AV19" i="11"/>
  <c r="V68" i="11"/>
  <c r="AV21" i="11"/>
  <c r="V75" i="11"/>
  <c r="BB14" i="11"/>
  <c r="V77" i="11"/>
  <c r="BB16" i="11"/>
  <c r="V79" i="11"/>
  <c r="BB18" i="11"/>
  <c r="V81" i="11"/>
  <c r="BB20" i="11"/>
  <c r="V90" i="11"/>
  <c r="BH15" i="11"/>
  <c r="V107" i="11"/>
  <c r="BN18" i="11"/>
  <c r="V108" i="11"/>
  <c r="BN19" i="11"/>
  <c r="V109" i="11"/>
  <c r="BN20" i="11"/>
  <c r="V132" i="5"/>
  <c r="BZ15" i="5"/>
  <c r="V162" i="5"/>
  <c r="CL17" i="5"/>
  <c r="V6" i="6"/>
  <c r="X15" i="6"/>
  <c r="V24" i="6"/>
  <c r="AD19" i="6"/>
  <c r="V36" i="6"/>
  <c r="AJ17" i="6"/>
  <c r="V65" i="6"/>
  <c r="AV18" i="6"/>
  <c r="V76" i="6"/>
  <c r="BB15" i="6"/>
  <c r="V106" i="6"/>
  <c r="BN17" i="6"/>
  <c r="V120" i="6"/>
  <c r="BT17" i="6"/>
  <c r="V6" i="5"/>
  <c r="X15" i="5"/>
  <c r="V7" i="5"/>
  <c r="X16" i="5"/>
  <c r="V25" i="5"/>
  <c r="AD20" i="5"/>
  <c r="V26" i="5"/>
  <c r="AD21" i="5"/>
  <c r="V36" i="5"/>
  <c r="AJ17" i="5"/>
  <c r="V37" i="5"/>
  <c r="AJ18" i="5"/>
  <c r="V47" i="5"/>
  <c r="AP14" i="5"/>
  <c r="V48" i="5"/>
  <c r="AP15" i="5"/>
  <c r="V66" i="5"/>
  <c r="AV19" i="5"/>
  <c r="V77" i="5"/>
  <c r="BB16" i="5"/>
  <c r="V78" i="5"/>
  <c r="BB17" i="5"/>
  <c r="V89" i="5"/>
  <c r="BH14" i="5"/>
  <c r="V107" i="5"/>
  <c r="BN18" i="5"/>
  <c r="V108" i="5"/>
  <c r="BN19" i="5"/>
  <c r="V118" i="5"/>
  <c r="BT15" i="5"/>
  <c r="V119" i="5"/>
  <c r="BT16" i="5"/>
  <c r="V131" i="5"/>
  <c r="BZ14" i="5"/>
  <c r="V160" i="5"/>
  <c r="CL15" i="5"/>
  <c r="V161" i="5"/>
  <c r="CL16" i="5"/>
  <c r="V12" i="6"/>
  <c r="X21" i="6"/>
  <c r="V23" i="6"/>
  <c r="AD18" i="6"/>
  <c r="V33" i="6"/>
  <c r="AJ14" i="6"/>
  <c r="V34" i="6"/>
  <c r="AJ15" i="6"/>
  <c r="V52" i="6"/>
  <c r="AP19" i="6"/>
  <c r="V63" i="6"/>
  <c r="AV16" i="6"/>
  <c r="V64" i="6"/>
  <c r="AV17" i="6"/>
  <c r="V75" i="6"/>
  <c r="BB14" i="6"/>
  <c r="V93" i="6"/>
  <c r="BH18" i="6"/>
  <c r="V147" i="6"/>
  <c r="CF16" i="6"/>
  <c r="V148" i="6"/>
  <c r="CF17" i="6"/>
  <c r="V159" i="6"/>
  <c r="CL14" i="6"/>
  <c r="V162" i="6"/>
  <c r="CL17" i="6"/>
  <c r="V36" i="7"/>
  <c r="AJ17" i="7"/>
  <c r="V37" i="7"/>
  <c r="AJ18" i="7"/>
  <c r="V47" i="7"/>
  <c r="AP14" i="7"/>
  <c r="V48" i="7"/>
  <c r="AP15" i="7"/>
  <c r="V77" i="7"/>
  <c r="BB16" i="7"/>
  <c r="V78" i="7"/>
  <c r="BB17" i="7"/>
  <c r="V89" i="7"/>
  <c r="BH14" i="7"/>
  <c r="V106" i="7"/>
  <c r="BN17" i="7"/>
  <c r="V117" i="7"/>
  <c r="BT14" i="7"/>
  <c r="V118" i="7"/>
  <c r="BT15" i="7"/>
  <c r="V147" i="7"/>
  <c r="CF16" i="7"/>
  <c r="V148" i="7"/>
  <c r="CF17" i="7"/>
  <c r="V159" i="7"/>
  <c r="CL14" i="7"/>
  <c r="V6" i="8"/>
  <c r="X15" i="8"/>
  <c r="V104" i="8"/>
  <c r="BN15" i="8"/>
  <c r="V105" i="8"/>
  <c r="BN16" i="8"/>
  <c r="V134" i="8"/>
  <c r="BZ17" i="8"/>
  <c r="V135" i="8"/>
  <c r="BZ18" i="8"/>
  <c r="V145" i="8"/>
  <c r="CF14" i="8"/>
  <c r="V146" i="8"/>
  <c r="CF15" i="8"/>
  <c r="V6" i="9"/>
  <c r="X15" i="9"/>
  <c r="V7" i="9"/>
  <c r="X16" i="9"/>
  <c r="V9" i="9"/>
  <c r="X18" i="9"/>
  <c r="V10" i="9"/>
  <c r="X19" i="9"/>
  <c r="V19" i="9"/>
  <c r="AD14" i="9"/>
  <c r="V34" i="9"/>
  <c r="AJ15" i="9"/>
  <c r="V48" i="9"/>
  <c r="AP15" i="9"/>
  <c r="V49" i="9"/>
  <c r="AP16" i="9"/>
  <c r="V51" i="9"/>
  <c r="AP18" i="9"/>
  <c r="V52" i="9"/>
  <c r="AP19" i="9"/>
  <c r="V61" i="9"/>
  <c r="AV14" i="9"/>
  <c r="V76" i="9"/>
  <c r="BB15" i="9"/>
  <c r="V89" i="9"/>
  <c r="BH14" i="9"/>
  <c r="V90" i="9"/>
  <c r="BH15" i="9"/>
  <c r="V92" i="9"/>
  <c r="BH17" i="9"/>
  <c r="V117" i="9"/>
  <c r="BT14" i="9"/>
  <c r="V131" i="9"/>
  <c r="BZ14" i="9"/>
  <c r="V133" i="9"/>
  <c r="BZ16" i="9"/>
  <c r="V134" i="9"/>
  <c r="BZ17" i="9"/>
  <c r="V9" i="10"/>
  <c r="X18" i="10"/>
  <c r="V24" i="10"/>
  <c r="AD19" i="10"/>
  <c r="V34" i="10"/>
  <c r="AJ15" i="10"/>
  <c r="V37" i="10"/>
  <c r="AJ18" i="10"/>
  <c r="V38" i="10"/>
  <c r="AJ19" i="10"/>
  <c r="V50" i="10"/>
  <c r="AP17" i="10"/>
  <c r="V65" i="10"/>
  <c r="AV18" i="10"/>
  <c r="V75" i="10"/>
  <c r="BB14" i="10"/>
  <c r="V78" i="10"/>
  <c r="BB17" i="10"/>
  <c r="V79" i="10"/>
  <c r="BB18" i="10"/>
  <c r="V91" i="10"/>
  <c r="BH16" i="10"/>
  <c r="V106" i="10"/>
  <c r="BN17" i="10"/>
  <c r="V119" i="10"/>
  <c r="BT16" i="10"/>
  <c r="V120" i="10"/>
  <c r="BT17" i="10"/>
  <c r="V132" i="10"/>
  <c r="BZ15" i="10"/>
  <c r="V147" i="10"/>
  <c r="CF16" i="10"/>
  <c r="V160" i="10"/>
  <c r="CL15" i="10"/>
  <c r="V161" i="10"/>
  <c r="CL16" i="10"/>
  <c r="V163" i="10"/>
  <c r="CL18" i="10"/>
  <c r="V13" i="12"/>
  <c r="X22" i="12"/>
  <c r="V24" i="12"/>
  <c r="AD19" i="12"/>
  <c r="V27" i="12"/>
  <c r="AD22" i="12"/>
  <c r="V28" i="12"/>
  <c r="AD23" i="12"/>
  <c r="V33" i="12"/>
  <c r="AJ14" i="12"/>
  <c r="V79" i="12"/>
  <c r="BB18" i="12"/>
  <c r="V89" i="12"/>
  <c r="BH14" i="12"/>
  <c r="V92" i="12"/>
  <c r="BH17" i="12"/>
  <c r="V93" i="12"/>
  <c r="BH18" i="12"/>
  <c r="V95" i="12"/>
  <c r="BH20" i="12"/>
  <c r="V110" i="12"/>
  <c r="BN21" i="12"/>
  <c r="V120" i="12"/>
  <c r="BT17" i="12"/>
  <c r="V123" i="12"/>
  <c r="BT20" i="12"/>
  <c r="V124" i="12"/>
  <c r="BT21" i="12"/>
  <c r="V126" i="12"/>
  <c r="BT23" i="12"/>
  <c r="V151" i="12"/>
  <c r="CF20" i="12"/>
  <c r="V161" i="12"/>
  <c r="CL16" i="12"/>
  <c r="V164" i="12"/>
  <c r="CL19" i="12"/>
  <c r="V165" i="12"/>
  <c r="CL20" i="12"/>
  <c r="V167" i="12"/>
  <c r="CL22" i="12"/>
  <c r="V14" i="13"/>
  <c r="X23" i="13"/>
  <c r="V24" i="13"/>
  <c r="AD19" i="13"/>
  <c r="V27" i="13"/>
  <c r="AD22" i="13"/>
  <c r="V28" i="13"/>
  <c r="AD23" i="13"/>
  <c r="V33" i="13"/>
  <c r="AJ14" i="13"/>
  <c r="V55" i="13"/>
  <c r="AP22" i="13"/>
  <c r="V65" i="13"/>
  <c r="AV18" i="13"/>
  <c r="V68" i="13"/>
  <c r="AV21" i="13"/>
  <c r="V69" i="13"/>
  <c r="AV22" i="13"/>
  <c r="V71" i="13"/>
  <c r="AV24" i="13"/>
  <c r="V98" i="13"/>
  <c r="BH23" i="13"/>
  <c r="V120" i="13"/>
  <c r="BT17" i="13"/>
  <c r="V150" i="13"/>
  <c r="CF19" i="13"/>
  <c r="V152" i="13"/>
  <c r="CF21" i="13"/>
  <c r="V154" i="13"/>
  <c r="CF23" i="13"/>
  <c r="V29" i="14"/>
  <c r="AD24" i="14"/>
  <c r="V34" i="14"/>
  <c r="AJ15" i="14"/>
  <c r="V36" i="14"/>
  <c r="AJ17" i="14"/>
  <c r="V52" i="14"/>
  <c r="AP19" i="14"/>
  <c r="V70" i="14"/>
  <c r="AV23" i="14"/>
  <c r="V75" i="14"/>
  <c r="BB14" i="14"/>
  <c r="V77" i="14"/>
  <c r="BB16" i="14"/>
  <c r="V93" i="14"/>
  <c r="BH18" i="14"/>
  <c r="V137" i="14"/>
  <c r="BZ20" i="14"/>
  <c r="V147" i="14"/>
  <c r="CF16" i="14"/>
  <c r="V149" i="14"/>
  <c r="CF18" i="14"/>
  <c r="V161" i="14"/>
  <c r="CL16" i="14"/>
  <c r="V8" i="15"/>
  <c r="X17" i="15"/>
  <c r="V10" i="15"/>
  <c r="X19" i="15"/>
  <c r="V20" i="15"/>
  <c r="AD15" i="15"/>
  <c r="V27" i="15"/>
  <c r="AD22" i="15"/>
  <c r="V29" i="15"/>
  <c r="AD24" i="15"/>
  <c r="V39" i="15"/>
  <c r="AJ20" i="15"/>
  <c r="V49" i="15"/>
  <c r="AP16" i="15"/>
  <c r="V51" i="15"/>
  <c r="AP18" i="15"/>
  <c r="V61" i="15"/>
  <c r="AV14" i="15"/>
  <c r="V68" i="15"/>
  <c r="AV21" i="15"/>
  <c r="V70" i="15"/>
  <c r="AV23" i="15"/>
  <c r="V80" i="15"/>
  <c r="BB19" i="15"/>
  <c r="V90" i="15"/>
  <c r="BH15" i="15"/>
  <c r="V92" i="15"/>
  <c r="BH17" i="15"/>
  <c r="V109" i="15"/>
  <c r="BN20" i="15"/>
  <c r="V111" i="15"/>
  <c r="BN22" i="15"/>
  <c r="V121" i="15"/>
  <c r="BT18" i="15"/>
  <c r="V145" i="15"/>
  <c r="CF14" i="15"/>
  <c r="V147" i="15"/>
  <c r="CF16" i="15"/>
  <c r="V5" i="16"/>
  <c r="X14" i="16"/>
  <c r="V12" i="16"/>
  <c r="X21" i="16"/>
  <c r="V20" i="16"/>
  <c r="AD15" i="16"/>
  <c r="V33" i="16"/>
  <c r="AJ14" i="16"/>
  <c r="V35" i="16"/>
  <c r="AJ16" i="16"/>
  <c r="V37" i="16"/>
  <c r="AJ18" i="16"/>
  <c r="V53" i="16"/>
  <c r="AP20" i="16"/>
  <c r="V61" i="16"/>
  <c r="AV14" i="16"/>
  <c r="V76" i="16"/>
  <c r="BB15" i="16"/>
  <c r="V78" i="16"/>
  <c r="BB17" i="16"/>
  <c r="V92" i="16"/>
  <c r="BH17" i="16"/>
  <c r="V94" i="16"/>
  <c r="BH19" i="16"/>
  <c r="V96" i="16"/>
  <c r="BH21" i="16"/>
  <c r="V120" i="16"/>
  <c r="BT17" i="16"/>
  <c r="V132" i="16"/>
  <c r="BZ15" i="16"/>
  <c r="V145" i="16"/>
  <c r="CF14" i="16"/>
  <c r="V147" i="16"/>
  <c r="CF16" i="16"/>
  <c r="V149" i="16"/>
  <c r="CF18" i="16"/>
  <c r="V8" i="17"/>
  <c r="X17" i="17"/>
  <c r="V10" i="17"/>
  <c r="X19" i="17"/>
  <c r="V12" i="17"/>
  <c r="X21" i="17"/>
  <c r="V28" i="17"/>
  <c r="AD23" i="17"/>
  <c r="V33" i="17"/>
  <c r="AJ14" i="17"/>
  <c r="V49" i="17"/>
  <c r="AP16" i="17"/>
  <c r="V54" i="17"/>
  <c r="AP21" i="17"/>
  <c r="V67" i="17"/>
  <c r="AV20" i="17"/>
  <c r="V69" i="17"/>
  <c r="AV22" i="17"/>
  <c r="V90" i="17"/>
  <c r="BH15" i="17"/>
  <c r="V95" i="17"/>
  <c r="BH20" i="17"/>
  <c r="V108" i="17"/>
  <c r="BN19" i="17"/>
  <c r="V110" i="17"/>
  <c r="BN21" i="17"/>
  <c r="V131" i="17"/>
  <c r="BZ14" i="17"/>
  <c r="V136" i="17"/>
  <c r="BZ19" i="17"/>
  <c r="V7" i="18"/>
  <c r="X16" i="18"/>
  <c r="V9" i="18"/>
  <c r="X18" i="18"/>
  <c r="V14" i="18"/>
  <c r="X23" i="18"/>
  <c r="V27" i="18"/>
  <c r="AD22" i="18"/>
  <c r="V33" i="18"/>
  <c r="AJ14" i="18"/>
  <c r="V38" i="18"/>
  <c r="AJ19" i="18"/>
  <c r="V76" i="18"/>
  <c r="BB15" i="18"/>
  <c r="V78" i="18"/>
  <c r="BB17" i="18"/>
  <c r="V117" i="18"/>
  <c r="BT14" i="18"/>
  <c r="V119" i="18"/>
  <c r="BT16" i="18"/>
  <c r="V5" i="19"/>
  <c r="X14" i="19"/>
  <c r="V12" i="19"/>
  <c r="X21" i="19"/>
  <c r="V20" i="19"/>
  <c r="AD15" i="19"/>
  <c r="V33" i="19"/>
  <c r="AJ14" i="19"/>
  <c r="V35" i="19"/>
  <c r="AJ16" i="19"/>
  <c r="V37" i="19"/>
  <c r="AJ18" i="19"/>
  <c r="V61" i="19"/>
  <c r="AV14" i="19"/>
  <c r="V76" i="19"/>
  <c r="BB15" i="19"/>
  <c r="V148" i="19"/>
  <c r="CF17" i="19"/>
  <c r="V160" i="19"/>
  <c r="CL15" i="19"/>
  <c r="V11" i="20"/>
  <c r="X20" i="20"/>
  <c r="V21" i="20"/>
  <c r="AD16" i="20"/>
  <c r="V23" i="20"/>
  <c r="AD18" i="20"/>
  <c r="V33" i="20"/>
  <c r="AJ14" i="20"/>
  <c r="V35" i="20"/>
  <c r="AJ16" i="20"/>
  <c r="V52" i="20"/>
  <c r="AP19" i="20"/>
  <c r="V64" i="20"/>
  <c r="AV17" i="20"/>
  <c r="V76" i="20"/>
  <c r="BB15" i="20"/>
  <c r="V78" i="20"/>
  <c r="BB17" i="20"/>
  <c r="V106" i="20"/>
  <c r="BN17" i="20"/>
  <c r="V134" i="20"/>
  <c r="BZ17" i="20"/>
  <c r="V147" i="20"/>
  <c r="CF16" i="20"/>
  <c r="V149" i="20"/>
  <c r="CF18" i="20"/>
  <c r="V19" i="21"/>
  <c r="AD14" i="21"/>
  <c r="V21" i="21"/>
  <c r="AD16" i="21"/>
  <c r="V23" i="21"/>
  <c r="AD18" i="21"/>
  <c r="V25" i="21"/>
  <c r="AD20" i="21"/>
  <c r="V27" i="21"/>
  <c r="AD22" i="21"/>
  <c r="V38" i="21"/>
  <c r="AJ19" i="21"/>
  <c r="V47" i="21"/>
  <c r="AP14" i="21"/>
  <c r="V118" i="21"/>
  <c r="BT15" i="21"/>
  <c r="V10" i="11"/>
  <c r="X19" i="11"/>
  <c r="V29" i="11"/>
  <c r="AD24" i="11"/>
  <c r="V51" i="11"/>
  <c r="AP18" i="11"/>
  <c r="V145" i="13"/>
  <c r="CF14" i="13"/>
  <c r="V153" i="13"/>
  <c r="CF22" i="13"/>
  <c r="V164" i="13"/>
  <c r="CL19" i="13"/>
  <c r="V24" i="14"/>
  <c r="AD19" i="14"/>
  <c r="V35" i="14"/>
  <c r="AJ16" i="14"/>
  <c r="V43" i="14"/>
  <c r="AJ24" i="14"/>
  <c r="V54" i="14"/>
  <c r="AP21" i="14"/>
  <c r="V65" i="14"/>
  <c r="AV18" i="14"/>
  <c r="V76" i="14"/>
  <c r="BB15" i="14"/>
  <c r="V84" i="14"/>
  <c r="BB23" i="14"/>
  <c r="V95" i="14"/>
  <c r="BH20" i="14"/>
  <c r="V96" i="14"/>
  <c r="BH21" i="14"/>
  <c r="V97" i="14"/>
  <c r="BH22" i="14"/>
  <c r="V98" i="14"/>
  <c r="BH23" i="14"/>
  <c r="V103" i="14"/>
  <c r="BN14" i="14"/>
  <c r="V104" i="14"/>
  <c r="BN15" i="14"/>
  <c r="V105" i="14"/>
  <c r="BN16" i="14"/>
  <c r="V106" i="14"/>
  <c r="BN17" i="14"/>
  <c r="V107" i="14"/>
  <c r="BN18" i="14"/>
  <c r="V108" i="14"/>
  <c r="BN19" i="14"/>
  <c r="V109" i="14"/>
  <c r="BN20" i="14"/>
  <c r="V110" i="14"/>
  <c r="BN21" i="14"/>
  <c r="V111" i="14"/>
  <c r="BN22" i="14"/>
  <c r="V112" i="14"/>
  <c r="BN23" i="14"/>
  <c r="V117" i="14"/>
  <c r="BT14" i="14"/>
  <c r="V118" i="14"/>
  <c r="BT15" i="14"/>
  <c r="V119" i="14"/>
  <c r="BT16" i="14"/>
  <c r="V120" i="14"/>
  <c r="BT17" i="14"/>
  <c r="V121" i="14"/>
  <c r="BT18" i="14"/>
  <c r="V122" i="14"/>
  <c r="BT19" i="14"/>
  <c r="V123" i="14"/>
  <c r="BT20" i="14"/>
  <c r="V124" i="14"/>
  <c r="BT21" i="14"/>
  <c r="V125" i="14"/>
  <c r="BT22" i="14"/>
  <c r="V126" i="14"/>
  <c r="BT23" i="14"/>
  <c r="V131" i="14"/>
  <c r="BZ14" i="14"/>
  <c r="V139" i="14"/>
  <c r="BZ22" i="14"/>
  <c r="V163" i="14"/>
  <c r="CL18" i="14"/>
  <c r="V11" i="15"/>
  <c r="X20" i="15"/>
  <c r="V22" i="15"/>
  <c r="AD17" i="15"/>
  <c r="V33" i="15"/>
  <c r="AJ14" i="15"/>
  <c r="V41" i="15"/>
  <c r="AJ22" i="15"/>
  <c r="V52" i="15"/>
  <c r="AP19" i="15"/>
  <c r="V63" i="15"/>
  <c r="AV16" i="15"/>
  <c r="V82" i="15"/>
  <c r="BB21" i="15"/>
  <c r="V93" i="15"/>
  <c r="BH18" i="15"/>
  <c r="V104" i="15"/>
  <c r="BN15" i="15"/>
  <c r="V123" i="15"/>
  <c r="BT20" i="15"/>
  <c r="V135" i="15"/>
  <c r="BZ18" i="15"/>
  <c r="V146" i="15"/>
  <c r="CF15" i="15"/>
  <c r="V6" i="16"/>
  <c r="X15" i="16"/>
  <c r="V14" i="16"/>
  <c r="X23" i="16"/>
  <c r="V25" i="16"/>
  <c r="AD20" i="16"/>
  <c r="V36" i="16"/>
  <c r="AJ17" i="16"/>
  <c r="V47" i="16"/>
  <c r="AP14" i="16"/>
  <c r="V55" i="16"/>
  <c r="AP22" i="16"/>
  <c r="V66" i="16"/>
  <c r="AV19" i="16"/>
  <c r="V77" i="16"/>
  <c r="BB16" i="16"/>
  <c r="V84" i="16"/>
  <c r="BB23" i="16"/>
  <c r="V95" i="16"/>
  <c r="BH20" i="16"/>
  <c r="V106" i="16"/>
  <c r="BN17" i="16"/>
  <c r="V117" i="16"/>
  <c r="BT14" i="16"/>
  <c r="V125" i="16"/>
  <c r="BT22" i="16"/>
  <c r="V148" i="16"/>
  <c r="CF17" i="16"/>
  <c r="V159" i="16"/>
  <c r="CL14" i="16"/>
  <c r="V11" i="17"/>
  <c r="X20" i="17"/>
  <c r="V22" i="17"/>
  <c r="AD17" i="17"/>
  <c r="V40" i="17"/>
  <c r="AJ21" i="17"/>
  <c r="V51" i="17"/>
  <c r="AP18" i="17"/>
  <c r="V62" i="17"/>
  <c r="AV15" i="17"/>
  <c r="V81" i="17"/>
  <c r="BB20" i="17"/>
  <c r="V92" i="17"/>
  <c r="BH17" i="17"/>
  <c r="V103" i="17"/>
  <c r="BN14" i="17"/>
  <c r="V111" i="17"/>
  <c r="BN22" i="17"/>
  <c r="V133" i="17"/>
  <c r="BZ16" i="17"/>
  <c r="V10" i="18"/>
  <c r="X19" i="18"/>
  <c r="V11" i="18"/>
  <c r="X20" i="18"/>
  <c r="V22" i="18"/>
  <c r="AD17" i="18"/>
  <c r="V35" i="18"/>
  <c r="AJ16" i="18"/>
  <c r="V77" i="18"/>
  <c r="BB16" i="18"/>
  <c r="V118" i="18"/>
  <c r="BT15" i="18"/>
  <c r="V160" i="18"/>
  <c r="CL15" i="18"/>
  <c r="V6" i="19"/>
  <c r="X15" i="19"/>
  <c r="V14" i="19"/>
  <c r="X23" i="19"/>
  <c r="V25" i="19"/>
  <c r="AD20" i="19"/>
  <c r="V36" i="19"/>
  <c r="AJ17" i="19"/>
  <c r="V47" i="19"/>
  <c r="AP14" i="19"/>
  <c r="V77" i="19"/>
  <c r="BB16" i="19"/>
  <c r="V103" i="19"/>
  <c r="BN14" i="19"/>
  <c r="V104" i="19"/>
  <c r="BN15" i="19"/>
  <c r="V105" i="19"/>
  <c r="BN16" i="19"/>
  <c r="V117" i="19"/>
  <c r="BT14" i="19"/>
  <c r="V118" i="19"/>
  <c r="BT15" i="19"/>
  <c r="V119" i="19"/>
  <c r="BT16" i="19"/>
  <c r="V131" i="19"/>
  <c r="BZ14" i="19"/>
  <c r="V161" i="19"/>
  <c r="CL16" i="19"/>
  <c r="V13" i="20"/>
  <c r="X22" i="20"/>
  <c r="V25" i="20"/>
  <c r="AD20" i="20"/>
  <c r="V36" i="20"/>
  <c r="AJ17" i="20"/>
  <c r="V47" i="20"/>
  <c r="AP14" i="20"/>
  <c r="V77" i="20"/>
  <c r="BB16" i="20"/>
  <c r="V119" i="20"/>
  <c r="BT16" i="20"/>
  <c r="V131" i="20"/>
  <c r="BZ14" i="20"/>
  <c r="V161" i="20"/>
  <c r="CL16" i="20"/>
  <c r="V9" i="21"/>
  <c r="X18" i="21"/>
  <c r="V11" i="21"/>
  <c r="X20" i="21"/>
  <c r="V13" i="21"/>
  <c r="X22" i="21"/>
  <c r="V15" i="21"/>
  <c r="X24" i="21"/>
  <c r="V29" i="21"/>
  <c r="AD24" i="21"/>
  <c r="V34" i="21"/>
  <c r="AJ15" i="21"/>
  <c r="V36" i="21"/>
  <c r="AJ17" i="21"/>
  <c r="V48" i="21"/>
  <c r="AP15" i="21"/>
  <c r="V50" i="21"/>
  <c r="AP17" i="21"/>
  <c r="V52" i="21"/>
  <c r="AP19" i="21"/>
  <c r="V54" i="21"/>
  <c r="AP21" i="21"/>
  <c r="V68" i="21"/>
  <c r="AV21" i="21"/>
  <c r="V70" i="21"/>
  <c r="AV23" i="21"/>
  <c r="V75" i="21"/>
  <c r="BB14" i="21"/>
  <c r="V89" i="21"/>
  <c r="BH14" i="21"/>
  <c r="V91" i="21"/>
  <c r="BH16" i="21"/>
  <c r="V93" i="21"/>
  <c r="BH18" i="21"/>
  <c r="V95" i="21"/>
  <c r="BH20" i="21"/>
  <c r="V105" i="21"/>
  <c r="BN16" i="21"/>
  <c r="V120" i="21"/>
  <c r="BT17" i="21"/>
  <c r="V122" i="21"/>
  <c r="BT19" i="21"/>
  <c r="V124" i="21"/>
  <c r="BT21" i="21"/>
  <c r="H103" i="21"/>
  <c r="Q103" i="21" s="1"/>
  <c r="H122" i="21"/>
  <c r="BX19" i="21" s="1"/>
  <c r="H126" i="21"/>
  <c r="BX23" i="21" s="1"/>
  <c r="V7" i="11"/>
  <c r="X16" i="11"/>
  <c r="V15" i="11"/>
  <c r="X24" i="11"/>
  <c r="V26" i="11"/>
  <c r="AD21" i="11"/>
  <c r="V37" i="11"/>
  <c r="AJ18" i="11"/>
  <c r="V48" i="11"/>
  <c r="AP15" i="11"/>
  <c r="V91" i="11"/>
  <c r="BH16" i="11"/>
  <c r="V121" i="11"/>
  <c r="BT18" i="11"/>
  <c r="V95" i="13"/>
  <c r="BH20" i="13"/>
  <c r="V106" i="13"/>
  <c r="BN17" i="13"/>
  <c r="V117" i="13"/>
  <c r="BT14" i="13"/>
  <c r="V125" i="13"/>
  <c r="BT22" i="13"/>
  <c r="V136" i="13"/>
  <c r="BZ19" i="13"/>
  <c r="V147" i="13"/>
  <c r="CF16" i="13"/>
  <c r="V166" i="13"/>
  <c r="CL21" i="13"/>
  <c r="V5" i="14"/>
  <c r="X14" i="14"/>
  <c r="V26" i="14"/>
  <c r="AD21" i="14"/>
  <c r="V37" i="14"/>
  <c r="AJ18" i="14"/>
  <c r="V48" i="14"/>
  <c r="AP15" i="14"/>
  <c r="V56" i="14"/>
  <c r="AP23" i="14"/>
  <c r="V67" i="14"/>
  <c r="AV20" i="14"/>
  <c r="V78" i="14"/>
  <c r="BB17" i="14"/>
  <c r="V89" i="14"/>
  <c r="BH14" i="14"/>
  <c r="V132" i="14"/>
  <c r="BZ15" i="14"/>
  <c r="V133" i="14"/>
  <c r="BZ16" i="14"/>
  <c r="V5" i="15"/>
  <c r="X14" i="15"/>
  <c r="V12" i="15"/>
  <c r="X21" i="15"/>
  <c r="V13" i="15"/>
  <c r="X22" i="15"/>
  <c r="V23" i="15"/>
  <c r="AD18" i="15"/>
  <c r="V24" i="15"/>
  <c r="AD19" i="15"/>
  <c r="V34" i="15"/>
  <c r="AJ15" i="15"/>
  <c r="V35" i="15"/>
  <c r="AJ16" i="15"/>
  <c r="V42" i="15"/>
  <c r="AJ23" i="15"/>
  <c r="V53" i="15"/>
  <c r="AP20" i="15"/>
  <c r="V54" i="15"/>
  <c r="AP21" i="15"/>
  <c r="V64" i="15"/>
  <c r="AV17" i="15"/>
  <c r="V65" i="15"/>
  <c r="AV18" i="15"/>
  <c r="V75" i="15"/>
  <c r="BB14" i="15"/>
  <c r="V76" i="15"/>
  <c r="BB15" i="15"/>
  <c r="V83" i="15"/>
  <c r="BB22" i="15"/>
  <c r="V84" i="15"/>
  <c r="BB23" i="15"/>
  <c r="V94" i="15"/>
  <c r="BH19" i="15"/>
  <c r="V95" i="15"/>
  <c r="BH20" i="15"/>
  <c r="V105" i="15"/>
  <c r="BN16" i="15"/>
  <c r="V106" i="15"/>
  <c r="BN17" i="15"/>
  <c r="V117" i="15"/>
  <c r="BT14" i="15"/>
  <c r="V124" i="15"/>
  <c r="BT21" i="15"/>
  <c r="V125" i="15"/>
  <c r="BT22" i="15"/>
  <c r="V137" i="15"/>
  <c r="BZ20" i="15"/>
  <c r="V148" i="15"/>
  <c r="CF17" i="15"/>
  <c r="V159" i="15"/>
  <c r="CL14" i="15"/>
  <c r="V8" i="16"/>
  <c r="X17" i="16"/>
  <c r="V19" i="16"/>
  <c r="AD14" i="16"/>
  <c r="V27" i="16"/>
  <c r="AD22" i="16"/>
  <c r="V38" i="16"/>
  <c r="AJ19" i="16"/>
  <c r="V49" i="16"/>
  <c r="AP16" i="16"/>
  <c r="V68" i="16"/>
  <c r="AV21" i="16"/>
  <c r="V79" i="16"/>
  <c r="BB18" i="16"/>
  <c r="V89" i="16"/>
  <c r="BH14" i="16"/>
  <c r="V97" i="16"/>
  <c r="BH22" i="16"/>
  <c r="V108" i="16"/>
  <c r="BN19" i="16"/>
  <c r="V119" i="16"/>
  <c r="BT16" i="16"/>
  <c r="V131" i="16"/>
  <c r="BZ14" i="16"/>
  <c r="V161" i="16"/>
  <c r="CL16" i="16"/>
  <c r="V13" i="17"/>
  <c r="X22" i="17"/>
  <c r="V24" i="17"/>
  <c r="AD19" i="17"/>
  <c r="V34" i="17"/>
  <c r="AJ15" i="17"/>
  <c r="V42" i="17"/>
  <c r="AJ23" i="17"/>
  <c r="V53" i="17"/>
  <c r="AP20" i="17"/>
  <c r="V64" i="17"/>
  <c r="AV17" i="17"/>
  <c r="V75" i="17"/>
  <c r="BB14" i="17"/>
  <c r="V83" i="17"/>
  <c r="BB22" i="17"/>
  <c r="V94" i="17"/>
  <c r="BH19" i="17"/>
  <c r="V105" i="17"/>
  <c r="BN16" i="17"/>
  <c r="V135" i="17"/>
  <c r="BZ18" i="17"/>
  <c r="V146" i="17"/>
  <c r="CF15" i="17"/>
  <c r="V5" i="18"/>
  <c r="X14" i="18"/>
  <c r="V13" i="18"/>
  <c r="X22" i="18"/>
  <c r="V24" i="18"/>
  <c r="AD19" i="18"/>
  <c r="V37" i="18"/>
  <c r="AJ18" i="18"/>
  <c r="V48" i="18"/>
  <c r="AP15" i="18"/>
  <c r="V90" i="18"/>
  <c r="BH15" i="18"/>
  <c r="V132" i="18"/>
  <c r="BZ15" i="18"/>
  <c r="V162" i="18"/>
  <c r="CL17" i="18"/>
  <c r="V8" i="19"/>
  <c r="X17" i="19"/>
  <c r="V19" i="19"/>
  <c r="AD14" i="19"/>
  <c r="V27" i="19"/>
  <c r="AD22" i="19"/>
  <c r="V49" i="19"/>
  <c r="AP16" i="19"/>
  <c r="V90" i="19"/>
  <c r="BH15" i="19"/>
  <c r="V132" i="19"/>
  <c r="BZ15" i="19"/>
  <c r="V133" i="19"/>
  <c r="BZ16" i="19"/>
  <c r="V162" i="19"/>
  <c r="CL17" i="19"/>
  <c r="V6" i="20"/>
  <c r="X15" i="20"/>
  <c r="V7" i="20"/>
  <c r="X16" i="20"/>
  <c r="V14" i="20"/>
  <c r="X23" i="20"/>
  <c r="V15" i="20"/>
  <c r="X24" i="20"/>
  <c r="V26" i="20"/>
  <c r="AD21" i="20"/>
  <c r="V27" i="20"/>
  <c r="AD22" i="20"/>
  <c r="V37" i="20"/>
  <c r="AJ18" i="20"/>
  <c r="V38" i="20"/>
  <c r="AJ19" i="20"/>
  <c r="V48" i="20"/>
  <c r="AP15" i="20"/>
  <c r="V49" i="20"/>
  <c r="AP16" i="20"/>
  <c r="V90" i="20"/>
  <c r="BH15" i="20"/>
  <c r="V133" i="20"/>
  <c r="BZ16" i="20"/>
  <c r="V6" i="21"/>
  <c r="X15" i="21"/>
  <c r="V20" i="21"/>
  <c r="AD15" i="21"/>
  <c r="V22" i="21"/>
  <c r="AD17" i="21"/>
  <c r="V24" i="21"/>
  <c r="AD19" i="21"/>
  <c r="V26" i="21"/>
  <c r="AD21" i="21"/>
  <c r="V40" i="21"/>
  <c r="AJ21" i="21"/>
  <c r="V42" i="21"/>
  <c r="AJ23" i="21"/>
  <c r="V56" i="21"/>
  <c r="AP23" i="21"/>
  <c r="V61" i="21"/>
  <c r="AV14" i="21"/>
  <c r="V63" i="21"/>
  <c r="AV16" i="21"/>
  <c r="V65" i="21"/>
  <c r="AV18" i="21"/>
  <c r="V79" i="21"/>
  <c r="BB18" i="21"/>
  <c r="V81" i="21"/>
  <c r="BB20" i="21"/>
  <c r="V83" i="21"/>
  <c r="BB22" i="21"/>
  <c r="V97" i="21"/>
  <c r="BH22" i="21"/>
  <c r="V99" i="21"/>
  <c r="BH24" i="21"/>
  <c r="V109" i="21"/>
  <c r="BN20" i="21"/>
  <c r="V111" i="21"/>
  <c r="BN22" i="21"/>
  <c r="V113" i="21"/>
  <c r="BN24" i="21"/>
  <c r="BR15" i="21"/>
  <c r="BR19" i="21"/>
  <c r="BR23" i="21"/>
  <c r="BX16" i="21"/>
  <c r="BX20" i="21"/>
  <c r="V8" i="11"/>
  <c r="X17" i="11"/>
  <c r="V9" i="11"/>
  <c r="X18" i="11"/>
  <c r="V19" i="11"/>
  <c r="AD14" i="11"/>
  <c r="V20" i="11"/>
  <c r="AD15" i="11"/>
  <c r="V27" i="11"/>
  <c r="AD22" i="11"/>
  <c r="V28" i="11"/>
  <c r="AD23" i="11"/>
  <c r="V38" i="11"/>
  <c r="AJ19" i="11"/>
  <c r="V39" i="11"/>
  <c r="AJ20" i="11"/>
  <c r="V49" i="11"/>
  <c r="AP16" i="11"/>
  <c r="V50" i="11"/>
  <c r="AP17" i="11"/>
  <c r="V92" i="11"/>
  <c r="BH17" i="11"/>
  <c r="V93" i="11"/>
  <c r="BH18" i="11"/>
  <c r="V103" i="11"/>
  <c r="BN14" i="11"/>
  <c r="V104" i="11"/>
  <c r="BN15" i="11"/>
  <c r="V122" i="11"/>
  <c r="BT19" i="11"/>
  <c r="V161" i="8"/>
  <c r="CL16" i="8"/>
  <c r="V13" i="9"/>
  <c r="X22" i="9"/>
  <c r="V24" i="9"/>
  <c r="AD19" i="9"/>
  <c r="V35" i="9"/>
  <c r="AJ16" i="9"/>
  <c r="V36" i="9"/>
  <c r="AJ17" i="9"/>
  <c r="V47" i="9"/>
  <c r="AP14" i="9"/>
  <c r="V77" i="9"/>
  <c r="BB16" i="9"/>
  <c r="V118" i="9"/>
  <c r="BT15" i="9"/>
  <c r="V148" i="9"/>
  <c r="CF17" i="9"/>
  <c r="V159" i="9"/>
  <c r="CL14" i="9"/>
  <c r="V6" i="10"/>
  <c r="X15" i="10"/>
  <c r="V25" i="10"/>
  <c r="AD20" i="10"/>
  <c r="V36" i="10"/>
  <c r="AJ17" i="10"/>
  <c r="V47" i="10"/>
  <c r="AP14" i="10"/>
  <c r="V77" i="10"/>
  <c r="BB16" i="10"/>
  <c r="V107" i="10"/>
  <c r="BN18" i="10"/>
  <c r="V118" i="10"/>
  <c r="BT15" i="10"/>
  <c r="V148" i="10"/>
  <c r="CF17" i="10"/>
  <c r="V159" i="10"/>
  <c r="CL14" i="10"/>
  <c r="V6" i="12"/>
  <c r="X15" i="12"/>
  <c r="V14" i="12"/>
  <c r="X23" i="12"/>
  <c r="V26" i="12"/>
  <c r="AD21" i="12"/>
  <c r="V37" i="12"/>
  <c r="AJ18" i="12"/>
  <c r="V48" i="12"/>
  <c r="AP15" i="12"/>
  <c r="V61" i="12"/>
  <c r="AV14" i="12"/>
  <c r="V69" i="12"/>
  <c r="AV22" i="12"/>
  <c r="V80" i="12"/>
  <c r="BB19" i="12"/>
  <c r="V91" i="12"/>
  <c r="BH16" i="12"/>
  <c r="V103" i="12"/>
  <c r="BN14" i="12"/>
  <c r="V111" i="12"/>
  <c r="BN22" i="12"/>
  <c r="V122" i="12"/>
  <c r="BT19" i="12"/>
  <c r="V133" i="12"/>
  <c r="BZ16" i="12"/>
  <c r="V141" i="12"/>
  <c r="BZ24" i="12"/>
  <c r="V152" i="12"/>
  <c r="CF21" i="12"/>
  <c r="V163" i="12"/>
  <c r="CL18" i="12"/>
  <c r="V7" i="13"/>
  <c r="X16" i="13"/>
  <c r="V15" i="13"/>
  <c r="X24" i="13"/>
  <c r="V26" i="13"/>
  <c r="AD21" i="13"/>
  <c r="V37" i="13"/>
  <c r="AJ18" i="13"/>
  <c r="V48" i="13"/>
  <c r="AP15" i="13"/>
  <c r="V56" i="13"/>
  <c r="AP23" i="13"/>
  <c r="V67" i="13"/>
  <c r="AV20" i="13"/>
  <c r="V78" i="13"/>
  <c r="BB17" i="13"/>
  <c r="V89" i="13"/>
  <c r="BH14" i="13"/>
  <c r="V97" i="13"/>
  <c r="BH22" i="13"/>
  <c r="V108" i="13"/>
  <c r="BN19" i="13"/>
  <c r="V119" i="13"/>
  <c r="BT16" i="13"/>
  <c r="V138" i="13"/>
  <c r="BZ21" i="13"/>
  <c r="V149" i="13"/>
  <c r="CF18" i="13"/>
  <c r="V160" i="13"/>
  <c r="CL15" i="13"/>
  <c r="V168" i="13"/>
  <c r="CL23" i="13"/>
  <c r="V28" i="14"/>
  <c r="AD23" i="14"/>
  <c r="V39" i="14"/>
  <c r="AJ20" i="14"/>
  <c r="V50" i="14"/>
  <c r="AP17" i="14"/>
  <c r="V61" i="14"/>
  <c r="AV14" i="14"/>
  <c r="V69" i="14"/>
  <c r="AV22" i="14"/>
  <c r="V80" i="14"/>
  <c r="BB19" i="14"/>
  <c r="V91" i="14"/>
  <c r="BH16" i="14"/>
  <c r="V135" i="14"/>
  <c r="BZ18" i="14"/>
  <c r="V146" i="14"/>
  <c r="CF15" i="14"/>
  <c r="V159" i="14"/>
  <c r="CL14" i="14"/>
  <c r="V6" i="15"/>
  <c r="X15" i="15"/>
  <c r="V15" i="15"/>
  <c r="X24" i="15"/>
  <c r="V26" i="15"/>
  <c r="AD21" i="15"/>
  <c r="V37" i="15"/>
  <c r="AJ18" i="15"/>
  <c r="V48" i="15"/>
  <c r="AP15" i="15"/>
  <c r="V56" i="15"/>
  <c r="AP23" i="15"/>
  <c r="V67" i="15"/>
  <c r="AV20" i="15"/>
  <c r="V78" i="15"/>
  <c r="BB17" i="15"/>
  <c r="V89" i="15"/>
  <c r="BH14" i="15"/>
  <c r="V97" i="15"/>
  <c r="BH22" i="15"/>
  <c r="V108" i="15"/>
  <c r="BN19" i="15"/>
  <c r="V119" i="15"/>
  <c r="BT16" i="15"/>
  <c r="V131" i="15"/>
  <c r="BZ14" i="15"/>
  <c r="V139" i="15"/>
  <c r="BZ22" i="15"/>
  <c r="V150" i="15"/>
  <c r="CF19" i="15"/>
  <c r="V161" i="15"/>
  <c r="CL16" i="15"/>
  <c r="V163" i="15"/>
  <c r="CL18" i="15"/>
  <c r="V10" i="16"/>
  <c r="X19" i="16"/>
  <c r="V21" i="16"/>
  <c r="AD16" i="16"/>
  <c r="V40" i="16"/>
  <c r="AJ21" i="16"/>
  <c r="V51" i="16"/>
  <c r="AP18" i="16"/>
  <c r="V62" i="16"/>
  <c r="AV15" i="16"/>
  <c r="V70" i="16"/>
  <c r="AV23" i="16"/>
  <c r="V81" i="16"/>
  <c r="BB20" i="16"/>
  <c r="V91" i="16"/>
  <c r="BH16" i="16"/>
  <c r="V110" i="16"/>
  <c r="BN21" i="16"/>
  <c r="V121" i="16"/>
  <c r="BT18" i="16"/>
  <c r="V133" i="16"/>
  <c r="BZ16" i="16"/>
  <c r="V163" i="16"/>
  <c r="CL18" i="16"/>
  <c r="V7" i="17"/>
  <c r="X16" i="17"/>
  <c r="V15" i="17"/>
  <c r="X24" i="17"/>
  <c r="V26" i="17"/>
  <c r="AD21" i="17"/>
  <c r="V36" i="17"/>
  <c r="AJ17" i="17"/>
  <c r="V47" i="17"/>
  <c r="AP14" i="17"/>
  <c r="V55" i="17"/>
  <c r="AP22" i="17"/>
  <c r="V66" i="17"/>
  <c r="AV19" i="17"/>
  <c r="V77" i="17"/>
  <c r="BB16" i="17"/>
  <c r="V96" i="17"/>
  <c r="BH21" i="17"/>
  <c r="V107" i="17"/>
  <c r="BN18" i="17"/>
  <c r="V118" i="17"/>
  <c r="BT15" i="17"/>
  <c r="V148" i="17"/>
  <c r="CF17" i="17"/>
  <c r="V159" i="17"/>
  <c r="CL14" i="17"/>
  <c r="V6" i="18"/>
  <c r="X15" i="18"/>
  <c r="V15" i="18"/>
  <c r="X24" i="18"/>
  <c r="V26" i="18"/>
  <c r="AD21" i="18"/>
  <c r="V28" i="18"/>
  <c r="AD23" i="18"/>
  <c r="V39" i="18"/>
  <c r="AJ20" i="18"/>
  <c r="V50" i="18"/>
  <c r="AP17" i="18"/>
  <c r="V61" i="18"/>
  <c r="AV14" i="18"/>
  <c r="V103" i="18"/>
  <c r="BN14" i="18"/>
  <c r="V134" i="18"/>
  <c r="BZ17" i="18"/>
  <c r="V145" i="18"/>
  <c r="CF14" i="18"/>
  <c r="V10" i="19"/>
  <c r="X19" i="19"/>
  <c r="V21" i="19"/>
  <c r="AD16" i="19"/>
  <c r="V62" i="19"/>
  <c r="AV15" i="19"/>
  <c r="V135" i="19"/>
  <c r="BZ18" i="19"/>
  <c r="V146" i="19"/>
  <c r="CF15" i="19"/>
  <c r="V9" i="20"/>
  <c r="X18" i="20"/>
  <c r="V20" i="20"/>
  <c r="AD15" i="20"/>
  <c r="V51" i="20"/>
  <c r="AP18" i="20"/>
  <c r="V62" i="20"/>
  <c r="AV15" i="20"/>
  <c r="V92" i="20"/>
  <c r="BH17" i="20"/>
  <c r="V104" i="20"/>
  <c r="BN15" i="20"/>
  <c r="V135" i="20"/>
  <c r="BZ18" i="20"/>
  <c r="V146" i="20"/>
  <c r="CF15" i="20"/>
  <c r="V5" i="21"/>
  <c r="X14" i="21"/>
  <c r="V10" i="21"/>
  <c r="X19" i="21"/>
  <c r="V12" i="21"/>
  <c r="X21" i="21"/>
  <c r="V14" i="21"/>
  <c r="X23" i="21"/>
  <c r="V28" i="21"/>
  <c r="AD23" i="21"/>
  <c r="V33" i="21"/>
  <c r="AJ14" i="21"/>
  <c r="V35" i="21"/>
  <c r="AJ16" i="21"/>
  <c r="V37" i="21"/>
  <c r="AJ18" i="21"/>
  <c r="V49" i="21"/>
  <c r="AP16" i="21"/>
  <c r="V51" i="21"/>
  <c r="AP18" i="21"/>
  <c r="V53" i="21"/>
  <c r="AP20" i="21"/>
  <c r="V67" i="21"/>
  <c r="AV20" i="21"/>
  <c r="V69" i="21"/>
  <c r="AV22" i="21"/>
  <c r="V71" i="21"/>
  <c r="AV24" i="21"/>
  <c r="V76" i="21"/>
  <c r="BB15" i="21"/>
  <c r="V90" i="21"/>
  <c r="BH15" i="21"/>
  <c r="V92" i="21"/>
  <c r="BH17" i="21"/>
  <c r="V94" i="21"/>
  <c r="BH19" i="21"/>
  <c r="V104" i="21"/>
  <c r="BN15" i="21"/>
  <c r="V106" i="21"/>
  <c r="BN17" i="21"/>
  <c r="V119" i="21"/>
  <c r="BT16" i="21"/>
  <c r="V121" i="21"/>
  <c r="BT18" i="21"/>
  <c r="V123" i="21"/>
  <c r="BT20" i="21"/>
  <c r="V125" i="21"/>
  <c r="BT22" i="21"/>
  <c r="BR14" i="21"/>
  <c r="H105" i="21"/>
  <c r="BR16" i="21" s="1"/>
  <c r="BR18" i="21"/>
  <c r="H109" i="21"/>
  <c r="BR20" i="21" s="1"/>
  <c r="BR22" i="21"/>
  <c r="H113" i="21"/>
  <c r="BR24" i="21" s="1"/>
  <c r="BX15" i="21"/>
  <c r="H120" i="21"/>
  <c r="BX17" i="21" s="1"/>
  <c r="H124" i="21"/>
  <c r="BX21" i="21" s="1"/>
  <c r="V11" i="11"/>
  <c r="X20" i="11"/>
  <c r="V22" i="11"/>
  <c r="AD17" i="11"/>
  <c r="V33" i="11"/>
  <c r="AJ14" i="11"/>
  <c r="V41" i="11"/>
  <c r="AJ22" i="11"/>
  <c r="V52" i="11"/>
  <c r="AP19" i="11"/>
  <c r="V95" i="11"/>
  <c r="BH20" i="11"/>
  <c r="V106" i="11"/>
  <c r="BN17" i="11"/>
  <c r="V117" i="11"/>
  <c r="BT14" i="11"/>
  <c r="V7" i="3"/>
  <c r="V8" i="3"/>
  <c r="V11" i="3"/>
  <c r="V12" i="3"/>
  <c r="V15" i="3"/>
  <c r="V19" i="3"/>
  <c r="V22" i="3"/>
  <c r="V23" i="3"/>
  <c r="V26" i="3"/>
  <c r="V27" i="3"/>
  <c r="V33" i="3"/>
  <c r="V34" i="3"/>
  <c r="V37" i="3"/>
  <c r="V38" i="3"/>
  <c r="V41" i="3"/>
  <c r="V42" i="3"/>
  <c r="V48" i="3"/>
  <c r="V49" i="3"/>
  <c r="V52" i="3"/>
  <c r="V53" i="3"/>
  <c r="V56" i="3"/>
  <c r="V57" i="3"/>
  <c r="V63" i="3"/>
  <c r="V64" i="3"/>
  <c r="V67" i="3"/>
  <c r="V68" i="3"/>
  <c r="V71" i="3"/>
  <c r="V75" i="3"/>
  <c r="V78" i="3"/>
  <c r="V79" i="3"/>
  <c r="V82" i="3"/>
  <c r="V83" i="3"/>
  <c r="V89" i="3"/>
  <c r="V90" i="3"/>
  <c r="V93" i="3"/>
  <c r="V94" i="3"/>
  <c r="V97" i="3"/>
  <c r="V98" i="3"/>
  <c r="V104" i="3"/>
  <c r="V105" i="3"/>
  <c r="V108" i="3"/>
  <c r="V109" i="3"/>
  <c r="V112" i="3"/>
  <c r="V113" i="3"/>
  <c r="V119" i="3"/>
  <c r="V120" i="3"/>
  <c r="V123" i="3"/>
  <c r="V124" i="3"/>
  <c r="V127" i="3"/>
  <c r="V131" i="3"/>
  <c r="V134" i="3"/>
  <c r="V135" i="3"/>
  <c r="V138" i="3"/>
  <c r="V139" i="3"/>
  <c r="V145" i="3"/>
  <c r="V146" i="3"/>
  <c r="V149" i="3"/>
  <c r="V150" i="3"/>
  <c r="V153" i="3"/>
  <c r="V154" i="3"/>
  <c r="V160" i="3"/>
  <c r="V161" i="3"/>
  <c r="V164" i="3"/>
  <c r="V165" i="3"/>
  <c r="V168" i="3"/>
  <c r="V169" i="3"/>
  <c r="V5" i="3"/>
  <c r="V6" i="3"/>
  <c r="V9" i="3"/>
  <c r="V10" i="3"/>
  <c r="V13" i="3"/>
  <c r="V14" i="3"/>
  <c r="V20" i="3"/>
  <c r="V21" i="3"/>
  <c r="V24" i="3"/>
  <c r="V25" i="3"/>
  <c r="V28" i="3"/>
  <c r="V29" i="3"/>
  <c r="V35" i="3"/>
  <c r="V36" i="3"/>
  <c r="V39" i="3"/>
  <c r="V40" i="3"/>
  <c r="V43" i="3"/>
  <c r="V47" i="3"/>
  <c r="V50" i="3"/>
  <c r="V51" i="3"/>
  <c r="V54" i="3"/>
  <c r="V55" i="3"/>
  <c r="V61" i="3"/>
  <c r="V62" i="3"/>
  <c r="V65" i="3"/>
  <c r="V66" i="3"/>
  <c r="V69" i="3"/>
  <c r="V70" i="3"/>
  <c r="V76" i="3"/>
  <c r="V77" i="3"/>
  <c r="V80" i="3"/>
  <c r="V81" i="3"/>
  <c r="V84" i="3"/>
  <c r="V85" i="3"/>
  <c r="V91" i="3"/>
  <c r="V92" i="3"/>
  <c r="V95" i="3"/>
  <c r="V96" i="3"/>
  <c r="V99" i="3"/>
  <c r="V103" i="3"/>
  <c r="V106" i="3"/>
  <c r="V107" i="3"/>
  <c r="V110" i="3"/>
  <c r="V111" i="3"/>
  <c r="V117" i="3"/>
  <c r="V118" i="3"/>
  <c r="V121" i="3"/>
  <c r="V122" i="3"/>
  <c r="V125" i="3"/>
  <c r="V126" i="3"/>
  <c r="V132" i="3"/>
  <c r="V133" i="3"/>
  <c r="V136" i="3"/>
  <c r="V137" i="3"/>
  <c r="V140" i="3"/>
  <c r="V141" i="3"/>
  <c r="V147" i="3"/>
  <c r="V148" i="3"/>
  <c r="V151" i="3"/>
  <c r="V152" i="3"/>
  <c r="V155" i="3"/>
  <c r="V159" i="3"/>
  <c r="V162" i="3"/>
  <c r="V163" i="3"/>
  <c r="V166" i="3"/>
  <c r="V167" i="3"/>
  <c r="V7" i="2"/>
  <c r="V8" i="2"/>
  <c r="V11" i="2"/>
  <c r="V12" i="2"/>
  <c r="V15" i="2"/>
  <c r="V19" i="2"/>
  <c r="V22" i="2"/>
  <c r="V23" i="2"/>
  <c r="V26" i="2"/>
  <c r="V27" i="2"/>
  <c r="V33" i="2"/>
  <c r="V34" i="2"/>
  <c r="V37" i="2"/>
  <c r="V38" i="2"/>
  <c r="V41" i="2"/>
  <c r="V42" i="2"/>
  <c r="V48" i="2"/>
  <c r="V49" i="2"/>
  <c r="V52" i="2"/>
  <c r="V53" i="2"/>
  <c r="V56" i="2"/>
  <c r="V57" i="2"/>
  <c r="V63" i="2"/>
  <c r="V64" i="2"/>
  <c r="V67" i="2"/>
  <c r="V68" i="2"/>
  <c r="V71" i="2"/>
  <c r="V75" i="2"/>
  <c r="V78" i="2"/>
  <c r="V79" i="2"/>
  <c r="V82" i="2"/>
  <c r="V83" i="2"/>
  <c r="V89" i="2"/>
  <c r="V90" i="2"/>
  <c r="V93" i="2"/>
  <c r="V94" i="2"/>
  <c r="V132" i="2"/>
  <c r="V133" i="2"/>
  <c r="V136" i="2"/>
  <c r="V137" i="2"/>
  <c r="V140" i="2"/>
  <c r="V141" i="2"/>
  <c r="V147" i="2"/>
  <c r="V148" i="2"/>
  <c r="V151" i="2"/>
  <c r="V152" i="2"/>
  <c r="V155" i="2"/>
  <c r="V159" i="2"/>
  <c r="V162" i="2"/>
  <c r="V163" i="2"/>
  <c r="V166" i="2"/>
  <c r="V167" i="2"/>
  <c r="V5" i="2"/>
  <c r="V6" i="2"/>
  <c r="V9" i="2"/>
  <c r="V10" i="2"/>
  <c r="V13" i="2"/>
  <c r="V14" i="2"/>
  <c r="V20" i="2"/>
  <c r="V21" i="2"/>
  <c r="V24" i="2"/>
  <c r="V25" i="2"/>
  <c r="V28" i="2"/>
  <c r="V29" i="2"/>
  <c r="V35" i="2"/>
  <c r="V36" i="2"/>
  <c r="V39" i="2"/>
  <c r="V40" i="2"/>
  <c r="V43" i="2"/>
  <c r="V47" i="2"/>
  <c r="V50" i="2"/>
  <c r="V51" i="2"/>
  <c r="V54" i="2"/>
  <c r="V55" i="2"/>
  <c r="V61" i="2"/>
  <c r="V62" i="2"/>
  <c r="V65" i="2"/>
  <c r="V66" i="2"/>
  <c r="V69" i="2"/>
  <c r="V70" i="2"/>
  <c r="V76" i="2"/>
  <c r="V77" i="2"/>
  <c r="V80" i="2"/>
  <c r="V81" i="2"/>
  <c r="V84" i="2"/>
  <c r="V85" i="2"/>
  <c r="V91" i="2"/>
  <c r="V92" i="2"/>
  <c r="V95" i="2"/>
  <c r="V96" i="2"/>
  <c r="V97" i="2"/>
  <c r="V98" i="2"/>
  <c r="V99" i="2"/>
  <c r="V103" i="2"/>
  <c r="V104" i="2"/>
  <c r="V105" i="2"/>
  <c r="V106" i="2"/>
  <c r="V107" i="2"/>
  <c r="V108" i="2"/>
  <c r="V109" i="2"/>
  <c r="V110" i="2"/>
  <c r="V111" i="2"/>
  <c r="V112" i="2"/>
  <c r="V113" i="2"/>
  <c r="V117" i="2"/>
  <c r="V118" i="2"/>
  <c r="V119" i="2"/>
  <c r="V120" i="2"/>
  <c r="V121" i="2"/>
  <c r="V122" i="2"/>
  <c r="V123" i="2"/>
  <c r="V124" i="2"/>
  <c r="V125" i="2"/>
  <c r="V126" i="2"/>
  <c r="V127" i="2"/>
  <c r="V131" i="2"/>
  <c r="V134" i="2"/>
  <c r="V135" i="2"/>
  <c r="V138" i="2"/>
  <c r="V139" i="2"/>
  <c r="V145" i="2"/>
  <c r="V146" i="2"/>
  <c r="V149" i="2"/>
  <c r="V150" i="2"/>
  <c r="V153" i="2"/>
  <c r="V154" i="2"/>
  <c r="V160" i="2"/>
  <c r="V161" i="2"/>
  <c r="V164" i="2"/>
  <c r="V165" i="2"/>
  <c r="V168" i="2"/>
  <c r="V169" i="2"/>
  <c r="V13" i="1"/>
  <c r="V24" i="1"/>
  <c r="V36" i="1"/>
  <c r="V47" i="1"/>
  <c r="V55" i="1"/>
  <c r="V66" i="1"/>
  <c r="V77" i="1"/>
  <c r="V9" i="1"/>
  <c r="V20" i="1"/>
  <c r="V28" i="1"/>
  <c r="V40" i="1"/>
  <c r="V51" i="1"/>
  <c r="V62" i="1"/>
  <c r="V70" i="1"/>
  <c r="V81" i="1"/>
  <c r="V5" i="1"/>
  <c r="V7" i="1"/>
  <c r="V8" i="1"/>
  <c r="V11" i="1"/>
  <c r="V12" i="1"/>
  <c r="V15" i="1"/>
  <c r="V19" i="1"/>
  <c r="V22" i="1"/>
  <c r="V23" i="1"/>
  <c r="V26" i="1"/>
  <c r="V27" i="1"/>
  <c r="V33" i="1"/>
  <c r="V34" i="1"/>
  <c r="V35" i="1"/>
  <c r="V38" i="1"/>
  <c r="V39" i="1"/>
  <c r="V42" i="1"/>
  <c r="V43" i="1"/>
  <c r="V49" i="1"/>
  <c r="V50" i="1"/>
  <c r="V53" i="1"/>
  <c r="V54" i="1"/>
  <c r="V57" i="1"/>
  <c r="V61" i="1"/>
  <c r="V64" i="1"/>
  <c r="V65" i="1"/>
  <c r="V68" i="1"/>
  <c r="V69" i="1"/>
  <c r="V75" i="1"/>
  <c r="V76" i="1"/>
  <c r="V79" i="1"/>
  <c r="V80" i="1"/>
  <c r="V83" i="1"/>
  <c r="V89" i="1"/>
  <c r="V92" i="1"/>
  <c r="V94" i="1"/>
  <c r="V97" i="1"/>
  <c r="V103" i="1"/>
  <c r="V105" i="1"/>
  <c r="V108" i="1"/>
  <c r="V132" i="1"/>
  <c r="V140" i="1"/>
  <c r="V151" i="1"/>
  <c r="V162" i="1"/>
  <c r="V6" i="1"/>
  <c r="V10" i="1"/>
  <c r="V14" i="1"/>
  <c r="V21" i="1"/>
  <c r="V25" i="1"/>
  <c r="V29" i="1"/>
  <c r="V37" i="1"/>
  <c r="V41" i="1"/>
  <c r="V48" i="1"/>
  <c r="V52" i="1"/>
  <c r="V56" i="1"/>
  <c r="V63" i="1"/>
  <c r="V67" i="1"/>
  <c r="V71" i="1"/>
  <c r="V78" i="1"/>
  <c r="V82" i="1"/>
  <c r="V85" i="1"/>
  <c r="V90" i="1"/>
  <c r="V93" i="1"/>
  <c r="V96" i="1"/>
  <c r="V98" i="1"/>
  <c r="V104" i="1"/>
  <c r="V107" i="1"/>
  <c r="V136" i="1"/>
  <c r="V147" i="1"/>
  <c r="V155" i="1"/>
  <c r="V166" i="1"/>
  <c r="V109" i="1"/>
  <c r="V110" i="1"/>
  <c r="V111" i="1"/>
  <c r="V112" i="1"/>
  <c r="V113" i="1"/>
  <c r="V117" i="1"/>
  <c r="V118" i="1"/>
  <c r="V119" i="1"/>
  <c r="V120" i="1"/>
  <c r="V121" i="1"/>
  <c r="V122" i="1"/>
  <c r="V123" i="1"/>
  <c r="V124" i="1"/>
  <c r="V125" i="1"/>
  <c r="V126" i="1"/>
  <c r="V127" i="1"/>
  <c r="V131" i="1"/>
  <c r="V134" i="1"/>
  <c r="V135" i="1"/>
  <c r="V138" i="1"/>
  <c r="V139" i="1"/>
  <c r="V145" i="1"/>
  <c r="V146" i="1"/>
  <c r="V149" i="1"/>
  <c r="V150" i="1"/>
  <c r="V153" i="1"/>
  <c r="V154" i="1"/>
  <c r="V160" i="1"/>
  <c r="V161" i="1"/>
  <c r="V164" i="1"/>
  <c r="V165" i="1"/>
  <c r="V168" i="1"/>
  <c r="V169" i="1"/>
  <c r="V84" i="1"/>
  <c r="V91" i="1"/>
  <c r="V95" i="1"/>
  <c r="V99" i="1"/>
  <c r="V106" i="1"/>
  <c r="V133" i="1"/>
  <c r="V137" i="1"/>
  <c r="V141" i="1"/>
  <c r="V148" i="1"/>
  <c r="V152" i="1"/>
  <c r="V159" i="1"/>
  <c r="V163" i="1"/>
  <c r="V167" i="1"/>
  <c r="S103" i="11"/>
  <c r="BO14" i="11" s="1"/>
  <c r="S104" i="11"/>
  <c r="BO15" i="11" s="1"/>
  <c r="S107" i="11"/>
  <c r="BO18" i="11" s="1"/>
  <c r="S108" i="11"/>
  <c r="BO19" i="11" s="1"/>
  <c r="S111" i="11"/>
  <c r="S112" i="11"/>
  <c r="S118" i="11"/>
  <c r="BU15" i="11" s="1"/>
  <c r="S123" i="11"/>
  <c r="S126" i="11"/>
  <c r="S127" i="11"/>
  <c r="S105" i="11"/>
  <c r="BO16" i="11" s="1"/>
  <c r="S106" i="11"/>
  <c r="BO17" i="11" s="1"/>
  <c r="S109" i="11"/>
  <c r="BO20" i="11" s="1"/>
  <c r="S110" i="11"/>
  <c r="S113" i="11"/>
  <c r="S117" i="11"/>
  <c r="BU14" i="11" s="1"/>
  <c r="S120" i="11"/>
  <c r="BU17" i="11" s="1"/>
  <c r="S121" i="11"/>
  <c r="BU18" i="11" s="1"/>
  <c r="S124" i="11"/>
  <c r="S125" i="11"/>
  <c r="S117" i="21"/>
  <c r="BU14" i="21" s="1"/>
  <c r="S103" i="21"/>
  <c r="BO14" i="21" s="1"/>
  <c r="S118" i="21"/>
  <c r="BU15" i="21" s="1"/>
  <c r="T125" i="11" l="1"/>
  <c r="U125" i="11"/>
  <c r="T121" i="11"/>
  <c r="BV18" i="11" s="1"/>
  <c r="U121" i="11"/>
  <c r="BW18" i="11" s="1"/>
  <c r="T117" i="11"/>
  <c r="BV14" i="11" s="1"/>
  <c r="U117" i="11"/>
  <c r="BW14" i="11" s="1"/>
  <c r="T110" i="11"/>
  <c r="U110" i="11"/>
  <c r="T106" i="11"/>
  <c r="BP17" i="11" s="1"/>
  <c r="U106" i="11"/>
  <c r="BQ17" i="11" s="1"/>
  <c r="T127" i="11"/>
  <c r="U127" i="11"/>
  <c r="T123" i="11"/>
  <c r="U123" i="11"/>
  <c r="T119" i="11"/>
  <c r="BV16" i="11" s="1"/>
  <c r="U119" i="11"/>
  <c r="BW16" i="11" s="1"/>
  <c r="T112" i="11"/>
  <c r="U112" i="11"/>
  <c r="T108" i="11"/>
  <c r="BP19" i="11" s="1"/>
  <c r="U108" i="11"/>
  <c r="BQ19" i="11" s="1"/>
  <c r="T104" i="11"/>
  <c r="BP15" i="11" s="1"/>
  <c r="U104" i="11"/>
  <c r="BQ15" i="11" s="1"/>
  <c r="U124" i="11"/>
  <c r="T124" i="11"/>
  <c r="U120" i="11"/>
  <c r="BW17" i="11" s="1"/>
  <c r="T120" i="11"/>
  <c r="BV17" i="11" s="1"/>
  <c r="U113" i="11"/>
  <c r="T113" i="11"/>
  <c r="U109" i="11"/>
  <c r="BQ20" i="11" s="1"/>
  <c r="T109" i="11"/>
  <c r="BP20" i="11" s="1"/>
  <c r="U105" i="11"/>
  <c r="BQ16" i="11" s="1"/>
  <c r="T105" i="11"/>
  <c r="BP16" i="11" s="1"/>
  <c r="U126" i="11"/>
  <c r="T126" i="11"/>
  <c r="U122" i="11"/>
  <c r="BW19" i="11" s="1"/>
  <c r="T122" i="11"/>
  <c r="BV19" i="11" s="1"/>
  <c r="U118" i="11"/>
  <c r="BW15" i="11" s="1"/>
  <c r="T118" i="11"/>
  <c r="BV15" i="11" s="1"/>
  <c r="U111" i="11"/>
  <c r="T111" i="11"/>
  <c r="U107" i="11"/>
  <c r="BQ18" i="11" s="1"/>
  <c r="T107" i="11"/>
  <c r="BP18" i="11" s="1"/>
  <c r="U103" i="11"/>
  <c r="BQ14" i="11" s="1"/>
  <c r="T103" i="11"/>
  <c r="BP14" i="11" s="1"/>
  <c r="U118" i="21"/>
  <c r="BW15" i="21" s="1"/>
  <c r="T118" i="21"/>
  <c r="BV15" i="21" s="1"/>
  <c r="U103" i="21"/>
  <c r="BQ14" i="21" s="1"/>
  <c r="T103" i="21"/>
  <c r="BP14" i="21" s="1"/>
  <c r="T117" i="21"/>
  <c r="BV14" i="21" s="1"/>
  <c r="U117" i="21"/>
  <c r="BW14" i="21" s="1"/>
  <c r="F84" i="12" l="1"/>
  <c r="R127" i="21" l="1"/>
  <c r="R126" i="21"/>
  <c r="BY23" i="21" s="1"/>
  <c r="R125" i="21"/>
  <c r="BY22" i="21" s="1"/>
  <c r="Q125" i="21"/>
  <c r="S125" i="21" s="1"/>
  <c r="BU22" i="21" s="1"/>
  <c r="R124" i="21"/>
  <c r="BY21" i="21" s="1"/>
  <c r="R123" i="21"/>
  <c r="BY20" i="21" s="1"/>
  <c r="Q123" i="21"/>
  <c r="S123" i="21" s="1"/>
  <c r="BU20" i="21" s="1"/>
  <c r="R122" i="21"/>
  <c r="BY19" i="21" s="1"/>
  <c r="R121" i="21"/>
  <c r="BY18" i="21" s="1"/>
  <c r="Q121" i="21"/>
  <c r="S121" i="21" s="1"/>
  <c r="BU18" i="21" s="1"/>
  <c r="R120" i="21"/>
  <c r="BY17" i="21" s="1"/>
  <c r="R119" i="21"/>
  <c r="BY16" i="21" s="1"/>
  <c r="Q119" i="21"/>
  <c r="S119" i="21" s="1"/>
  <c r="BU16" i="21" s="1"/>
  <c r="R113" i="21"/>
  <c r="BS24" i="21" s="1"/>
  <c r="R112" i="21"/>
  <c r="BS23" i="21" s="1"/>
  <c r="R111" i="21"/>
  <c r="BS22" i="21" s="1"/>
  <c r="R110" i="21"/>
  <c r="BS21" i="21" s="1"/>
  <c r="R109" i="21"/>
  <c r="BS20" i="21" s="1"/>
  <c r="R108" i="21"/>
  <c r="BS19" i="21" s="1"/>
  <c r="R107" i="21"/>
  <c r="BS18" i="21" s="1"/>
  <c r="R106" i="21"/>
  <c r="BS17" i="21" s="1"/>
  <c r="R105" i="21"/>
  <c r="BS16" i="21" s="1"/>
  <c r="R104" i="21"/>
  <c r="BS15" i="21" s="1"/>
  <c r="I99" i="21"/>
  <c r="G99" i="21"/>
  <c r="F99" i="21"/>
  <c r="H99" i="21" s="1"/>
  <c r="Q99" i="21" s="1"/>
  <c r="S99" i="21" s="1"/>
  <c r="BI24" i="21" s="1"/>
  <c r="I98" i="21"/>
  <c r="G98" i="21"/>
  <c r="F98" i="21"/>
  <c r="I97" i="21"/>
  <c r="G97" i="21"/>
  <c r="F97" i="21"/>
  <c r="I96" i="21"/>
  <c r="G96" i="21"/>
  <c r="F96" i="21"/>
  <c r="I95" i="21"/>
  <c r="G95" i="21"/>
  <c r="F95" i="21"/>
  <c r="H95" i="21" s="1"/>
  <c r="Q95" i="21" s="1"/>
  <c r="S95" i="21" s="1"/>
  <c r="BI20" i="21" s="1"/>
  <c r="I94" i="21"/>
  <c r="G94" i="21"/>
  <c r="F94" i="21"/>
  <c r="I93" i="21"/>
  <c r="G93" i="21"/>
  <c r="F93" i="21"/>
  <c r="H93" i="21" s="1"/>
  <c r="Q93" i="21" s="1"/>
  <c r="S93" i="21" s="1"/>
  <c r="BI18" i="21" s="1"/>
  <c r="I92" i="21"/>
  <c r="G92" i="21"/>
  <c r="F92" i="21"/>
  <c r="I91" i="21"/>
  <c r="G91" i="21"/>
  <c r="F91" i="21"/>
  <c r="H91" i="21" s="1"/>
  <c r="Q91" i="21" s="1"/>
  <c r="S91" i="21" s="1"/>
  <c r="BI16" i="21" s="1"/>
  <c r="I90" i="21"/>
  <c r="G90" i="21"/>
  <c r="F90" i="21"/>
  <c r="I89" i="21"/>
  <c r="G89" i="21"/>
  <c r="F89" i="21"/>
  <c r="I85" i="21"/>
  <c r="G85" i="21"/>
  <c r="F85" i="21"/>
  <c r="I84" i="21"/>
  <c r="G84" i="21"/>
  <c r="F84" i="21"/>
  <c r="I83" i="21"/>
  <c r="G83" i="21"/>
  <c r="F83" i="21"/>
  <c r="I82" i="21"/>
  <c r="G82" i="21"/>
  <c r="F82" i="21"/>
  <c r="H82" i="21" s="1"/>
  <c r="Q82" i="21" s="1"/>
  <c r="S82" i="21" s="1"/>
  <c r="BC21" i="21" s="1"/>
  <c r="I81" i="21"/>
  <c r="G81" i="21"/>
  <c r="F81" i="21"/>
  <c r="I80" i="21"/>
  <c r="G80" i="21"/>
  <c r="F80" i="21"/>
  <c r="H80" i="21" s="1"/>
  <c r="Q80" i="21" s="1"/>
  <c r="S80" i="21" s="1"/>
  <c r="BC19" i="21" s="1"/>
  <c r="I79" i="21"/>
  <c r="G79" i="21"/>
  <c r="F79" i="21"/>
  <c r="I78" i="21"/>
  <c r="G78" i="21"/>
  <c r="F78" i="21"/>
  <c r="I77" i="21"/>
  <c r="G77" i="21"/>
  <c r="F77" i="21"/>
  <c r="I76" i="21"/>
  <c r="G76" i="21"/>
  <c r="F76" i="21"/>
  <c r="H76" i="21" s="1"/>
  <c r="Q76" i="21" s="1"/>
  <c r="S76" i="21" s="1"/>
  <c r="BC15" i="21" s="1"/>
  <c r="I75" i="21"/>
  <c r="G75" i="21"/>
  <c r="F75" i="21"/>
  <c r="I71" i="21"/>
  <c r="G71" i="21"/>
  <c r="F71" i="21"/>
  <c r="H71" i="21" s="1"/>
  <c r="Q71" i="21" s="1"/>
  <c r="S71" i="21" s="1"/>
  <c r="AW24" i="21" s="1"/>
  <c r="I70" i="21"/>
  <c r="G70" i="21"/>
  <c r="F70" i="21"/>
  <c r="I69" i="21"/>
  <c r="G69" i="21"/>
  <c r="F69" i="21"/>
  <c r="I68" i="21"/>
  <c r="G68" i="21"/>
  <c r="F68" i="21"/>
  <c r="I67" i="21"/>
  <c r="G67" i="21"/>
  <c r="F67" i="21"/>
  <c r="I66" i="21"/>
  <c r="G66" i="21"/>
  <c r="F66" i="21"/>
  <c r="I65" i="21"/>
  <c r="G65" i="21"/>
  <c r="F65" i="21"/>
  <c r="I64" i="21"/>
  <c r="G64" i="21"/>
  <c r="F64" i="21"/>
  <c r="I63" i="21"/>
  <c r="G63" i="21"/>
  <c r="F63" i="21"/>
  <c r="I62" i="21"/>
  <c r="G62" i="21"/>
  <c r="F62" i="21"/>
  <c r="I61" i="21"/>
  <c r="G61" i="21"/>
  <c r="F61" i="21"/>
  <c r="I57" i="21"/>
  <c r="G57" i="21"/>
  <c r="F57" i="21"/>
  <c r="I56" i="21"/>
  <c r="G56" i="21"/>
  <c r="F56" i="21"/>
  <c r="I55" i="21"/>
  <c r="G55" i="21"/>
  <c r="F55" i="21"/>
  <c r="I54" i="21"/>
  <c r="G54" i="21"/>
  <c r="F54" i="21"/>
  <c r="I53" i="21"/>
  <c r="G53" i="21"/>
  <c r="F53" i="21"/>
  <c r="I52" i="21"/>
  <c r="G52" i="21"/>
  <c r="F52" i="21"/>
  <c r="H52" i="21" s="1"/>
  <c r="Q52" i="21" s="1"/>
  <c r="S52" i="21" s="1"/>
  <c r="AQ19" i="21" s="1"/>
  <c r="I51" i="21"/>
  <c r="G51" i="21"/>
  <c r="F51" i="21"/>
  <c r="I50" i="21"/>
  <c r="G50" i="21"/>
  <c r="F50" i="21"/>
  <c r="H50" i="21" s="1"/>
  <c r="Q50" i="21" s="1"/>
  <c r="S50" i="21" s="1"/>
  <c r="AQ17" i="21" s="1"/>
  <c r="I49" i="21"/>
  <c r="G49" i="21"/>
  <c r="F49" i="21"/>
  <c r="I48" i="21"/>
  <c r="G48" i="21"/>
  <c r="F48" i="21"/>
  <c r="H48" i="21" s="1"/>
  <c r="Q48" i="21" s="1"/>
  <c r="S48" i="21" s="1"/>
  <c r="AQ15" i="21" s="1"/>
  <c r="I47" i="21"/>
  <c r="G47" i="21"/>
  <c r="F47" i="21"/>
  <c r="I43" i="21"/>
  <c r="G43" i="21"/>
  <c r="F43" i="21"/>
  <c r="I42" i="21"/>
  <c r="G42" i="21"/>
  <c r="F42" i="21"/>
  <c r="I41" i="21"/>
  <c r="G41" i="21"/>
  <c r="F41" i="21"/>
  <c r="I40" i="21"/>
  <c r="G40" i="21"/>
  <c r="F40" i="21"/>
  <c r="I39" i="21"/>
  <c r="G39" i="21"/>
  <c r="F39" i="21"/>
  <c r="I38" i="21"/>
  <c r="G38" i="21"/>
  <c r="F38" i="21"/>
  <c r="I37" i="21"/>
  <c r="G37" i="21"/>
  <c r="F37" i="21"/>
  <c r="I36" i="21"/>
  <c r="G36" i="21"/>
  <c r="F36" i="21"/>
  <c r="I35" i="21"/>
  <c r="G35" i="21"/>
  <c r="F35" i="21"/>
  <c r="I34" i="21"/>
  <c r="G34" i="21"/>
  <c r="F34" i="21"/>
  <c r="I33" i="21"/>
  <c r="G33" i="21"/>
  <c r="F33" i="21"/>
  <c r="I29" i="21"/>
  <c r="G29" i="21"/>
  <c r="F29" i="21"/>
  <c r="I28" i="21"/>
  <c r="G28" i="21"/>
  <c r="F28" i="21"/>
  <c r="I27" i="21"/>
  <c r="G27" i="21"/>
  <c r="F27" i="21"/>
  <c r="I26" i="21"/>
  <c r="G26" i="21"/>
  <c r="F26" i="21"/>
  <c r="I25" i="21"/>
  <c r="G25" i="21"/>
  <c r="F25" i="21"/>
  <c r="I24" i="21"/>
  <c r="G24" i="21"/>
  <c r="F24" i="21"/>
  <c r="I23" i="21"/>
  <c r="G23" i="21"/>
  <c r="F23" i="21"/>
  <c r="I22" i="21"/>
  <c r="G22" i="21"/>
  <c r="F22" i="21"/>
  <c r="I21" i="21"/>
  <c r="G21" i="21"/>
  <c r="F21" i="21"/>
  <c r="I20" i="21"/>
  <c r="G20" i="21"/>
  <c r="F20" i="21"/>
  <c r="I19" i="21"/>
  <c r="G19" i="21"/>
  <c r="F19" i="21"/>
  <c r="I15" i="21"/>
  <c r="G15" i="21"/>
  <c r="F15" i="21"/>
  <c r="H15" i="21" s="1"/>
  <c r="Q15" i="21" s="1"/>
  <c r="S15" i="21" s="1"/>
  <c r="Y24" i="21" s="1"/>
  <c r="I14" i="21"/>
  <c r="G14" i="21"/>
  <c r="F14" i="21"/>
  <c r="I13" i="21"/>
  <c r="G13" i="21"/>
  <c r="F13" i="21"/>
  <c r="I12" i="21"/>
  <c r="G12" i="21"/>
  <c r="F12" i="21"/>
  <c r="I11" i="21"/>
  <c r="G11" i="21"/>
  <c r="F11" i="21"/>
  <c r="I10" i="21"/>
  <c r="G10" i="21"/>
  <c r="F10" i="21"/>
  <c r="I9" i="21"/>
  <c r="G9" i="21"/>
  <c r="F9" i="21"/>
  <c r="I8" i="21"/>
  <c r="G8" i="21"/>
  <c r="F8" i="21"/>
  <c r="I7" i="21"/>
  <c r="G7" i="21"/>
  <c r="F7" i="21"/>
  <c r="I6" i="21"/>
  <c r="G6" i="21"/>
  <c r="F6" i="21"/>
  <c r="I5" i="21"/>
  <c r="G5" i="21"/>
  <c r="F5" i="21"/>
  <c r="I169" i="20"/>
  <c r="R169" i="20" s="1"/>
  <c r="G169" i="20"/>
  <c r="F169" i="20"/>
  <c r="I168" i="20"/>
  <c r="R168" i="20" s="1"/>
  <c r="G168" i="20"/>
  <c r="F168" i="20"/>
  <c r="H168" i="20" s="1"/>
  <c r="Q168" i="20" s="1"/>
  <c r="S168" i="20" s="1"/>
  <c r="I167" i="20"/>
  <c r="R167" i="20" s="1"/>
  <c r="G167" i="20"/>
  <c r="F167" i="20"/>
  <c r="I166" i="20"/>
  <c r="R166" i="20" s="1"/>
  <c r="G166" i="20"/>
  <c r="F166" i="20"/>
  <c r="I165" i="20"/>
  <c r="R165" i="20" s="1"/>
  <c r="G165" i="20"/>
  <c r="F165" i="20"/>
  <c r="I164" i="20"/>
  <c r="R164" i="20" s="1"/>
  <c r="G164" i="20"/>
  <c r="F164" i="20"/>
  <c r="H164" i="20" s="1"/>
  <c r="Q164" i="20" s="1"/>
  <c r="S164" i="20" s="1"/>
  <c r="I163" i="20"/>
  <c r="R163" i="20" s="1"/>
  <c r="G163" i="20"/>
  <c r="F163" i="20"/>
  <c r="I162" i="20"/>
  <c r="G162" i="20"/>
  <c r="F162" i="20"/>
  <c r="H162" i="20" s="1"/>
  <c r="Q162" i="20" s="1"/>
  <c r="S162" i="20" s="1"/>
  <c r="I161" i="20"/>
  <c r="G161" i="20"/>
  <c r="F161" i="20"/>
  <c r="I160" i="20"/>
  <c r="G160" i="20"/>
  <c r="F160" i="20"/>
  <c r="H160" i="20" s="1"/>
  <c r="Q160" i="20" s="1"/>
  <c r="S160" i="20" s="1"/>
  <c r="I159" i="20"/>
  <c r="G159" i="20"/>
  <c r="F159" i="20"/>
  <c r="I155" i="20"/>
  <c r="R155" i="20" s="1"/>
  <c r="G155" i="20"/>
  <c r="F155" i="20"/>
  <c r="H155" i="20" s="1"/>
  <c r="Q155" i="20" s="1"/>
  <c r="S155" i="20" s="1"/>
  <c r="I154" i="20"/>
  <c r="R154" i="20" s="1"/>
  <c r="G154" i="20"/>
  <c r="F154" i="20"/>
  <c r="I153" i="20"/>
  <c r="R153" i="20" s="1"/>
  <c r="G153" i="20"/>
  <c r="F153" i="20"/>
  <c r="H153" i="20" s="1"/>
  <c r="Q153" i="20" s="1"/>
  <c r="S153" i="20" s="1"/>
  <c r="I152" i="20"/>
  <c r="R152" i="20" s="1"/>
  <c r="G152" i="20"/>
  <c r="F152" i="20"/>
  <c r="I151" i="20"/>
  <c r="R151" i="20" s="1"/>
  <c r="G151" i="20"/>
  <c r="F151" i="20"/>
  <c r="I150" i="20"/>
  <c r="R150" i="20" s="1"/>
  <c r="G150" i="20"/>
  <c r="F150" i="20"/>
  <c r="I149" i="20"/>
  <c r="G149" i="20"/>
  <c r="F149" i="20"/>
  <c r="H149" i="20" s="1"/>
  <c r="Q149" i="20" s="1"/>
  <c r="S149" i="20" s="1"/>
  <c r="I148" i="20"/>
  <c r="G148" i="20"/>
  <c r="F148" i="20"/>
  <c r="I147" i="20"/>
  <c r="G147" i="20"/>
  <c r="F147" i="20"/>
  <c r="I146" i="20"/>
  <c r="G146" i="20"/>
  <c r="F146" i="20"/>
  <c r="I145" i="20"/>
  <c r="G145" i="20"/>
  <c r="F145" i="20"/>
  <c r="H145" i="20" s="1"/>
  <c r="Q145" i="20" s="1"/>
  <c r="S145" i="20" s="1"/>
  <c r="I141" i="20"/>
  <c r="R141" i="20" s="1"/>
  <c r="G141" i="20"/>
  <c r="F141" i="20"/>
  <c r="I140" i="20"/>
  <c r="R140" i="20" s="1"/>
  <c r="G140" i="20"/>
  <c r="F140" i="20"/>
  <c r="I139" i="20"/>
  <c r="R139" i="20" s="1"/>
  <c r="G139" i="20"/>
  <c r="F139" i="20"/>
  <c r="I138" i="20"/>
  <c r="R138" i="20" s="1"/>
  <c r="G138" i="20"/>
  <c r="F138" i="20"/>
  <c r="I137" i="20"/>
  <c r="R137" i="20" s="1"/>
  <c r="G137" i="20"/>
  <c r="F137" i="20"/>
  <c r="I136" i="20"/>
  <c r="R136" i="20" s="1"/>
  <c r="G136" i="20"/>
  <c r="F136" i="20"/>
  <c r="I135" i="20"/>
  <c r="G135" i="20"/>
  <c r="F135" i="20"/>
  <c r="I134" i="20"/>
  <c r="G134" i="20"/>
  <c r="F134" i="20"/>
  <c r="H134" i="20" s="1"/>
  <c r="Q134" i="20" s="1"/>
  <c r="S134" i="20" s="1"/>
  <c r="I133" i="20"/>
  <c r="G133" i="20"/>
  <c r="F133" i="20"/>
  <c r="I132" i="20"/>
  <c r="G132" i="20"/>
  <c r="F132" i="20"/>
  <c r="I131" i="20"/>
  <c r="G131" i="20"/>
  <c r="F131" i="20"/>
  <c r="I127" i="20"/>
  <c r="R127" i="20" s="1"/>
  <c r="G127" i="20"/>
  <c r="F127" i="20"/>
  <c r="H127" i="20" s="1"/>
  <c r="Q127" i="20" s="1"/>
  <c r="S127" i="20" s="1"/>
  <c r="I126" i="20"/>
  <c r="R126" i="20" s="1"/>
  <c r="G126" i="20"/>
  <c r="F126" i="20"/>
  <c r="I125" i="20"/>
  <c r="R125" i="20" s="1"/>
  <c r="G125" i="20"/>
  <c r="F125" i="20"/>
  <c r="I124" i="20"/>
  <c r="R124" i="20" s="1"/>
  <c r="G124" i="20"/>
  <c r="F124" i="20"/>
  <c r="I123" i="20"/>
  <c r="R123" i="20" s="1"/>
  <c r="G123" i="20"/>
  <c r="F123" i="20"/>
  <c r="H123" i="20" s="1"/>
  <c r="Q123" i="20" s="1"/>
  <c r="S123" i="20" s="1"/>
  <c r="I122" i="20"/>
  <c r="R122" i="20" s="1"/>
  <c r="G122" i="20"/>
  <c r="F122" i="20"/>
  <c r="I121" i="20"/>
  <c r="R121" i="20" s="1"/>
  <c r="G121" i="20"/>
  <c r="F121" i="20"/>
  <c r="I120" i="20"/>
  <c r="G120" i="20"/>
  <c r="F120" i="20"/>
  <c r="I119" i="20"/>
  <c r="G119" i="20"/>
  <c r="F119" i="20"/>
  <c r="I118" i="20"/>
  <c r="G118" i="20"/>
  <c r="F118" i="20"/>
  <c r="I117" i="20"/>
  <c r="G117" i="20"/>
  <c r="F117" i="20"/>
  <c r="I113" i="20"/>
  <c r="R113" i="20" s="1"/>
  <c r="G113" i="20"/>
  <c r="F113" i="20"/>
  <c r="I112" i="20"/>
  <c r="R112" i="20" s="1"/>
  <c r="G112" i="20"/>
  <c r="F112" i="20"/>
  <c r="I111" i="20"/>
  <c r="R111" i="20" s="1"/>
  <c r="G111" i="20"/>
  <c r="F111" i="20"/>
  <c r="I110" i="20"/>
  <c r="R110" i="20" s="1"/>
  <c r="G110" i="20"/>
  <c r="F110" i="20"/>
  <c r="H110" i="20" s="1"/>
  <c r="Q110" i="20" s="1"/>
  <c r="S110" i="20" s="1"/>
  <c r="I109" i="20"/>
  <c r="R109" i="20" s="1"/>
  <c r="G109" i="20"/>
  <c r="F109" i="20"/>
  <c r="I108" i="20"/>
  <c r="R108" i="20" s="1"/>
  <c r="G108" i="20"/>
  <c r="F108" i="20"/>
  <c r="I107" i="20"/>
  <c r="R107" i="20" s="1"/>
  <c r="G107" i="20"/>
  <c r="F107" i="20"/>
  <c r="I106" i="20"/>
  <c r="G106" i="20"/>
  <c r="F106" i="20"/>
  <c r="H106" i="20" s="1"/>
  <c r="Q106" i="20" s="1"/>
  <c r="S106" i="20" s="1"/>
  <c r="I105" i="20"/>
  <c r="G105" i="20"/>
  <c r="F105" i="20"/>
  <c r="I104" i="20"/>
  <c r="G104" i="20"/>
  <c r="F104" i="20"/>
  <c r="H104" i="20" s="1"/>
  <c r="Q104" i="20" s="1"/>
  <c r="S104" i="20" s="1"/>
  <c r="I103" i="20"/>
  <c r="G103" i="20"/>
  <c r="F103" i="20"/>
  <c r="I99" i="20"/>
  <c r="R99" i="20" s="1"/>
  <c r="G99" i="20"/>
  <c r="F99" i="20"/>
  <c r="I98" i="20"/>
  <c r="R98" i="20" s="1"/>
  <c r="G98" i="20"/>
  <c r="F98" i="20"/>
  <c r="I97" i="20"/>
  <c r="R97" i="20" s="1"/>
  <c r="G97" i="20"/>
  <c r="F97" i="20"/>
  <c r="H97" i="20" s="1"/>
  <c r="Q97" i="20" s="1"/>
  <c r="S97" i="20" s="1"/>
  <c r="I96" i="20"/>
  <c r="R96" i="20" s="1"/>
  <c r="G96" i="20"/>
  <c r="F96" i="20"/>
  <c r="I95" i="20"/>
  <c r="R95" i="20" s="1"/>
  <c r="G95" i="20"/>
  <c r="F95" i="20"/>
  <c r="I94" i="20"/>
  <c r="R94" i="20" s="1"/>
  <c r="G94" i="20"/>
  <c r="F94" i="20"/>
  <c r="I93" i="20"/>
  <c r="R93" i="20" s="1"/>
  <c r="G93" i="20"/>
  <c r="F93" i="20"/>
  <c r="H93" i="20" s="1"/>
  <c r="Q93" i="20" s="1"/>
  <c r="S93" i="20" s="1"/>
  <c r="I92" i="20"/>
  <c r="G92" i="20"/>
  <c r="F92" i="20"/>
  <c r="I91" i="20"/>
  <c r="G91" i="20"/>
  <c r="F91" i="20"/>
  <c r="H91" i="20" s="1"/>
  <c r="Q91" i="20" s="1"/>
  <c r="S91" i="20" s="1"/>
  <c r="I90" i="20"/>
  <c r="G90" i="20"/>
  <c r="F90" i="20"/>
  <c r="I89" i="20"/>
  <c r="G89" i="20"/>
  <c r="F89" i="20"/>
  <c r="H89" i="20" s="1"/>
  <c r="Q89" i="20" s="1"/>
  <c r="S89" i="20" s="1"/>
  <c r="I85" i="20"/>
  <c r="R85" i="20" s="1"/>
  <c r="G85" i="20"/>
  <c r="F85" i="20"/>
  <c r="I84" i="20"/>
  <c r="R84" i="20" s="1"/>
  <c r="G84" i="20"/>
  <c r="F84" i="20"/>
  <c r="H84" i="20" s="1"/>
  <c r="Q84" i="20" s="1"/>
  <c r="S84" i="20" s="1"/>
  <c r="I83" i="20"/>
  <c r="R83" i="20" s="1"/>
  <c r="G83" i="20"/>
  <c r="F83" i="20"/>
  <c r="I82" i="20"/>
  <c r="R82" i="20" s="1"/>
  <c r="G82" i="20"/>
  <c r="F82" i="20"/>
  <c r="H82" i="20" s="1"/>
  <c r="Q82" i="20" s="1"/>
  <c r="S82" i="20" s="1"/>
  <c r="I81" i="20"/>
  <c r="R81" i="20" s="1"/>
  <c r="G81" i="20"/>
  <c r="F81" i="20"/>
  <c r="I80" i="20"/>
  <c r="R80" i="20" s="1"/>
  <c r="G80" i="20"/>
  <c r="F80" i="20"/>
  <c r="H80" i="20" s="1"/>
  <c r="Q80" i="20" s="1"/>
  <c r="S80" i="20" s="1"/>
  <c r="I79" i="20"/>
  <c r="R79" i="20" s="1"/>
  <c r="G79" i="20"/>
  <c r="F79" i="20"/>
  <c r="I78" i="20"/>
  <c r="G78" i="20"/>
  <c r="F78" i="20"/>
  <c r="H78" i="20" s="1"/>
  <c r="Q78" i="20" s="1"/>
  <c r="S78" i="20" s="1"/>
  <c r="I77" i="20"/>
  <c r="G77" i="20"/>
  <c r="F77" i="20"/>
  <c r="I76" i="20"/>
  <c r="G76" i="20"/>
  <c r="F76" i="20"/>
  <c r="H76" i="20" s="1"/>
  <c r="Q76" i="20" s="1"/>
  <c r="S76" i="20" s="1"/>
  <c r="I75" i="20"/>
  <c r="G75" i="20"/>
  <c r="F75" i="20"/>
  <c r="I71" i="20"/>
  <c r="R71" i="20" s="1"/>
  <c r="G71" i="20"/>
  <c r="F71" i="20"/>
  <c r="H71" i="20" s="1"/>
  <c r="Q71" i="20" s="1"/>
  <c r="S71" i="20" s="1"/>
  <c r="I70" i="20"/>
  <c r="R70" i="20" s="1"/>
  <c r="G70" i="20"/>
  <c r="F70" i="20"/>
  <c r="I69" i="20"/>
  <c r="R69" i="20" s="1"/>
  <c r="G69" i="20"/>
  <c r="F69" i="20"/>
  <c r="I68" i="20"/>
  <c r="R68" i="20" s="1"/>
  <c r="G68" i="20"/>
  <c r="F68" i="20"/>
  <c r="I67" i="20"/>
  <c r="R67" i="20" s="1"/>
  <c r="G67" i="20"/>
  <c r="F67" i="20"/>
  <c r="H67" i="20" s="1"/>
  <c r="Q67" i="20" s="1"/>
  <c r="S67" i="20" s="1"/>
  <c r="I66" i="20"/>
  <c r="R66" i="20" s="1"/>
  <c r="G66" i="20"/>
  <c r="F66" i="20"/>
  <c r="I65" i="20"/>
  <c r="R65" i="20" s="1"/>
  <c r="G65" i="20"/>
  <c r="F65" i="20"/>
  <c r="I64" i="20"/>
  <c r="G64" i="20"/>
  <c r="F64" i="20"/>
  <c r="I63" i="20"/>
  <c r="G63" i="20"/>
  <c r="F63" i="20"/>
  <c r="H63" i="20" s="1"/>
  <c r="Q63" i="20" s="1"/>
  <c r="S63" i="20" s="1"/>
  <c r="I62" i="20"/>
  <c r="G62" i="20"/>
  <c r="F62" i="20"/>
  <c r="I61" i="20"/>
  <c r="G61" i="20"/>
  <c r="F61" i="20"/>
  <c r="H61" i="20" s="1"/>
  <c r="Q61" i="20" s="1"/>
  <c r="S61" i="20" s="1"/>
  <c r="I57" i="20"/>
  <c r="R57" i="20" s="1"/>
  <c r="G57" i="20"/>
  <c r="F57" i="20"/>
  <c r="I56" i="20"/>
  <c r="R56" i="20" s="1"/>
  <c r="G56" i="20"/>
  <c r="F56" i="20"/>
  <c r="H56" i="20" s="1"/>
  <c r="Q56" i="20" s="1"/>
  <c r="S56" i="20" s="1"/>
  <c r="I55" i="20"/>
  <c r="R55" i="20" s="1"/>
  <c r="G55" i="20"/>
  <c r="F55" i="20"/>
  <c r="I54" i="20"/>
  <c r="R54" i="20" s="1"/>
  <c r="G54" i="20"/>
  <c r="F54" i="20"/>
  <c r="I53" i="20"/>
  <c r="R53" i="20" s="1"/>
  <c r="G53" i="20"/>
  <c r="F53" i="20"/>
  <c r="I52" i="20"/>
  <c r="G52" i="20"/>
  <c r="F52" i="20"/>
  <c r="H52" i="20" s="1"/>
  <c r="Q52" i="20" s="1"/>
  <c r="S52" i="20" s="1"/>
  <c r="I51" i="20"/>
  <c r="G51" i="20"/>
  <c r="F51" i="20"/>
  <c r="I50" i="20"/>
  <c r="G50" i="20"/>
  <c r="F50" i="20"/>
  <c r="H50" i="20" s="1"/>
  <c r="Q50" i="20" s="1"/>
  <c r="S50" i="20" s="1"/>
  <c r="I49" i="20"/>
  <c r="G49" i="20"/>
  <c r="F49" i="20"/>
  <c r="I48" i="20"/>
  <c r="G48" i="20"/>
  <c r="F48" i="20"/>
  <c r="H48" i="20" s="1"/>
  <c r="Q48" i="20" s="1"/>
  <c r="S48" i="20" s="1"/>
  <c r="I47" i="20"/>
  <c r="G47" i="20"/>
  <c r="F47" i="20"/>
  <c r="I43" i="20"/>
  <c r="R43" i="20" s="1"/>
  <c r="G43" i="20"/>
  <c r="F43" i="20"/>
  <c r="I42" i="20"/>
  <c r="R42" i="20" s="1"/>
  <c r="G42" i="20"/>
  <c r="F42" i="20"/>
  <c r="I41" i="20"/>
  <c r="R41" i="20" s="1"/>
  <c r="G41" i="20"/>
  <c r="F41" i="20"/>
  <c r="H41" i="20" s="1"/>
  <c r="Q41" i="20" s="1"/>
  <c r="S41" i="20" s="1"/>
  <c r="I40" i="20"/>
  <c r="R40" i="20" s="1"/>
  <c r="G40" i="20"/>
  <c r="F40" i="20"/>
  <c r="I39" i="20"/>
  <c r="G39" i="20"/>
  <c r="F39" i="20"/>
  <c r="H39" i="20" s="1"/>
  <c r="Q39" i="20" s="1"/>
  <c r="S39" i="20" s="1"/>
  <c r="I38" i="20"/>
  <c r="G38" i="20"/>
  <c r="F38" i="20"/>
  <c r="I37" i="20"/>
  <c r="G37" i="20"/>
  <c r="F37" i="20"/>
  <c r="H37" i="20" s="1"/>
  <c r="Q37" i="20" s="1"/>
  <c r="S37" i="20" s="1"/>
  <c r="I36" i="20"/>
  <c r="G36" i="20"/>
  <c r="F36" i="20"/>
  <c r="I35" i="20"/>
  <c r="G35" i="20"/>
  <c r="F35" i="20"/>
  <c r="I34" i="20"/>
  <c r="G34" i="20"/>
  <c r="F34" i="20"/>
  <c r="I33" i="20"/>
  <c r="G33" i="20"/>
  <c r="F33" i="20"/>
  <c r="H33" i="20" s="1"/>
  <c r="Q33" i="20" s="1"/>
  <c r="S33" i="20" s="1"/>
  <c r="I29" i="20"/>
  <c r="R29" i="20" s="1"/>
  <c r="G29" i="20"/>
  <c r="F29" i="20"/>
  <c r="I28" i="20"/>
  <c r="G28" i="20"/>
  <c r="F28" i="20"/>
  <c r="I27" i="20"/>
  <c r="G27" i="20"/>
  <c r="F27" i="20"/>
  <c r="I26" i="20"/>
  <c r="G26" i="20"/>
  <c r="F26" i="20"/>
  <c r="H26" i="20" s="1"/>
  <c r="Q26" i="20" s="1"/>
  <c r="S26" i="20" s="1"/>
  <c r="I25" i="20"/>
  <c r="G25" i="20"/>
  <c r="F25" i="20"/>
  <c r="I24" i="20"/>
  <c r="G24" i="20"/>
  <c r="F24" i="20"/>
  <c r="I23" i="20"/>
  <c r="G23" i="20"/>
  <c r="F23" i="20"/>
  <c r="I22" i="20"/>
  <c r="G22" i="20"/>
  <c r="F22" i="20"/>
  <c r="H22" i="20" s="1"/>
  <c r="Q22" i="20" s="1"/>
  <c r="S22" i="20" s="1"/>
  <c r="I21" i="20"/>
  <c r="G21" i="20"/>
  <c r="F21" i="20"/>
  <c r="I20" i="20"/>
  <c r="G20" i="20"/>
  <c r="F20" i="20"/>
  <c r="H20" i="20" s="1"/>
  <c r="Q20" i="20" s="1"/>
  <c r="S20" i="20" s="1"/>
  <c r="I19" i="20"/>
  <c r="G19" i="20"/>
  <c r="F19" i="20"/>
  <c r="I15" i="20"/>
  <c r="G15" i="20"/>
  <c r="F15" i="20"/>
  <c r="H15" i="20" s="1"/>
  <c r="Q15" i="20" s="1"/>
  <c r="S15" i="20" s="1"/>
  <c r="I14" i="20"/>
  <c r="G14" i="20"/>
  <c r="F14" i="20"/>
  <c r="I13" i="20"/>
  <c r="G13" i="20"/>
  <c r="F13" i="20"/>
  <c r="H13" i="20" s="1"/>
  <c r="Q13" i="20" s="1"/>
  <c r="S13" i="20" s="1"/>
  <c r="I12" i="20"/>
  <c r="G12" i="20"/>
  <c r="F12" i="20"/>
  <c r="I11" i="20"/>
  <c r="G11" i="20"/>
  <c r="F11" i="20"/>
  <c r="H11" i="20" s="1"/>
  <c r="Q11" i="20" s="1"/>
  <c r="S11" i="20" s="1"/>
  <c r="I10" i="20"/>
  <c r="G10" i="20"/>
  <c r="F10" i="20"/>
  <c r="I9" i="20"/>
  <c r="G9" i="20"/>
  <c r="F9" i="20"/>
  <c r="I8" i="20"/>
  <c r="G8" i="20"/>
  <c r="F8" i="20"/>
  <c r="I7" i="20"/>
  <c r="G7" i="20"/>
  <c r="F7" i="20"/>
  <c r="H7" i="20" s="1"/>
  <c r="Q7" i="20" s="1"/>
  <c r="S7" i="20" s="1"/>
  <c r="I6" i="20"/>
  <c r="G6" i="20"/>
  <c r="F6" i="20"/>
  <c r="I5" i="20"/>
  <c r="G5" i="20"/>
  <c r="F5" i="20"/>
  <c r="I169" i="19"/>
  <c r="R169" i="19" s="1"/>
  <c r="G169" i="19"/>
  <c r="F169" i="19"/>
  <c r="I168" i="19"/>
  <c r="R168" i="19" s="1"/>
  <c r="G168" i="19"/>
  <c r="F168" i="19"/>
  <c r="H168" i="19" s="1"/>
  <c r="Q168" i="19" s="1"/>
  <c r="S168" i="19" s="1"/>
  <c r="I167" i="19"/>
  <c r="R167" i="19" s="1"/>
  <c r="G167" i="19"/>
  <c r="F167" i="19"/>
  <c r="I166" i="19"/>
  <c r="R166" i="19" s="1"/>
  <c r="G166" i="19"/>
  <c r="F166" i="19"/>
  <c r="I165" i="19"/>
  <c r="R165" i="19" s="1"/>
  <c r="G165" i="19"/>
  <c r="F165" i="19"/>
  <c r="I164" i="19"/>
  <c r="R164" i="19" s="1"/>
  <c r="G164" i="19"/>
  <c r="F164" i="19"/>
  <c r="H164" i="19" s="1"/>
  <c r="Q164" i="19" s="1"/>
  <c r="S164" i="19" s="1"/>
  <c r="I163" i="19"/>
  <c r="R163" i="19" s="1"/>
  <c r="G163" i="19"/>
  <c r="F163" i="19"/>
  <c r="I162" i="19"/>
  <c r="G162" i="19"/>
  <c r="F162" i="19"/>
  <c r="I161" i="19"/>
  <c r="G161" i="19"/>
  <c r="F161" i="19"/>
  <c r="I160" i="19"/>
  <c r="G160" i="19"/>
  <c r="F160" i="19"/>
  <c r="H160" i="19" s="1"/>
  <c r="Q160" i="19" s="1"/>
  <c r="S160" i="19" s="1"/>
  <c r="I159" i="19"/>
  <c r="G159" i="19"/>
  <c r="F159" i="19"/>
  <c r="I155" i="19"/>
  <c r="R155" i="19" s="1"/>
  <c r="G155" i="19"/>
  <c r="F155" i="19"/>
  <c r="I154" i="19"/>
  <c r="R154" i="19" s="1"/>
  <c r="G154" i="19"/>
  <c r="F154" i="19"/>
  <c r="I153" i="19"/>
  <c r="R153" i="19" s="1"/>
  <c r="G153" i="19"/>
  <c r="F153" i="19"/>
  <c r="H153" i="19" s="1"/>
  <c r="Q153" i="19" s="1"/>
  <c r="S153" i="19" s="1"/>
  <c r="I152" i="19"/>
  <c r="R152" i="19" s="1"/>
  <c r="G152" i="19"/>
  <c r="F152" i="19"/>
  <c r="I151" i="19"/>
  <c r="R151" i="19" s="1"/>
  <c r="G151" i="19"/>
  <c r="F151" i="19"/>
  <c r="I150" i="19"/>
  <c r="R150" i="19" s="1"/>
  <c r="G150" i="19"/>
  <c r="F150" i="19"/>
  <c r="I149" i="19"/>
  <c r="G149" i="19"/>
  <c r="F149" i="19"/>
  <c r="H149" i="19" s="1"/>
  <c r="Q149" i="19" s="1"/>
  <c r="S149" i="19" s="1"/>
  <c r="I148" i="19"/>
  <c r="G148" i="19"/>
  <c r="F148" i="19"/>
  <c r="I147" i="19"/>
  <c r="G147" i="19"/>
  <c r="F147" i="19"/>
  <c r="I146" i="19"/>
  <c r="G146" i="19"/>
  <c r="F146" i="19"/>
  <c r="I145" i="19"/>
  <c r="G145" i="19"/>
  <c r="F145" i="19"/>
  <c r="H145" i="19" s="1"/>
  <c r="Q145" i="19" s="1"/>
  <c r="S145" i="19" s="1"/>
  <c r="I141" i="19"/>
  <c r="R141" i="19" s="1"/>
  <c r="G141" i="19"/>
  <c r="F141" i="19"/>
  <c r="I140" i="19"/>
  <c r="R140" i="19" s="1"/>
  <c r="G140" i="19"/>
  <c r="F140" i="19"/>
  <c r="H140" i="19" s="1"/>
  <c r="Q140" i="19" s="1"/>
  <c r="S140" i="19" s="1"/>
  <c r="I139" i="19"/>
  <c r="R139" i="19" s="1"/>
  <c r="G139" i="19"/>
  <c r="F139" i="19"/>
  <c r="I138" i="19"/>
  <c r="R138" i="19" s="1"/>
  <c r="G138" i="19"/>
  <c r="F138" i="19"/>
  <c r="H138" i="19" s="1"/>
  <c r="Q138" i="19" s="1"/>
  <c r="S138" i="19" s="1"/>
  <c r="I137" i="19"/>
  <c r="R137" i="19" s="1"/>
  <c r="G137" i="19"/>
  <c r="F137" i="19"/>
  <c r="I136" i="19"/>
  <c r="R136" i="19" s="1"/>
  <c r="G136" i="19"/>
  <c r="F136" i="19"/>
  <c r="H136" i="19" s="1"/>
  <c r="Q136" i="19" s="1"/>
  <c r="S136" i="19" s="1"/>
  <c r="I135" i="19"/>
  <c r="G135" i="19"/>
  <c r="F135" i="19"/>
  <c r="I134" i="19"/>
  <c r="G134" i="19"/>
  <c r="F134" i="19"/>
  <c r="H134" i="19" s="1"/>
  <c r="Q134" i="19" s="1"/>
  <c r="S134" i="19" s="1"/>
  <c r="I133" i="19"/>
  <c r="G133" i="19"/>
  <c r="F133" i="19"/>
  <c r="I132" i="19"/>
  <c r="G132" i="19"/>
  <c r="F132" i="19"/>
  <c r="H132" i="19" s="1"/>
  <c r="Q132" i="19" s="1"/>
  <c r="S132" i="19" s="1"/>
  <c r="I131" i="19"/>
  <c r="G131" i="19"/>
  <c r="F131" i="19"/>
  <c r="I127" i="19"/>
  <c r="R127" i="19" s="1"/>
  <c r="G127" i="19"/>
  <c r="F127" i="19"/>
  <c r="H127" i="19" s="1"/>
  <c r="Q127" i="19" s="1"/>
  <c r="S127" i="19" s="1"/>
  <c r="I126" i="19"/>
  <c r="R126" i="19" s="1"/>
  <c r="G126" i="19"/>
  <c r="F126" i="19"/>
  <c r="I125" i="19"/>
  <c r="R125" i="19" s="1"/>
  <c r="G125" i="19"/>
  <c r="F125" i="19"/>
  <c r="I124" i="19"/>
  <c r="R124" i="19" s="1"/>
  <c r="G124" i="19"/>
  <c r="F124" i="19"/>
  <c r="I123" i="19"/>
  <c r="R123" i="19" s="1"/>
  <c r="G123" i="19"/>
  <c r="F123" i="19"/>
  <c r="H123" i="19" s="1"/>
  <c r="Q123" i="19" s="1"/>
  <c r="S123" i="19" s="1"/>
  <c r="I122" i="19"/>
  <c r="R122" i="19" s="1"/>
  <c r="G122" i="19"/>
  <c r="F122" i="19"/>
  <c r="I121" i="19"/>
  <c r="R121" i="19" s="1"/>
  <c r="G121" i="19"/>
  <c r="F121" i="19"/>
  <c r="I120" i="19"/>
  <c r="R120" i="19" s="1"/>
  <c r="G120" i="19"/>
  <c r="F120" i="19"/>
  <c r="I119" i="19"/>
  <c r="G119" i="19"/>
  <c r="F119" i="19"/>
  <c r="H119" i="19" s="1"/>
  <c r="Q119" i="19" s="1"/>
  <c r="S119" i="19" s="1"/>
  <c r="I118" i="19"/>
  <c r="G118" i="19"/>
  <c r="F118" i="19"/>
  <c r="I117" i="19"/>
  <c r="G117" i="19"/>
  <c r="F117" i="19"/>
  <c r="I113" i="19"/>
  <c r="R113" i="19" s="1"/>
  <c r="G113" i="19"/>
  <c r="F113" i="19"/>
  <c r="I112" i="19"/>
  <c r="R112" i="19" s="1"/>
  <c r="G112" i="19"/>
  <c r="F112" i="19"/>
  <c r="I111" i="19"/>
  <c r="R111" i="19" s="1"/>
  <c r="G111" i="19"/>
  <c r="F111" i="19"/>
  <c r="I110" i="19"/>
  <c r="R110" i="19" s="1"/>
  <c r="G110" i="19"/>
  <c r="F110" i="19"/>
  <c r="I109" i="19"/>
  <c r="R109" i="19" s="1"/>
  <c r="G109" i="19"/>
  <c r="F109" i="19"/>
  <c r="I108" i="19"/>
  <c r="R108" i="19" s="1"/>
  <c r="G108" i="19"/>
  <c r="F108" i="19"/>
  <c r="I107" i="19"/>
  <c r="R107" i="19" s="1"/>
  <c r="G107" i="19"/>
  <c r="F107" i="19"/>
  <c r="I106" i="19"/>
  <c r="R106" i="19" s="1"/>
  <c r="G106" i="19"/>
  <c r="F106" i="19"/>
  <c r="I105" i="19"/>
  <c r="G105" i="19"/>
  <c r="F105" i="19"/>
  <c r="I104" i="19"/>
  <c r="G104" i="19"/>
  <c r="F104" i="19"/>
  <c r="H104" i="19" s="1"/>
  <c r="Q104" i="19" s="1"/>
  <c r="S104" i="19" s="1"/>
  <c r="I103" i="19"/>
  <c r="G103" i="19"/>
  <c r="F103" i="19"/>
  <c r="I99" i="19"/>
  <c r="R99" i="19" s="1"/>
  <c r="G99" i="19"/>
  <c r="F99" i="19"/>
  <c r="I98" i="19"/>
  <c r="R98" i="19" s="1"/>
  <c r="G98" i="19"/>
  <c r="F98" i="19"/>
  <c r="I97" i="19"/>
  <c r="R97" i="19" s="1"/>
  <c r="G97" i="19"/>
  <c r="F97" i="19"/>
  <c r="H97" i="19" s="1"/>
  <c r="Q97" i="19" s="1"/>
  <c r="S97" i="19" s="1"/>
  <c r="I96" i="19"/>
  <c r="R96" i="19" s="1"/>
  <c r="G96" i="19"/>
  <c r="F96" i="19"/>
  <c r="I95" i="19"/>
  <c r="R95" i="19" s="1"/>
  <c r="G95" i="19"/>
  <c r="F95" i="19"/>
  <c r="I94" i="19"/>
  <c r="R94" i="19" s="1"/>
  <c r="G94" i="19"/>
  <c r="F94" i="19"/>
  <c r="I93" i="19"/>
  <c r="R93" i="19" s="1"/>
  <c r="G93" i="19"/>
  <c r="F93" i="19"/>
  <c r="H93" i="19" s="1"/>
  <c r="Q93" i="19" s="1"/>
  <c r="S93" i="19" s="1"/>
  <c r="I92" i="19"/>
  <c r="R92" i="19" s="1"/>
  <c r="G92" i="19"/>
  <c r="F92" i="19"/>
  <c r="I91" i="19"/>
  <c r="G91" i="19"/>
  <c r="F91" i="19"/>
  <c r="H91" i="19" s="1"/>
  <c r="Q91" i="19" s="1"/>
  <c r="S91" i="19" s="1"/>
  <c r="I90" i="19"/>
  <c r="G90" i="19"/>
  <c r="F90" i="19"/>
  <c r="I89" i="19"/>
  <c r="G89" i="19"/>
  <c r="F89" i="19"/>
  <c r="H89" i="19" s="1"/>
  <c r="Q89" i="19" s="1"/>
  <c r="S89" i="19" s="1"/>
  <c r="I85" i="19"/>
  <c r="R85" i="19" s="1"/>
  <c r="G85" i="19"/>
  <c r="F85" i="19"/>
  <c r="I84" i="19"/>
  <c r="R84" i="19" s="1"/>
  <c r="G84" i="19"/>
  <c r="F84" i="19"/>
  <c r="H84" i="19" s="1"/>
  <c r="Q84" i="19" s="1"/>
  <c r="S84" i="19" s="1"/>
  <c r="I83" i="19"/>
  <c r="R83" i="19" s="1"/>
  <c r="G83" i="19"/>
  <c r="F83" i="19"/>
  <c r="I82" i="19"/>
  <c r="R82" i="19" s="1"/>
  <c r="G82" i="19"/>
  <c r="F82" i="19"/>
  <c r="I81" i="19"/>
  <c r="R81" i="19" s="1"/>
  <c r="G81" i="19"/>
  <c r="F81" i="19"/>
  <c r="I80" i="19"/>
  <c r="R80" i="19" s="1"/>
  <c r="G80" i="19"/>
  <c r="F80" i="19"/>
  <c r="H80" i="19" s="1"/>
  <c r="Q80" i="19" s="1"/>
  <c r="S80" i="19" s="1"/>
  <c r="I79" i="19"/>
  <c r="R79" i="19" s="1"/>
  <c r="G79" i="19"/>
  <c r="F79" i="19"/>
  <c r="I78" i="19"/>
  <c r="R78" i="19" s="1"/>
  <c r="G78" i="19"/>
  <c r="F78" i="19"/>
  <c r="H78" i="19" s="1"/>
  <c r="Q78" i="19" s="1"/>
  <c r="S78" i="19" s="1"/>
  <c r="I77" i="19"/>
  <c r="G77" i="19"/>
  <c r="F77" i="19"/>
  <c r="I76" i="19"/>
  <c r="G76" i="19"/>
  <c r="F76" i="19"/>
  <c r="H76" i="19" s="1"/>
  <c r="Q76" i="19" s="1"/>
  <c r="S76" i="19" s="1"/>
  <c r="I75" i="19"/>
  <c r="G75" i="19"/>
  <c r="F75" i="19"/>
  <c r="I71" i="19"/>
  <c r="R71" i="19" s="1"/>
  <c r="G71" i="19"/>
  <c r="F71" i="19"/>
  <c r="H71" i="19" s="1"/>
  <c r="Q71" i="19" s="1"/>
  <c r="S71" i="19" s="1"/>
  <c r="I70" i="19"/>
  <c r="R70" i="19" s="1"/>
  <c r="G70" i="19"/>
  <c r="F70" i="19"/>
  <c r="I69" i="19"/>
  <c r="R69" i="19" s="1"/>
  <c r="G69" i="19"/>
  <c r="F69" i="19"/>
  <c r="H69" i="19" s="1"/>
  <c r="Q69" i="19" s="1"/>
  <c r="S69" i="19" s="1"/>
  <c r="I68" i="19"/>
  <c r="R68" i="19" s="1"/>
  <c r="G68" i="19"/>
  <c r="F68" i="19"/>
  <c r="I67" i="19"/>
  <c r="R67" i="19" s="1"/>
  <c r="G67" i="19"/>
  <c r="F67" i="19"/>
  <c r="H67" i="19" s="1"/>
  <c r="Q67" i="19" s="1"/>
  <c r="S67" i="19" s="1"/>
  <c r="I66" i="19"/>
  <c r="R66" i="19" s="1"/>
  <c r="G66" i="19"/>
  <c r="F66" i="19"/>
  <c r="I65" i="19"/>
  <c r="R65" i="19" s="1"/>
  <c r="G65" i="19"/>
  <c r="F65" i="19"/>
  <c r="H65" i="19" s="1"/>
  <c r="Q65" i="19" s="1"/>
  <c r="S65" i="19" s="1"/>
  <c r="I64" i="19"/>
  <c r="G64" i="19"/>
  <c r="F64" i="19"/>
  <c r="I63" i="19"/>
  <c r="G63" i="19"/>
  <c r="F63" i="19"/>
  <c r="H63" i="19" s="1"/>
  <c r="Q63" i="19" s="1"/>
  <c r="S63" i="19" s="1"/>
  <c r="I62" i="19"/>
  <c r="G62" i="19"/>
  <c r="F62" i="19"/>
  <c r="I61" i="19"/>
  <c r="G61" i="19"/>
  <c r="F61" i="19"/>
  <c r="I57" i="19"/>
  <c r="R57" i="19" s="1"/>
  <c r="G57" i="19"/>
  <c r="F57" i="19"/>
  <c r="I56" i="19"/>
  <c r="R56" i="19" s="1"/>
  <c r="G56" i="19"/>
  <c r="F56" i="19"/>
  <c r="H56" i="19" s="1"/>
  <c r="Q56" i="19" s="1"/>
  <c r="S56" i="19" s="1"/>
  <c r="I55" i="19"/>
  <c r="R55" i="19" s="1"/>
  <c r="G55" i="19"/>
  <c r="F55" i="19"/>
  <c r="I54" i="19"/>
  <c r="R54" i="19" s="1"/>
  <c r="G54" i="19"/>
  <c r="F54" i="19"/>
  <c r="H54" i="19" s="1"/>
  <c r="Q54" i="19" s="1"/>
  <c r="S54" i="19" s="1"/>
  <c r="I53" i="19"/>
  <c r="R53" i="19" s="1"/>
  <c r="G53" i="19"/>
  <c r="F53" i="19"/>
  <c r="I52" i="19"/>
  <c r="R52" i="19" s="1"/>
  <c r="G52" i="19"/>
  <c r="F52" i="19"/>
  <c r="H52" i="19" s="1"/>
  <c r="Q52" i="19" s="1"/>
  <c r="S52" i="19" s="1"/>
  <c r="I51" i="19"/>
  <c r="R51" i="19" s="1"/>
  <c r="G51" i="19"/>
  <c r="F51" i="19"/>
  <c r="I50" i="19"/>
  <c r="G50" i="19"/>
  <c r="F50" i="19"/>
  <c r="H50" i="19" s="1"/>
  <c r="Q50" i="19" s="1"/>
  <c r="S50" i="19" s="1"/>
  <c r="I49" i="19"/>
  <c r="G49" i="19"/>
  <c r="F49" i="19"/>
  <c r="I48" i="19"/>
  <c r="G48" i="19"/>
  <c r="F48" i="19"/>
  <c r="H48" i="19" s="1"/>
  <c r="Q48" i="19" s="1"/>
  <c r="S48" i="19" s="1"/>
  <c r="I47" i="19"/>
  <c r="G47" i="19"/>
  <c r="F47" i="19"/>
  <c r="I43" i="19"/>
  <c r="R43" i="19" s="1"/>
  <c r="G43" i="19"/>
  <c r="F43" i="19"/>
  <c r="H43" i="19" s="1"/>
  <c r="Q43" i="19" s="1"/>
  <c r="S43" i="19" s="1"/>
  <c r="I42" i="19"/>
  <c r="R42" i="19" s="1"/>
  <c r="G42" i="19"/>
  <c r="F42" i="19"/>
  <c r="I41" i="19"/>
  <c r="R41" i="19" s="1"/>
  <c r="G41" i="19"/>
  <c r="F41" i="19"/>
  <c r="H41" i="19" s="1"/>
  <c r="Q41" i="19" s="1"/>
  <c r="S41" i="19" s="1"/>
  <c r="I40" i="19"/>
  <c r="R40" i="19" s="1"/>
  <c r="G40" i="19"/>
  <c r="F40" i="19"/>
  <c r="I39" i="19"/>
  <c r="R39" i="19" s="1"/>
  <c r="G39" i="19"/>
  <c r="F39" i="19"/>
  <c r="I38" i="19"/>
  <c r="R38" i="19" s="1"/>
  <c r="G38" i="19"/>
  <c r="F38" i="19"/>
  <c r="I37" i="19"/>
  <c r="G37" i="19"/>
  <c r="F37" i="19"/>
  <c r="H37" i="19" s="1"/>
  <c r="Q37" i="19" s="1"/>
  <c r="S37" i="19" s="1"/>
  <c r="I36" i="19"/>
  <c r="G36" i="19"/>
  <c r="F36" i="19"/>
  <c r="I35" i="19"/>
  <c r="G35" i="19"/>
  <c r="F35" i="19"/>
  <c r="H35" i="19" s="1"/>
  <c r="Q35" i="19" s="1"/>
  <c r="S35" i="19" s="1"/>
  <c r="I34" i="19"/>
  <c r="G34" i="19"/>
  <c r="F34" i="19"/>
  <c r="I33" i="19"/>
  <c r="G33" i="19"/>
  <c r="F33" i="19"/>
  <c r="H33" i="19" s="1"/>
  <c r="Q33" i="19" s="1"/>
  <c r="S33" i="19" s="1"/>
  <c r="I29" i="19"/>
  <c r="R29" i="19" s="1"/>
  <c r="G29" i="19"/>
  <c r="F29" i="19"/>
  <c r="I28" i="19"/>
  <c r="G28" i="19"/>
  <c r="F28" i="19"/>
  <c r="H28" i="19" s="1"/>
  <c r="Q28" i="19" s="1"/>
  <c r="S28" i="19" s="1"/>
  <c r="I27" i="19"/>
  <c r="G27" i="19"/>
  <c r="F27" i="19"/>
  <c r="I26" i="19"/>
  <c r="G26" i="19"/>
  <c r="F26" i="19"/>
  <c r="H26" i="19" s="1"/>
  <c r="Q26" i="19" s="1"/>
  <c r="S26" i="19" s="1"/>
  <c r="I25" i="19"/>
  <c r="G25" i="19"/>
  <c r="F25" i="19"/>
  <c r="I24" i="19"/>
  <c r="G24" i="19"/>
  <c r="F24" i="19"/>
  <c r="I23" i="19"/>
  <c r="G23" i="19"/>
  <c r="F23" i="19"/>
  <c r="I22" i="19"/>
  <c r="G22" i="19"/>
  <c r="F22" i="19"/>
  <c r="H22" i="19" s="1"/>
  <c r="Q22" i="19" s="1"/>
  <c r="S22" i="19" s="1"/>
  <c r="I21" i="19"/>
  <c r="G21" i="19"/>
  <c r="F21" i="19"/>
  <c r="I20" i="19"/>
  <c r="G20" i="19"/>
  <c r="F20" i="19"/>
  <c r="H20" i="19" s="1"/>
  <c r="Q20" i="19" s="1"/>
  <c r="S20" i="19" s="1"/>
  <c r="I19" i="19"/>
  <c r="G19" i="19"/>
  <c r="F19" i="19"/>
  <c r="I15" i="19"/>
  <c r="G15" i="19"/>
  <c r="F15" i="19"/>
  <c r="H15" i="19" s="1"/>
  <c r="Q15" i="19" s="1"/>
  <c r="S15" i="19" s="1"/>
  <c r="I14" i="19"/>
  <c r="G14" i="19"/>
  <c r="F14" i="19"/>
  <c r="I13" i="19"/>
  <c r="G13" i="19"/>
  <c r="F13" i="19"/>
  <c r="I12" i="19"/>
  <c r="G12" i="19"/>
  <c r="F12" i="19"/>
  <c r="I11" i="19"/>
  <c r="G11" i="19"/>
  <c r="F11" i="19"/>
  <c r="H11" i="19" s="1"/>
  <c r="Q11" i="19" s="1"/>
  <c r="S11" i="19" s="1"/>
  <c r="I10" i="19"/>
  <c r="G10" i="19"/>
  <c r="F10" i="19"/>
  <c r="I9" i="19"/>
  <c r="G9" i="19"/>
  <c r="F9" i="19"/>
  <c r="I8" i="19"/>
  <c r="G8" i="19"/>
  <c r="F8" i="19"/>
  <c r="I7" i="19"/>
  <c r="G7" i="19"/>
  <c r="F7" i="19"/>
  <c r="H7" i="19" s="1"/>
  <c r="Q7" i="19" s="1"/>
  <c r="S7" i="19" s="1"/>
  <c r="I6" i="19"/>
  <c r="G6" i="19"/>
  <c r="F6" i="19"/>
  <c r="I5" i="19"/>
  <c r="G5" i="19"/>
  <c r="F5" i="19"/>
  <c r="I169" i="18"/>
  <c r="R169" i="18" s="1"/>
  <c r="G169" i="18"/>
  <c r="F169" i="18"/>
  <c r="I168" i="18"/>
  <c r="R168" i="18" s="1"/>
  <c r="G168" i="18"/>
  <c r="F168" i="18"/>
  <c r="H168" i="18" s="1"/>
  <c r="Q168" i="18" s="1"/>
  <c r="S168" i="18" s="1"/>
  <c r="I167" i="18"/>
  <c r="R167" i="18" s="1"/>
  <c r="G167" i="18"/>
  <c r="F167" i="18"/>
  <c r="I166" i="18"/>
  <c r="R166" i="18" s="1"/>
  <c r="G166" i="18"/>
  <c r="F166" i="18"/>
  <c r="I165" i="18"/>
  <c r="R165" i="18" s="1"/>
  <c r="G165" i="18"/>
  <c r="F165" i="18"/>
  <c r="I164" i="18"/>
  <c r="R164" i="18" s="1"/>
  <c r="G164" i="18"/>
  <c r="F164" i="18"/>
  <c r="H164" i="18" s="1"/>
  <c r="Q164" i="18" s="1"/>
  <c r="S164" i="18" s="1"/>
  <c r="I163" i="18"/>
  <c r="R163" i="18" s="1"/>
  <c r="G163" i="18"/>
  <c r="F163" i="18"/>
  <c r="I162" i="18"/>
  <c r="G162" i="18"/>
  <c r="F162" i="18"/>
  <c r="I161" i="18"/>
  <c r="G161" i="18"/>
  <c r="F161" i="18"/>
  <c r="I160" i="18"/>
  <c r="G160" i="18"/>
  <c r="F160" i="18"/>
  <c r="H160" i="18" s="1"/>
  <c r="Q160" i="18" s="1"/>
  <c r="S160" i="18" s="1"/>
  <c r="I159" i="18"/>
  <c r="G159" i="18"/>
  <c r="F159" i="18"/>
  <c r="I155" i="18"/>
  <c r="R155" i="18" s="1"/>
  <c r="G155" i="18"/>
  <c r="F155" i="18"/>
  <c r="I154" i="18"/>
  <c r="R154" i="18" s="1"/>
  <c r="G154" i="18"/>
  <c r="F154" i="18"/>
  <c r="I153" i="18"/>
  <c r="R153" i="18" s="1"/>
  <c r="G153" i="18"/>
  <c r="F153" i="18"/>
  <c r="I152" i="18"/>
  <c r="R152" i="18" s="1"/>
  <c r="G152" i="18"/>
  <c r="F152" i="18"/>
  <c r="I151" i="18"/>
  <c r="R151" i="18" s="1"/>
  <c r="G151" i="18"/>
  <c r="F151" i="18"/>
  <c r="I150" i="18"/>
  <c r="R150" i="18" s="1"/>
  <c r="G150" i="18"/>
  <c r="F150" i="18"/>
  <c r="I149" i="18"/>
  <c r="R149" i="18" s="1"/>
  <c r="G149" i="18"/>
  <c r="F149" i="18"/>
  <c r="I148" i="18"/>
  <c r="G148" i="18"/>
  <c r="F148" i="18"/>
  <c r="I147" i="18"/>
  <c r="G147" i="18"/>
  <c r="F147" i="18"/>
  <c r="I146" i="18"/>
  <c r="G146" i="18"/>
  <c r="F146" i="18"/>
  <c r="I145" i="18"/>
  <c r="G145" i="18"/>
  <c r="F145" i="18"/>
  <c r="H145" i="18" s="1"/>
  <c r="Q145" i="18" s="1"/>
  <c r="S145" i="18" s="1"/>
  <c r="I141" i="18"/>
  <c r="R141" i="18" s="1"/>
  <c r="G141" i="18"/>
  <c r="F141" i="18"/>
  <c r="I140" i="18"/>
  <c r="R140" i="18" s="1"/>
  <c r="G140" i="18"/>
  <c r="F140" i="18"/>
  <c r="I139" i="18"/>
  <c r="R139" i="18" s="1"/>
  <c r="G139" i="18"/>
  <c r="F139" i="18"/>
  <c r="I138" i="18"/>
  <c r="R138" i="18" s="1"/>
  <c r="G138" i="18"/>
  <c r="F138" i="18"/>
  <c r="H138" i="18" s="1"/>
  <c r="Q138" i="18" s="1"/>
  <c r="S138" i="18" s="1"/>
  <c r="I137" i="18"/>
  <c r="R137" i="18" s="1"/>
  <c r="G137" i="18"/>
  <c r="F137" i="18"/>
  <c r="I136" i="18"/>
  <c r="R136" i="18" s="1"/>
  <c r="G136" i="18"/>
  <c r="F136" i="18"/>
  <c r="I135" i="18"/>
  <c r="R135" i="18" s="1"/>
  <c r="G135" i="18"/>
  <c r="F135" i="18"/>
  <c r="I134" i="18"/>
  <c r="G134" i="18"/>
  <c r="F134" i="18"/>
  <c r="H134" i="18" s="1"/>
  <c r="Q134" i="18" s="1"/>
  <c r="S134" i="18" s="1"/>
  <c r="I133" i="18"/>
  <c r="G133" i="18"/>
  <c r="F133" i="18"/>
  <c r="I132" i="18"/>
  <c r="G132" i="18"/>
  <c r="F132" i="18"/>
  <c r="I131" i="18"/>
  <c r="G131" i="18"/>
  <c r="F131" i="18"/>
  <c r="I127" i="18"/>
  <c r="R127" i="18" s="1"/>
  <c r="G127" i="18"/>
  <c r="F127" i="18"/>
  <c r="H127" i="18" s="1"/>
  <c r="Q127" i="18" s="1"/>
  <c r="S127" i="18" s="1"/>
  <c r="I126" i="18"/>
  <c r="R126" i="18" s="1"/>
  <c r="G126" i="18"/>
  <c r="F126" i="18"/>
  <c r="I125" i="18"/>
  <c r="R125" i="18" s="1"/>
  <c r="G125" i="18"/>
  <c r="F125" i="18"/>
  <c r="I124" i="18"/>
  <c r="R124" i="18" s="1"/>
  <c r="G124" i="18"/>
  <c r="F124" i="18"/>
  <c r="I123" i="18"/>
  <c r="R123" i="18" s="1"/>
  <c r="G123" i="18"/>
  <c r="F123" i="18"/>
  <c r="H123" i="18" s="1"/>
  <c r="Q123" i="18" s="1"/>
  <c r="S123" i="18" s="1"/>
  <c r="I122" i="18"/>
  <c r="R122" i="18" s="1"/>
  <c r="G122" i="18"/>
  <c r="F122" i="18"/>
  <c r="I121" i="18"/>
  <c r="R121" i="18" s="1"/>
  <c r="G121" i="18"/>
  <c r="F121" i="18"/>
  <c r="I120" i="18"/>
  <c r="R120" i="18" s="1"/>
  <c r="G120" i="18"/>
  <c r="F120" i="18"/>
  <c r="I119" i="18"/>
  <c r="G119" i="18"/>
  <c r="F119" i="18"/>
  <c r="H119" i="18" s="1"/>
  <c r="Q119" i="18" s="1"/>
  <c r="S119" i="18" s="1"/>
  <c r="I118" i="18"/>
  <c r="G118" i="18"/>
  <c r="F118" i="18"/>
  <c r="I117" i="18"/>
  <c r="G117" i="18"/>
  <c r="F117" i="18"/>
  <c r="I113" i="18"/>
  <c r="R113" i="18" s="1"/>
  <c r="G113" i="18"/>
  <c r="F113" i="18"/>
  <c r="I112" i="18"/>
  <c r="R112" i="18" s="1"/>
  <c r="G112" i="18"/>
  <c r="F112" i="18"/>
  <c r="H112" i="18" s="1"/>
  <c r="Q112" i="18" s="1"/>
  <c r="S112" i="18" s="1"/>
  <c r="I111" i="18"/>
  <c r="R111" i="18" s="1"/>
  <c r="G111" i="18"/>
  <c r="F111" i="18"/>
  <c r="I110" i="18"/>
  <c r="R110" i="18" s="1"/>
  <c r="G110" i="18"/>
  <c r="F110" i="18"/>
  <c r="I109" i="18"/>
  <c r="R109" i="18" s="1"/>
  <c r="G109" i="18"/>
  <c r="F109" i="18"/>
  <c r="I108" i="18"/>
  <c r="R108" i="18" s="1"/>
  <c r="G108" i="18"/>
  <c r="F108" i="18"/>
  <c r="H108" i="18" s="1"/>
  <c r="Q108" i="18" s="1"/>
  <c r="S108" i="18" s="1"/>
  <c r="I107" i="18"/>
  <c r="R107" i="18" s="1"/>
  <c r="G107" i="18"/>
  <c r="F107" i="18"/>
  <c r="I106" i="18"/>
  <c r="R106" i="18" s="1"/>
  <c r="G106" i="18"/>
  <c r="F106" i="18"/>
  <c r="I105" i="18"/>
  <c r="G105" i="18"/>
  <c r="F105" i="18"/>
  <c r="I104" i="18"/>
  <c r="G104" i="18"/>
  <c r="F104" i="18"/>
  <c r="H104" i="18" s="1"/>
  <c r="Q104" i="18" s="1"/>
  <c r="S104" i="18" s="1"/>
  <c r="I103" i="18"/>
  <c r="G103" i="18"/>
  <c r="F103" i="18"/>
  <c r="I99" i="18"/>
  <c r="R99" i="18" s="1"/>
  <c r="G99" i="18"/>
  <c r="F99" i="18"/>
  <c r="I98" i="18"/>
  <c r="R98" i="18" s="1"/>
  <c r="G98" i="18"/>
  <c r="F98" i="18"/>
  <c r="I97" i="18"/>
  <c r="R97" i="18" s="1"/>
  <c r="G97" i="18"/>
  <c r="F97" i="18"/>
  <c r="H97" i="18" s="1"/>
  <c r="Q97" i="18" s="1"/>
  <c r="S97" i="18" s="1"/>
  <c r="I96" i="18"/>
  <c r="R96" i="18" s="1"/>
  <c r="G96" i="18"/>
  <c r="F96" i="18"/>
  <c r="I95" i="18"/>
  <c r="R95" i="18" s="1"/>
  <c r="G95" i="18"/>
  <c r="F95" i="18"/>
  <c r="I94" i="18"/>
  <c r="R94" i="18" s="1"/>
  <c r="G94" i="18"/>
  <c r="F94" i="18"/>
  <c r="I93" i="18"/>
  <c r="R93" i="18" s="1"/>
  <c r="G93" i="18"/>
  <c r="F93" i="18"/>
  <c r="H93" i="18" s="1"/>
  <c r="Q93" i="18" s="1"/>
  <c r="S93" i="18" s="1"/>
  <c r="I92" i="18"/>
  <c r="R92" i="18" s="1"/>
  <c r="G92" i="18"/>
  <c r="F92" i="18"/>
  <c r="I91" i="18"/>
  <c r="G91" i="18"/>
  <c r="F91" i="18"/>
  <c r="I90" i="18"/>
  <c r="G90" i="18"/>
  <c r="F90" i="18"/>
  <c r="I89" i="18"/>
  <c r="G89" i="18"/>
  <c r="F89" i="18"/>
  <c r="H89" i="18" s="1"/>
  <c r="Q89" i="18" s="1"/>
  <c r="S89" i="18" s="1"/>
  <c r="I85" i="18"/>
  <c r="R85" i="18" s="1"/>
  <c r="G85" i="18"/>
  <c r="F85" i="18"/>
  <c r="I84" i="18"/>
  <c r="R84" i="18" s="1"/>
  <c r="G84" i="18"/>
  <c r="F84" i="18"/>
  <c r="I83" i="18"/>
  <c r="R83" i="18" s="1"/>
  <c r="G83" i="18"/>
  <c r="F83" i="18"/>
  <c r="I82" i="18"/>
  <c r="R82" i="18" s="1"/>
  <c r="G82" i="18"/>
  <c r="F82" i="18"/>
  <c r="H82" i="18" s="1"/>
  <c r="Q82" i="18" s="1"/>
  <c r="S82" i="18" s="1"/>
  <c r="I81" i="18"/>
  <c r="R81" i="18" s="1"/>
  <c r="G81" i="18"/>
  <c r="F81" i="18"/>
  <c r="I80" i="18"/>
  <c r="R80" i="18" s="1"/>
  <c r="G80" i="18"/>
  <c r="F80" i="18"/>
  <c r="I79" i="18"/>
  <c r="R79" i="18" s="1"/>
  <c r="G79" i="18"/>
  <c r="F79" i="18"/>
  <c r="I78" i="18"/>
  <c r="G78" i="18"/>
  <c r="F78" i="18"/>
  <c r="H78" i="18" s="1"/>
  <c r="Q78" i="18" s="1"/>
  <c r="S78" i="18" s="1"/>
  <c r="I77" i="18"/>
  <c r="G77" i="18"/>
  <c r="F77" i="18"/>
  <c r="I76" i="18"/>
  <c r="G76" i="18"/>
  <c r="F76" i="18"/>
  <c r="I75" i="18"/>
  <c r="G75" i="18"/>
  <c r="F75" i="18"/>
  <c r="I71" i="18"/>
  <c r="R71" i="18" s="1"/>
  <c r="G71" i="18"/>
  <c r="F71" i="18"/>
  <c r="H71" i="18" s="1"/>
  <c r="Q71" i="18" s="1"/>
  <c r="S71" i="18" s="1"/>
  <c r="I70" i="18"/>
  <c r="R70" i="18" s="1"/>
  <c r="G70" i="18"/>
  <c r="F70" i="18"/>
  <c r="I69" i="18"/>
  <c r="R69" i="18" s="1"/>
  <c r="G69" i="18"/>
  <c r="F69" i="18"/>
  <c r="I68" i="18"/>
  <c r="R68" i="18" s="1"/>
  <c r="G68" i="18"/>
  <c r="F68" i="18"/>
  <c r="I67" i="18"/>
  <c r="R67" i="18" s="1"/>
  <c r="G67" i="18"/>
  <c r="F67" i="18"/>
  <c r="H67" i="18" s="1"/>
  <c r="Q67" i="18" s="1"/>
  <c r="S67" i="18" s="1"/>
  <c r="I66" i="18"/>
  <c r="R66" i="18" s="1"/>
  <c r="G66" i="18"/>
  <c r="F66" i="18"/>
  <c r="I65" i="18"/>
  <c r="R65" i="18" s="1"/>
  <c r="G65" i="18"/>
  <c r="F65" i="18"/>
  <c r="I64" i="18"/>
  <c r="G64" i="18"/>
  <c r="F64" i="18"/>
  <c r="I63" i="18"/>
  <c r="G63" i="18"/>
  <c r="F63" i="18"/>
  <c r="H63" i="18" s="1"/>
  <c r="Q63" i="18" s="1"/>
  <c r="S63" i="18" s="1"/>
  <c r="I62" i="18"/>
  <c r="G62" i="18"/>
  <c r="F62" i="18"/>
  <c r="I61" i="18"/>
  <c r="G61" i="18"/>
  <c r="F61" i="18"/>
  <c r="I57" i="18"/>
  <c r="R57" i="18" s="1"/>
  <c r="G57" i="18"/>
  <c r="F57" i="18"/>
  <c r="I56" i="18"/>
  <c r="R56" i="18" s="1"/>
  <c r="G56" i="18"/>
  <c r="F56" i="18"/>
  <c r="H56" i="18" s="1"/>
  <c r="Q56" i="18" s="1"/>
  <c r="S56" i="18" s="1"/>
  <c r="I55" i="18"/>
  <c r="R55" i="18" s="1"/>
  <c r="G55" i="18"/>
  <c r="F55" i="18"/>
  <c r="I54" i="18"/>
  <c r="R54" i="18" s="1"/>
  <c r="G54" i="18"/>
  <c r="F54" i="18"/>
  <c r="I53" i="18"/>
  <c r="R53" i="18" s="1"/>
  <c r="G53" i="18"/>
  <c r="F53" i="18"/>
  <c r="I52" i="18"/>
  <c r="R52" i="18" s="1"/>
  <c r="G52" i="18"/>
  <c r="F52" i="18"/>
  <c r="H52" i="18" s="1"/>
  <c r="Q52" i="18" s="1"/>
  <c r="S52" i="18" s="1"/>
  <c r="I51" i="18"/>
  <c r="R51" i="18" s="1"/>
  <c r="G51" i="18"/>
  <c r="F51" i="18"/>
  <c r="I50" i="18"/>
  <c r="G50" i="18"/>
  <c r="F50" i="18"/>
  <c r="I49" i="18"/>
  <c r="G49" i="18"/>
  <c r="F49" i="18"/>
  <c r="I48" i="18"/>
  <c r="G48" i="18"/>
  <c r="F48" i="18"/>
  <c r="H48" i="18" s="1"/>
  <c r="Q48" i="18" s="1"/>
  <c r="S48" i="18" s="1"/>
  <c r="I47" i="18"/>
  <c r="G47" i="18"/>
  <c r="F47" i="18"/>
  <c r="I43" i="18"/>
  <c r="R43" i="18" s="1"/>
  <c r="G43" i="18"/>
  <c r="F43" i="18"/>
  <c r="I42" i="18"/>
  <c r="R42" i="18" s="1"/>
  <c r="G42" i="18"/>
  <c r="F42" i="18"/>
  <c r="I41" i="18"/>
  <c r="R41" i="18" s="1"/>
  <c r="G41" i="18"/>
  <c r="F41" i="18"/>
  <c r="H41" i="18" s="1"/>
  <c r="Q41" i="18" s="1"/>
  <c r="S41" i="18" s="1"/>
  <c r="I40" i="18"/>
  <c r="R40" i="18" s="1"/>
  <c r="G40" i="18"/>
  <c r="F40" i="18"/>
  <c r="I39" i="18"/>
  <c r="G39" i="18"/>
  <c r="F39" i="18"/>
  <c r="I38" i="18"/>
  <c r="G38" i="18"/>
  <c r="F38" i="18"/>
  <c r="I37" i="18"/>
  <c r="G37" i="18"/>
  <c r="F37" i="18"/>
  <c r="H37" i="18" s="1"/>
  <c r="Q37" i="18" s="1"/>
  <c r="S37" i="18" s="1"/>
  <c r="I36" i="18"/>
  <c r="G36" i="18"/>
  <c r="F36" i="18"/>
  <c r="I35" i="18"/>
  <c r="G35" i="18"/>
  <c r="F35" i="18"/>
  <c r="I34" i="18"/>
  <c r="G34" i="18"/>
  <c r="F34" i="18"/>
  <c r="I33" i="18"/>
  <c r="G33" i="18"/>
  <c r="F33" i="18"/>
  <c r="H33" i="18" s="1"/>
  <c r="Q33" i="18" s="1"/>
  <c r="S33" i="18" s="1"/>
  <c r="I29" i="18"/>
  <c r="R29" i="18" s="1"/>
  <c r="G29" i="18"/>
  <c r="F29" i="18"/>
  <c r="I28" i="18"/>
  <c r="G28" i="18"/>
  <c r="F28" i="18"/>
  <c r="I27" i="18"/>
  <c r="R27" i="18" s="1"/>
  <c r="AI22" i="18" s="1"/>
  <c r="G27" i="18"/>
  <c r="F27" i="18"/>
  <c r="I26" i="18"/>
  <c r="G26" i="18"/>
  <c r="F26" i="18"/>
  <c r="H26" i="18" s="1"/>
  <c r="Q26" i="18" s="1"/>
  <c r="S26" i="18" s="1"/>
  <c r="I25" i="18"/>
  <c r="G25" i="18"/>
  <c r="F25" i="18"/>
  <c r="I24" i="18"/>
  <c r="G24" i="18"/>
  <c r="F24" i="18"/>
  <c r="I23" i="18"/>
  <c r="G23" i="18"/>
  <c r="F23" i="18"/>
  <c r="I22" i="18"/>
  <c r="G22" i="18"/>
  <c r="F22" i="18"/>
  <c r="H22" i="18" s="1"/>
  <c r="Q22" i="18" s="1"/>
  <c r="S22" i="18" s="1"/>
  <c r="I21" i="18"/>
  <c r="G21" i="18"/>
  <c r="F21" i="18"/>
  <c r="I20" i="18"/>
  <c r="G20" i="18"/>
  <c r="F20" i="18"/>
  <c r="I19" i="18"/>
  <c r="G19" i="18"/>
  <c r="F19" i="18"/>
  <c r="I15" i="18"/>
  <c r="G15" i="18"/>
  <c r="F15" i="18"/>
  <c r="H15" i="18" s="1"/>
  <c r="Q15" i="18" s="1"/>
  <c r="S15" i="18" s="1"/>
  <c r="I14" i="18"/>
  <c r="G14" i="18"/>
  <c r="F14" i="18"/>
  <c r="I13" i="18"/>
  <c r="G13" i="18"/>
  <c r="F13" i="18"/>
  <c r="I12" i="18"/>
  <c r="G12" i="18"/>
  <c r="F12" i="18"/>
  <c r="I11" i="18"/>
  <c r="G11" i="18"/>
  <c r="F11" i="18"/>
  <c r="H11" i="18" s="1"/>
  <c r="Q11" i="18" s="1"/>
  <c r="S11" i="18" s="1"/>
  <c r="I10" i="18"/>
  <c r="G10" i="18"/>
  <c r="F10" i="18"/>
  <c r="I9" i="18"/>
  <c r="G9" i="18"/>
  <c r="F9" i="18"/>
  <c r="I8" i="18"/>
  <c r="G8" i="18"/>
  <c r="F8" i="18"/>
  <c r="I7" i="18"/>
  <c r="G7" i="18"/>
  <c r="F7" i="18"/>
  <c r="H7" i="18" s="1"/>
  <c r="Q7" i="18" s="1"/>
  <c r="S7" i="18" s="1"/>
  <c r="I6" i="18"/>
  <c r="G6" i="18"/>
  <c r="F6" i="18"/>
  <c r="I5" i="18"/>
  <c r="G5" i="18"/>
  <c r="F5" i="18"/>
  <c r="I169" i="17"/>
  <c r="R169" i="17" s="1"/>
  <c r="G169" i="17"/>
  <c r="F169" i="17"/>
  <c r="I168" i="17"/>
  <c r="R168" i="17" s="1"/>
  <c r="G168" i="17"/>
  <c r="F168" i="17"/>
  <c r="H168" i="17" s="1"/>
  <c r="Q168" i="17" s="1"/>
  <c r="S168" i="17" s="1"/>
  <c r="I167" i="17"/>
  <c r="R167" i="17" s="1"/>
  <c r="G167" i="17"/>
  <c r="F167" i="17"/>
  <c r="I166" i="17"/>
  <c r="R166" i="17" s="1"/>
  <c r="G166" i="17"/>
  <c r="F166" i="17"/>
  <c r="I165" i="17"/>
  <c r="R165" i="17" s="1"/>
  <c r="G165" i="17"/>
  <c r="F165" i="17"/>
  <c r="I164" i="17"/>
  <c r="R164" i="17" s="1"/>
  <c r="G164" i="17"/>
  <c r="F164" i="17"/>
  <c r="H164" i="17" s="1"/>
  <c r="Q164" i="17" s="1"/>
  <c r="S164" i="17" s="1"/>
  <c r="I163" i="17"/>
  <c r="R163" i="17" s="1"/>
  <c r="G163" i="17"/>
  <c r="F163" i="17"/>
  <c r="I162" i="17"/>
  <c r="G162" i="17"/>
  <c r="F162" i="17"/>
  <c r="I161" i="17"/>
  <c r="G161" i="17"/>
  <c r="F161" i="17"/>
  <c r="I160" i="17"/>
  <c r="G160" i="17"/>
  <c r="F160" i="17"/>
  <c r="H160" i="17" s="1"/>
  <c r="Q160" i="17" s="1"/>
  <c r="S160" i="17" s="1"/>
  <c r="I159" i="17"/>
  <c r="G159" i="17"/>
  <c r="F159" i="17"/>
  <c r="I155" i="17"/>
  <c r="R155" i="17" s="1"/>
  <c r="G155" i="17"/>
  <c r="F155" i="17"/>
  <c r="I154" i="17"/>
  <c r="R154" i="17" s="1"/>
  <c r="G154" i="17"/>
  <c r="F154" i="17"/>
  <c r="I153" i="17"/>
  <c r="R153" i="17" s="1"/>
  <c r="G153" i="17"/>
  <c r="F153" i="17"/>
  <c r="I152" i="17"/>
  <c r="R152" i="17" s="1"/>
  <c r="G152" i="17"/>
  <c r="F152" i="17"/>
  <c r="I151" i="17"/>
  <c r="R151" i="17" s="1"/>
  <c r="G151" i="17"/>
  <c r="F151" i="17"/>
  <c r="I150" i="17"/>
  <c r="R150" i="17" s="1"/>
  <c r="G150" i="17"/>
  <c r="F150" i="17"/>
  <c r="I149" i="17"/>
  <c r="R149" i="17" s="1"/>
  <c r="G149" i="17"/>
  <c r="F149" i="17"/>
  <c r="I148" i="17"/>
  <c r="G148" i="17"/>
  <c r="F148" i="17"/>
  <c r="I147" i="17"/>
  <c r="G147" i="17"/>
  <c r="F147" i="17"/>
  <c r="I146" i="17"/>
  <c r="G146" i="17"/>
  <c r="F146" i="17"/>
  <c r="I145" i="17"/>
  <c r="G145" i="17"/>
  <c r="F145" i="17"/>
  <c r="H145" i="17" s="1"/>
  <c r="Q145" i="17" s="1"/>
  <c r="S145" i="17" s="1"/>
  <c r="I141" i="17"/>
  <c r="R141" i="17" s="1"/>
  <c r="G141" i="17"/>
  <c r="F141" i="17"/>
  <c r="I140" i="17"/>
  <c r="R140" i="17" s="1"/>
  <c r="G140" i="17"/>
  <c r="F140" i="17"/>
  <c r="I139" i="17"/>
  <c r="R139" i="17" s="1"/>
  <c r="G139" i="17"/>
  <c r="F139" i="17"/>
  <c r="I138" i="17"/>
  <c r="R138" i="17" s="1"/>
  <c r="G138" i="17"/>
  <c r="F138" i="17"/>
  <c r="H138" i="17" s="1"/>
  <c r="Q138" i="17" s="1"/>
  <c r="S138" i="17" s="1"/>
  <c r="I137" i="17"/>
  <c r="R137" i="17" s="1"/>
  <c r="G137" i="17"/>
  <c r="F137" i="17"/>
  <c r="I136" i="17"/>
  <c r="G136" i="17"/>
  <c r="F136" i="17"/>
  <c r="I135" i="17"/>
  <c r="G135" i="17"/>
  <c r="F135" i="17"/>
  <c r="I134" i="17"/>
  <c r="G134" i="17"/>
  <c r="F134" i="17"/>
  <c r="H134" i="17" s="1"/>
  <c r="Q134" i="17" s="1"/>
  <c r="S134" i="17" s="1"/>
  <c r="I133" i="17"/>
  <c r="G133" i="17"/>
  <c r="F133" i="17"/>
  <c r="I132" i="17"/>
  <c r="G132" i="17"/>
  <c r="F132" i="17"/>
  <c r="I131" i="17"/>
  <c r="G131" i="17"/>
  <c r="F131" i="17"/>
  <c r="I127" i="17"/>
  <c r="R127" i="17" s="1"/>
  <c r="G127" i="17"/>
  <c r="F127" i="17"/>
  <c r="H127" i="17" s="1"/>
  <c r="Q127" i="17" s="1"/>
  <c r="S127" i="17" s="1"/>
  <c r="I126" i="17"/>
  <c r="R126" i="17" s="1"/>
  <c r="G126" i="17"/>
  <c r="F126" i="17"/>
  <c r="I125" i="17"/>
  <c r="R125" i="17" s="1"/>
  <c r="G125" i="17"/>
  <c r="F125" i="17"/>
  <c r="I124" i="17"/>
  <c r="R124" i="17" s="1"/>
  <c r="G124" i="17"/>
  <c r="F124" i="17"/>
  <c r="I123" i="17"/>
  <c r="R123" i="17" s="1"/>
  <c r="G123" i="17"/>
  <c r="F123" i="17"/>
  <c r="I122" i="17"/>
  <c r="R122" i="17" s="1"/>
  <c r="G122" i="17"/>
  <c r="F122" i="17"/>
  <c r="I121" i="17"/>
  <c r="R121" i="17" s="1"/>
  <c r="G121" i="17"/>
  <c r="F121" i="17"/>
  <c r="I120" i="17"/>
  <c r="G120" i="17"/>
  <c r="F120" i="17"/>
  <c r="I119" i="17"/>
  <c r="G119" i="17"/>
  <c r="F119" i="17"/>
  <c r="H119" i="17" s="1"/>
  <c r="Q119" i="17" s="1"/>
  <c r="S119" i="17" s="1"/>
  <c r="I118" i="17"/>
  <c r="G118" i="17"/>
  <c r="F118" i="17"/>
  <c r="I117" i="17"/>
  <c r="G117" i="17"/>
  <c r="F117" i="17"/>
  <c r="I113" i="17"/>
  <c r="R113" i="17" s="1"/>
  <c r="G113" i="17"/>
  <c r="F113" i="17"/>
  <c r="I112" i="17"/>
  <c r="R112" i="17" s="1"/>
  <c r="G112" i="17"/>
  <c r="F112" i="17"/>
  <c r="I111" i="17"/>
  <c r="G111" i="17"/>
  <c r="F111" i="17"/>
  <c r="I110" i="17"/>
  <c r="G110" i="17"/>
  <c r="F110" i="17"/>
  <c r="I109" i="17"/>
  <c r="G109" i="17"/>
  <c r="F109" i="17"/>
  <c r="I108" i="17"/>
  <c r="G108" i="17"/>
  <c r="F108" i="17"/>
  <c r="H108" i="17" s="1"/>
  <c r="Q108" i="17" s="1"/>
  <c r="S108" i="17" s="1"/>
  <c r="I107" i="17"/>
  <c r="G107" i="17"/>
  <c r="F107" i="17"/>
  <c r="I106" i="17"/>
  <c r="G106" i="17"/>
  <c r="F106" i="17"/>
  <c r="I105" i="17"/>
  <c r="G105" i="17"/>
  <c r="F105" i="17"/>
  <c r="I104" i="17"/>
  <c r="G104" i="17"/>
  <c r="F104" i="17"/>
  <c r="H104" i="17" s="1"/>
  <c r="Q104" i="17" s="1"/>
  <c r="S104" i="17" s="1"/>
  <c r="I103" i="17"/>
  <c r="G103" i="17"/>
  <c r="F103" i="17"/>
  <c r="I99" i="17"/>
  <c r="R99" i="17" s="1"/>
  <c r="G99" i="17"/>
  <c r="F99" i="17"/>
  <c r="I98" i="17"/>
  <c r="R98" i="17" s="1"/>
  <c r="G98" i="17"/>
  <c r="F98" i="17"/>
  <c r="I97" i="17"/>
  <c r="G97" i="17"/>
  <c r="F97" i="17"/>
  <c r="H97" i="17" s="1"/>
  <c r="Q97" i="17" s="1"/>
  <c r="S97" i="17" s="1"/>
  <c r="I96" i="17"/>
  <c r="G96" i="17"/>
  <c r="F96" i="17"/>
  <c r="I95" i="17"/>
  <c r="G95" i="17"/>
  <c r="F95" i="17"/>
  <c r="I94" i="17"/>
  <c r="G94" i="17"/>
  <c r="F94" i="17"/>
  <c r="I93" i="17"/>
  <c r="G93" i="17"/>
  <c r="F93" i="17"/>
  <c r="I92" i="17"/>
  <c r="G92" i="17"/>
  <c r="F92" i="17"/>
  <c r="I91" i="17"/>
  <c r="G91" i="17"/>
  <c r="F91" i="17"/>
  <c r="I90" i="17"/>
  <c r="G90" i="17"/>
  <c r="F90" i="17"/>
  <c r="I89" i="17"/>
  <c r="G89" i="17"/>
  <c r="F89" i="17"/>
  <c r="H89" i="17" s="1"/>
  <c r="Q89" i="17" s="1"/>
  <c r="S89" i="17" s="1"/>
  <c r="I85" i="17"/>
  <c r="R85" i="17" s="1"/>
  <c r="G85" i="17"/>
  <c r="F85" i="17"/>
  <c r="I84" i="17"/>
  <c r="R84" i="17" s="1"/>
  <c r="G84" i="17"/>
  <c r="F84" i="17"/>
  <c r="I83" i="17"/>
  <c r="G83" i="17"/>
  <c r="F83" i="17"/>
  <c r="I82" i="17"/>
  <c r="G82" i="17"/>
  <c r="F82" i="17"/>
  <c r="H82" i="17" s="1"/>
  <c r="Q82" i="17" s="1"/>
  <c r="S82" i="17" s="1"/>
  <c r="I81" i="17"/>
  <c r="G81" i="17"/>
  <c r="F81" i="17"/>
  <c r="I80" i="17"/>
  <c r="G80" i="17"/>
  <c r="F80" i="17"/>
  <c r="I79" i="17"/>
  <c r="G79" i="17"/>
  <c r="F79" i="17"/>
  <c r="I78" i="17"/>
  <c r="G78" i="17"/>
  <c r="F78" i="17"/>
  <c r="H78" i="17" s="1"/>
  <c r="Q78" i="17" s="1"/>
  <c r="S78" i="17" s="1"/>
  <c r="I77" i="17"/>
  <c r="G77" i="17"/>
  <c r="F77" i="17"/>
  <c r="I76" i="17"/>
  <c r="G76" i="17"/>
  <c r="F76" i="17"/>
  <c r="I75" i="17"/>
  <c r="G75" i="17"/>
  <c r="F75" i="17"/>
  <c r="I71" i="17"/>
  <c r="R71" i="17" s="1"/>
  <c r="G71" i="17"/>
  <c r="F71" i="17"/>
  <c r="H71" i="17" s="1"/>
  <c r="Q71" i="17" s="1"/>
  <c r="S71" i="17" s="1"/>
  <c r="I70" i="17"/>
  <c r="R70" i="17" s="1"/>
  <c r="G70" i="17"/>
  <c r="F70" i="17"/>
  <c r="I69" i="17"/>
  <c r="G69" i="17"/>
  <c r="F69" i="17"/>
  <c r="I68" i="17"/>
  <c r="G68" i="17"/>
  <c r="F68" i="17"/>
  <c r="I67" i="17"/>
  <c r="G67" i="17"/>
  <c r="F67" i="17"/>
  <c r="H67" i="17" s="1"/>
  <c r="Q67" i="17" s="1"/>
  <c r="S67" i="17" s="1"/>
  <c r="I66" i="17"/>
  <c r="G66" i="17"/>
  <c r="F66" i="17"/>
  <c r="I65" i="17"/>
  <c r="G65" i="17"/>
  <c r="F65" i="17"/>
  <c r="I64" i="17"/>
  <c r="G64" i="17"/>
  <c r="F64" i="17"/>
  <c r="I63" i="17"/>
  <c r="G63" i="17"/>
  <c r="F63" i="17"/>
  <c r="I62" i="17"/>
  <c r="G62" i="17"/>
  <c r="F62" i="17"/>
  <c r="I61" i="17"/>
  <c r="G61" i="17"/>
  <c r="F61" i="17"/>
  <c r="I57" i="17"/>
  <c r="R57" i="17" s="1"/>
  <c r="G57" i="17"/>
  <c r="F57" i="17"/>
  <c r="I56" i="17"/>
  <c r="R56" i="17" s="1"/>
  <c r="G56" i="17"/>
  <c r="F56" i="17"/>
  <c r="H56" i="17" s="1"/>
  <c r="Q56" i="17" s="1"/>
  <c r="S56" i="17" s="1"/>
  <c r="I55" i="17"/>
  <c r="G55" i="17"/>
  <c r="F55" i="17"/>
  <c r="I54" i="17"/>
  <c r="G54" i="17"/>
  <c r="F54" i="17"/>
  <c r="I53" i="17"/>
  <c r="G53" i="17"/>
  <c r="F53" i="17"/>
  <c r="I52" i="17"/>
  <c r="G52" i="17"/>
  <c r="F52" i="17"/>
  <c r="H52" i="17" s="1"/>
  <c r="Q52" i="17" s="1"/>
  <c r="S52" i="17" s="1"/>
  <c r="I51" i="17"/>
  <c r="G51" i="17"/>
  <c r="F51" i="17"/>
  <c r="I50" i="17"/>
  <c r="G50" i="17"/>
  <c r="F50" i="17"/>
  <c r="I49" i="17"/>
  <c r="G49" i="17"/>
  <c r="F49" i="17"/>
  <c r="I48" i="17"/>
  <c r="G48" i="17"/>
  <c r="F48" i="17"/>
  <c r="H48" i="17" s="1"/>
  <c r="Q48" i="17" s="1"/>
  <c r="S48" i="17" s="1"/>
  <c r="I47" i="17"/>
  <c r="G47" i="17"/>
  <c r="F47" i="17"/>
  <c r="I43" i="17"/>
  <c r="R43" i="17" s="1"/>
  <c r="G43" i="17"/>
  <c r="F43" i="17"/>
  <c r="I42" i="17"/>
  <c r="G42" i="17"/>
  <c r="F42" i="17"/>
  <c r="I41" i="17"/>
  <c r="G41" i="17"/>
  <c r="F41" i="17"/>
  <c r="H41" i="17" s="1"/>
  <c r="Q41" i="17" s="1"/>
  <c r="S41" i="17" s="1"/>
  <c r="I40" i="17"/>
  <c r="G40" i="17"/>
  <c r="F40" i="17"/>
  <c r="I39" i="17"/>
  <c r="G39" i="17"/>
  <c r="F39" i="17"/>
  <c r="I38" i="17"/>
  <c r="G38" i="17"/>
  <c r="F38" i="17"/>
  <c r="I37" i="17"/>
  <c r="G37" i="17"/>
  <c r="F37" i="17"/>
  <c r="H37" i="17" s="1"/>
  <c r="Q37" i="17" s="1"/>
  <c r="S37" i="17" s="1"/>
  <c r="I36" i="17"/>
  <c r="G36" i="17"/>
  <c r="F36" i="17"/>
  <c r="I35" i="17"/>
  <c r="G35" i="17"/>
  <c r="F35" i="17"/>
  <c r="I34" i="17"/>
  <c r="G34" i="17"/>
  <c r="F34" i="17"/>
  <c r="I33" i="17"/>
  <c r="G33" i="17"/>
  <c r="F33" i="17"/>
  <c r="I29" i="17"/>
  <c r="R29" i="17" s="1"/>
  <c r="G29" i="17"/>
  <c r="F29" i="17"/>
  <c r="I28" i="17"/>
  <c r="G28" i="17"/>
  <c r="F28" i="17"/>
  <c r="I27" i="17"/>
  <c r="G27" i="17"/>
  <c r="F27" i="17"/>
  <c r="I26" i="17"/>
  <c r="G26" i="17"/>
  <c r="F26" i="17"/>
  <c r="H26" i="17" s="1"/>
  <c r="Q26" i="17" s="1"/>
  <c r="S26" i="17" s="1"/>
  <c r="I25" i="17"/>
  <c r="G25" i="17"/>
  <c r="F25" i="17"/>
  <c r="I24" i="17"/>
  <c r="G24" i="17"/>
  <c r="F24" i="17"/>
  <c r="I23" i="17"/>
  <c r="G23" i="17"/>
  <c r="F23" i="17"/>
  <c r="I22" i="17"/>
  <c r="G22" i="17"/>
  <c r="F22" i="17"/>
  <c r="H22" i="17" s="1"/>
  <c r="Q22" i="17" s="1"/>
  <c r="S22" i="17" s="1"/>
  <c r="I21" i="17"/>
  <c r="G21" i="17"/>
  <c r="F21" i="17"/>
  <c r="I20" i="17"/>
  <c r="G20" i="17"/>
  <c r="F20" i="17"/>
  <c r="I19" i="17"/>
  <c r="G19" i="17"/>
  <c r="F19" i="17"/>
  <c r="I15" i="17"/>
  <c r="G15" i="17"/>
  <c r="F15" i="17"/>
  <c r="H15" i="17" s="1"/>
  <c r="Q15" i="17" s="1"/>
  <c r="S15" i="17" s="1"/>
  <c r="I14" i="17"/>
  <c r="G14" i="17"/>
  <c r="F14" i="17"/>
  <c r="I13" i="17"/>
  <c r="G13" i="17"/>
  <c r="F13" i="17"/>
  <c r="I12" i="17"/>
  <c r="G12" i="17"/>
  <c r="F12" i="17"/>
  <c r="I11" i="17"/>
  <c r="G11" i="17"/>
  <c r="F11" i="17"/>
  <c r="H11" i="17" s="1"/>
  <c r="Q11" i="17" s="1"/>
  <c r="S11" i="17" s="1"/>
  <c r="I10" i="17"/>
  <c r="G10" i="17"/>
  <c r="F10" i="17"/>
  <c r="I9" i="17"/>
  <c r="G9" i="17"/>
  <c r="F9" i="17"/>
  <c r="I8" i="17"/>
  <c r="G8" i="17"/>
  <c r="F8" i="17"/>
  <c r="I7" i="17"/>
  <c r="G7" i="17"/>
  <c r="F7" i="17"/>
  <c r="H7" i="17" s="1"/>
  <c r="Q7" i="17" s="1"/>
  <c r="S7" i="17" s="1"/>
  <c r="I6" i="17"/>
  <c r="G6" i="17"/>
  <c r="F6" i="17"/>
  <c r="I5" i="17"/>
  <c r="G5" i="17"/>
  <c r="F5" i="17"/>
  <c r="I169" i="16"/>
  <c r="R169" i="16" s="1"/>
  <c r="G169" i="16"/>
  <c r="F169" i="16"/>
  <c r="I168" i="16"/>
  <c r="R168" i="16" s="1"/>
  <c r="G168" i="16"/>
  <c r="F168" i="16"/>
  <c r="H168" i="16" s="1"/>
  <c r="Q168" i="16" s="1"/>
  <c r="S168" i="16" s="1"/>
  <c r="I167" i="16"/>
  <c r="R167" i="16" s="1"/>
  <c r="G167" i="16"/>
  <c r="F167" i="16"/>
  <c r="I166" i="16"/>
  <c r="R166" i="16" s="1"/>
  <c r="G166" i="16"/>
  <c r="F166" i="16"/>
  <c r="I165" i="16"/>
  <c r="R165" i="16" s="1"/>
  <c r="G165" i="16"/>
  <c r="F165" i="16"/>
  <c r="I164" i="16"/>
  <c r="R164" i="16" s="1"/>
  <c r="G164" i="16"/>
  <c r="F164" i="16"/>
  <c r="H164" i="16" s="1"/>
  <c r="Q164" i="16" s="1"/>
  <c r="S164" i="16" s="1"/>
  <c r="I163" i="16"/>
  <c r="G163" i="16"/>
  <c r="F163" i="16"/>
  <c r="I162" i="16"/>
  <c r="G162" i="16"/>
  <c r="F162" i="16"/>
  <c r="I161" i="16"/>
  <c r="G161" i="16"/>
  <c r="F161" i="16"/>
  <c r="I160" i="16"/>
  <c r="G160" i="16"/>
  <c r="F160" i="16"/>
  <c r="H160" i="16" s="1"/>
  <c r="Q160" i="16" s="1"/>
  <c r="S160" i="16" s="1"/>
  <c r="I159" i="16"/>
  <c r="G159" i="16"/>
  <c r="F159" i="16"/>
  <c r="I155" i="16"/>
  <c r="R155" i="16" s="1"/>
  <c r="G155" i="16"/>
  <c r="F155" i="16"/>
  <c r="I154" i="16"/>
  <c r="R154" i="16" s="1"/>
  <c r="G154" i="16"/>
  <c r="F154" i="16"/>
  <c r="I153" i="16"/>
  <c r="R153" i="16" s="1"/>
  <c r="G153" i="16"/>
  <c r="F153" i="16"/>
  <c r="H153" i="16" s="1"/>
  <c r="Q153" i="16" s="1"/>
  <c r="S153" i="16" s="1"/>
  <c r="I152" i="16"/>
  <c r="R152" i="16" s="1"/>
  <c r="G152" i="16"/>
  <c r="F152" i="16"/>
  <c r="I151" i="16"/>
  <c r="R151" i="16" s="1"/>
  <c r="G151" i="16"/>
  <c r="F151" i="16"/>
  <c r="I150" i="16"/>
  <c r="R150" i="16" s="1"/>
  <c r="G150" i="16"/>
  <c r="F150" i="16"/>
  <c r="I149" i="16"/>
  <c r="G149" i="16"/>
  <c r="F149" i="16"/>
  <c r="H149" i="16" s="1"/>
  <c r="Q149" i="16" s="1"/>
  <c r="S149" i="16" s="1"/>
  <c r="I148" i="16"/>
  <c r="G148" i="16"/>
  <c r="F148" i="16"/>
  <c r="I147" i="16"/>
  <c r="G147" i="16"/>
  <c r="F147" i="16"/>
  <c r="I146" i="16"/>
  <c r="G146" i="16"/>
  <c r="F146" i="16"/>
  <c r="I145" i="16"/>
  <c r="G145" i="16"/>
  <c r="F145" i="16"/>
  <c r="I141" i="16"/>
  <c r="R141" i="16" s="1"/>
  <c r="G141" i="16"/>
  <c r="F141" i="16"/>
  <c r="I140" i="16"/>
  <c r="R140" i="16" s="1"/>
  <c r="G140" i="16"/>
  <c r="F140" i="16"/>
  <c r="I139" i="16"/>
  <c r="R139" i="16" s="1"/>
  <c r="G139" i="16"/>
  <c r="F139" i="16"/>
  <c r="I138" i="16"/>
  <c r="R138" i="16" s="1"/>
  <c r="G138" i="16"/>
  <c r="F138" i="16"/>
  <c r="H138" i="16" s="1"/>
  <c r="Q138" i="16" s="1"/>
  <c r="S138" i="16" s="1"/>
  <c r="I137" i="16"/>
  <c r="R137" i="16" s="1"/>
  <c r="G137" i="16"/>
  <c r="F137" i="16"/>
  <c r="I136" i="16"/>
  <c r="G136" i="16"/>
  <c r="F136" i="16"/>
  <c r="I135" i="16"/>
  <c r="G135" i="16"/>
  <c r="F135" i="16"/>
  <c r="I134" i="16"/>
  <c r="G134" i="16"/>
  <c r="F134" i="16"/>
  <c r="I133" i="16"/>
  <c r="G133" i="16"/>
  <c r="F133" i="16"/>
  <c r="I132" i="16"/>
  <c r="G132" i="16"/>
  <c r="F132" i="16"/>
  <c r="I131" i="16"/>
  <c r="G131" i="16"/>
  <c r="F131" i="16"/>
  <c r="I127" i="16"/>
  <c r="R127" i="16" s="1"/>
  <c r="G127" i="16"/>
  <c r="F127" i="16"/>
  <c r="H127" i="16" s="1"/>
  <c r="Q127" i="16" s="1"/>
  <c r="S127" i="16" s="1"/>
  <c r="I126" i="16"/>
  <c r="R126" i="16" s="1"/>
  <c r="G126" i="16"/>
  <c r="F126" i="16"/>
  <c r="I125" i="16"/>
  <c r="G125" i="16"/>
  <c r="F125" i="16"/>
  <c r="I124" i="16"/>
  <c r="G124" i="16"/>
  <c r="F124" i="16"/>
  <c r="I123" i="16"/>
  <c r="G123" i="16"/>
  <c r="F123" i="16"/>
  <c r="H123" i="16" s="1"/>
  <c r="Q123" i="16" s="1"/>
  <c r="S123" i="16" s="1"/>
  <c r="I122" i="16"/>
  <c r="G122" i="16"/>
  <c r="F122" i="16"/>
  <c r="I121" i="16"/>
  <c r="G121" i="16"/>
  <c r="F121" i="16"/>
  <c r="I120" i="16"/>
  <c r="G120" i="16"/>
  <c r="F120" i="16"/>
  <c r="I119" i="16"/>
  <c r="G119" i="16"/>
  <c r="F119" i="16"/>
  <c r="I118" i="16"/>
  <c r="G118" i="16"/>
  <c r="F118" i="16"/>
  <c r="I117" i="16"/>
  <c r="G117" i="16"/>
  <c r="F117" i="16"/>
  <c r="I113" i="16"/>
  <c r="R113" i="16" s="1"/>
  <c r="G113" i="16"/>
  <c r="F113" i="16"/>
  <c r="I112" i="16"/>
  <c r="R112" i="16" s="1"/>
  <c r="G112" i="16"/>
  <c r="F112" i="16"/>
  <c r="I111" i="16"/>
  <c r="G111" i="16"/>
  <c r="F111" i="16"/>
  <c r="I110" i="16"/>
  <c r="G110" i="16"/>
  <c r="F110" i="16"/>
  <c r="I109" i="16"/>
  <c r="G109" i="16"/>
  <c r="F109" i="16"/>
  <c r="I108" i="16"/>
  <c r="G108" i="16"/>
  <c r="F108" i="16"/>
  <c r="H108" i="16" s="1"/>
  <c r="Q108" i="16" s="1"/>
  <c r="S108" i="16" s="1"/>
  <c r="I107" i="16"/>
  <c r="G107" i="16"/>
  <c r="F107" i="16"/>
  <c r="I106" i="16"/>
  <c r="G106" i="16"/>
  <c r="F106" i="16"/>
  <c r="I105" i="16"/>
  <c r="G105" i="16"/>
  <c r="F105" i="16"/>
  <c r="I104" i="16"/>
  <c r="G104" i="16"/>
  <c r="F104" i="16"/>
  <c r="I103" i="16"/>
  <c r="G103" i="16"/>
  <c r="F103" i="16"/>
  <c r="I99" i="16"/>
  <c r="R99" i="16" s="1"/>
  <c r="G99" i="16"/>
  <c r="F99" i="16"/>
  <c r="I98" i="16"/>
  <c r="R98" i="16" s="1"/>
  <c r="G98" i="16"/>
  <c r="F98" i="16"/>
  <c r="I97" i="16"/>
  <c r="G97" i="16"/>
  <c r="F97" i="16"/>
  <c r="H97" i="16" s="1"/>
  <c r="Q97" i="16" s="1"/>
  <c r="S97" i="16" s="1"/>
  <c r="I96" i="16"/>
  <c r="G96" i="16"/>
  <c r="F96" i="16"/>
  <c r="I95" i="16"/>
  <c r="G95" i="16"/>
  <c r="F95" i="16"/>
  <c r="I94" i="16"/>
  <c r="G94" i="16"/>
  <c r="F94" i="16"/>
  <c r="I93" i="16"/>
  <c r="G93" i="16"/>
  <c r="F93" i="16"/>
  <c r="H93" i="16" s="1"/>
  <c r="Q93" i="16" s="1"/>
  <c r="S93" i="16" s="1"/>
  <c r="I92" i="16"/>
  <c r="G92" i="16"/>
  <c r="F92" i="16"/>
  <c r="I91" i="16"/>
  <c r="G91" i="16"/>
  <c r="F91" i="16"/>
  <c r="I90" i="16"/>
  <c r="G90" i="16"/>
  <c r="F90" i="16"/>
  <c r="I89" i="16"/>
  <c r="G89" i="16"/>
  <c r="F89" i="16"/>
  <c r="I85" i="16"/>
  <c r="R85" i="16" s="1"/>
  <c r="G85" i="16"/>
  <c r="F85" i="16"/>
  <c r="I84" i="16"/>
  <c r="G84" i="16"/>
  <c r="F84" i="16"/>
  <c r="I83" i="16"/>
  <c r="G83" i="16"/>
  <c r="F83" i="16"/>
  <c r="I82" i="16"/>
  <c r="G82" i="16"/>
  <c r="F82" i="16"/>
  <c r="H82" i="16" s="1"/>
  <c r="Q82" i="16" s="1"/>
  <c r="S82" i="16" s="1"/>
  <c r="I81" i="16"/>
  <c r="G81" i="16"/>
  <c r="F81" i="16"/>
  <c r="I80" i="16"/>
  <c r="G80" i="16"/>
  <c r="F80" i="16"/>
  <c r="I79" i="16"/>
  <c r="G79" i="16"/>
  <c r="F79" i="16"/>
  <c r="I78" i="16"/>
  <c r="G78" i="16"/>
  <c r="F78" i="16"/>
  <c r="H78" i="16" s="1"/>
  <c r="Q78" i="16" s="1"/>
  <c r="S78" i="16" s="1"/>
  <c r="I77" i="16"/>
  <c r="G77" i="16"/>
  <c r="F77" i="16"/>
  <c r="I76" i="16"/>
  <c r="G76" i="16"/>
  <c r="F76" i="16"/>
  <c r="I75" i="16"/>
  <c r="G75" i="16"/>
  <c r="F75" i="16"/>
  <c r="I71" i="16"/>
  <c r="R71" i="16" s="1"/>
  <c r="G71" i="16"/>
  <c r="F71" i="16"/>
  <c r="I70" i="16"/>
  <c r="G70" i="16"/>
  <c r="F70" i="16"/>
  <c r="I69" i="16"/>
  <c r="G69" i="16"/>
  <c r="F69" i="16"/>
  <c r="I68" i="16"/>
  <c r="G68" i="16"/>
  <c r="F68" i="16"/>
  <c r="I67" i="16"/>
  <c r="G67" i="16"/>
  <c r="F67" i="16"/>
  <c r="H67" i="16" s="1"/>
  <c r="Q67" i="16" s="1"/>
  <c r="S67" i="16" s="1"/>
  <c r="I66" i="16"/>
  <c r="G66" i="16"/>
  <c r="F66" i="16"/>
  <c r="I65" i="16"/>
  <c r="G65" i="16"/>
  <c r="F65" i="16"/>
  <c r="I64" i="16"/>
  <c r="G64" i="16"/>
  <c r="F64" i="16"/>
  <c r="I63" i="16"/>
  <c r="G63" i="16"/>
  <c r="F63" i="16"/>
  <c r="H63" i="16" s="1"/>
  <c r="Q63" i="16" s="1"/>
  <c r="S63" i="16" s="1"/>
  <c r="I62" i="16"/>
  <c r="G62" i="16"/>
  <c r="F62" i="16"/>
  <c r="I61" i="16"/>
  <c r="G61" i="16"/>
  <c r="F61" i="16"/>
  <c r="I57" i="16"/>
  <c r="R57" i="16" s="1"/>
  <c r="G57" i="16"/>
  <c r="F57" i="16"/>
  <c r="I56" i="16"/>
  <c r="G56" i="16"/>
  <c r="F56" i="16"/>
  <c r="H56" i="16" s="1"/>
  <c r="Q56" i="16" s="1"/>
  <c r="S56" i="16" s="1"/>
  <c r="I55" i="16"/>
  <c r="G55" i="16"/>
  <c r="F55" i="16"/>
  <c r="I54" i="16"/>
  <c r="G54" i="16"/>
  <c r="F54" i="16"/>
  <c r="I53" i="16"/>
  <c r="G53" i="16"/>
  <c r="F53" i="16"/>
  <c r="I52" i="16"/>
  <c r="G52" i="16"/>
  <c r="F52" i="16"/>
  <c r="H52" i="16" s="1"/>
  <c r="Q52" i="16" s="1"/>
  <c r="S52" i="16" s="1"/>
  <c r="I51" i="16"/>
  <c r="G51" i="16"/>
  <c r="F51" i="16"/>
  <c r="I50" i="16"/>
  <c r="G50" i="16"/>
  <c r="F50" i="16"/>
  <c r="I49" i="16"/>
  <c r="G49" i="16"/>
  <c r="F49" i="16"/>
  <c r="I48" i="16"/>
  <c r="G48" i="16"/>
  <c r="F48" i="16"/>
  <c r="H48" i="16" s="1"/>
  <c r="Q48" i="16" s="1"/>
  <c r="S48" i="16" s="1"/>
  <c r="I47" i="16"/>
  <c r="G47" i="16"/>
  <c r="F47" i="16"/>
  <c r="I43" i="16"/>
  <c r="R43" i="16" s="1"/>
  <c r="G43" i="16"/>
  <c r="F43" i="16"/>
  <c r="I42" i="16"/>
  <c r="G42" i="16"/>
  <c r="F42" i="16"/>
  <c r="I41" i="16"/>
  <c r="G41" i="16"/>
  <c r="F41" i="16"/>
  <c r="H41" i="16" s="1"/>
  <c r="Q41" i="16" s="1"/>
  <c r="S41" i="16" s="1"/>
  <c r="I40" i="16"/>
  <c r="G40" i="16"/>
  <c r="F40" i="16"/>
  <c r="I39" i="16"/>
  <c r="G39" i="16"/>
  <c r="F39" i="16"/>
  <c r="I38" i="16"/>
  <c r="G38" i="16"/>
  <c r="F38" i="16"/>
  <c r="I37" i="16"/>
  <c r="G37" i="16"/>
  <c r="F37" i="16"/>
  <c r="H37" i="16" s="1"/>
  <c r="Q37" i="16" s="1"/>
  <c r="S37" i="16" s="1"/>
  <c r="I36" i="16"/>
  <c r="G36" i="16"/>
  <c r="F36" i="16"/>
  <c r="I35" i="16"/>
  <c r="G35" i="16"/>
  <c r="F35" i="16"/>
  <c r="I34" i="16"/>
  <c r="G34" i="16"/>
  <c r="F34" i="16"/>
  <c r="I33" i="16"/>
  <c r="G33" i="16"/>
  <c r="F33" i="16"/>
  <c r="I29" i="16"/>
  <c r="R29" i="16" s="1"/>
  <c r="G29" i="16"/>
  <c r="F29" i="16"/>
  <c r="I28" i="16"/>
  <c r="G28" i="16"/>
  <c r="F28" i="16"/>
  <c r="I27" i="16"/>
  <c r="G27" i="16"/>
  <c r="F27" i="16"/>
  <c r="I26" i="16"/>
  <c r="G26" i="16"/>
  <c r="F26" i="16"/>
  <c r="I25" i="16"/>
  <c r="G25" i="16"/>
  <c r="F25" i="16"/>
  <c r="I24" i="16"/>
  <c r="G24" i="16"/>
  <c r="F24" i="16"/>
  <c r="I23" i="16"/>
  <c r="G23" i="16"/>
  <c r="F23" i="16"/>
  <c r="I22" i="16"/>
  <c r="G22" i="16"/>
  <c r="F22" i="16"/>
  <c r="H22" i="16" s="1"/>
  <c r="Q22" i="16" s="1"/>
  <c r="S22" i="16" s="1"/>
  <c r="I21" i="16"/>
  <c r="G21" i="16"/>
  <c r="F21" i="16"/>
  <c r="I20" i="16"/>
  <c r="G20" i="16"/>
  <c r="F20" i="16"/>
  <c r="I19" i="16"/>
  <c r="G19" i="16"/>
  <c r="F19" i="16"/>
  <c r="I15" i="16"/>
  <c r="G15" i="16"/>
  <c r="F15" i="16"/>
  <c r="H15" i="16" s="1"/>
  <c r="Q15" i="16" s="1"/>
  <c r="S15" i="16" s="1"/>
  <c r="I14" i="16"/>
  <c r="G14" i="16"/>
  <c r="F14" i="16"/>
  <c r="I13" i="16"/>
  <c r="G13" i="16"/>
  <c r="F13" i="16"/>
  <c r="I12" i="16"/>
  <c r="G12" i="16"/>
  <c r="F12" i="16"/>
  <c r="I11" i="16"/>
  <c r="G11" i="16"/>
  <c r="F11" i="16"/>
  <c r="H11" i="16" s="1"/>
  <c r="Q11" i="16" s="1"/>
  <c r="S11" i="16" s="1"/>
  <c r="I10" i="16"/>
  <c r="G10" i="16"/>
  <c r="F10" i="16"/>
  <c r="I9" i="16"/>
  <c r="G9" i="16"/>
  <c r="F9" i="16"/>
  <c r="I8" i="16"/>
  <c r="G8" i="16"/>
  <c r="F8" i="16"/>
  <c r="I7" i="16"/>
  <c r="G7" i="16"/>
  <c r="F7" i="16"/>
  <c r="H7" i="16" s="1"/>
  <c r="Q7" i="16" s="1"/>
  <c r="S7" i="16" s="1"/>
  <c r="I6" i="16"/>
  <c r="G6" i="16"/>
  <c r="F6" i="16"/>
  <c r="I5" i="16"/>
  <c r="G5" i="16"/>
  <c r="F5" i="16"/>
  <c r="I169" i="15"/>
  <c r="R169" i="15" s="1"/>
  <c r="G169" i="15"/>
  <c r="F169" i="15"/>
  <c r="I168" i="15"/>
  <c r="R168" i="15" s="1"/>
  <c r="G168" i="15"/>
  <c r="F168" i="15"/>
  <c r="H168" i="15" s="1"/>
  <c r="Q168" i="15" s="1"/>
  <c r="S168" i="15" s="1"/>
  <c r="I167" i="15"/>
  <c r="R167" i="15" s="1"/>
  <c r="G167" i="15"/>
  <c r="F167" i="15"/>
  <c r="I166" i="15"/>
  <c r="R166" i="15" s="1"/>
  <c r="G166" i="15"/>
  <c r="F166" i="15"/>
  <c r="I165" i="15"/>
  <c r="R165" i="15" s="1"/>
  <c r="G165" i="15"/>
  <c r="F165" i="15"/>
  <c r="I164" i="15"/>
  <c r="R164" i="15" s="1"/>
  <c r="G164" i="15"/>
  <c r="F164" i="15"/>
  <c r="H164" i="15" s="1"/>
  <c r="Q164" i="15" s="1"/>
  <c r="S164" i="15" s="1"/>
  <c r="I163" i="15"/>
  <c r="G163" i="15"/>
  <c r="F163" i="15"/>
  <c r="I162" i="15"/>
  <c r="R162" i="15" s="1"/>
  <c r="CQ17" i="15" s="1"/>
  <c r="G162" i="15"/>
  <c r="F162" i="15"/>
  <c r="I161" i="15"/>
  <c r="G161" i="15"/>
  <c r="F161" i="15"/>
  <c r="I160" i="15"/>
  <c r="G160" i="15"/>
  <c r="F160" i="15"/>
  <c r="H160" i="15" s="1"/>
  <c r="Q160" i="15" s="1"/>
  <c r="S160" i="15" s="1"/>
  <c r="I159" i="15"/>
  <c r="G159" i="15"/>
  <c r="F159" i="15"/>
  <c r="I155" i="15"/>
  <c r="R155" i="15" s="1"/>
  <c r="G155" i="15"/>
  <c r="F155" i="15"/>
  <c r="I154" i="15"/>
  <c r="R154" i="15" s="1"/>
  <c r="G154" i="15"/>
  <c r="F154" i="15"/>
  <c r="I153" i="15"/>
  <c r="G153" i="15"/>
  <c r="F153" i="15"/>
  <c r="H153" i="15" s="1"/>
  <c r="Q153" i="15" s="1"/>
  <c r="S153" i="15" s="1"/>
  <c r="I152" i="15"/>
  <c r="G152" i="15"/>
  <c r="F152" i="15"/>
  <c r="I151" i="15"/>
  <c r="G151" i="15"/>
  <c r="F151" i="15"/>
  <c r="I150" i="15"/>
  <c r="G150" i="15"/>
  <c r="F150" i="15"/>
  <c r="I149" i="15"/>
  <c r="G149" i="15"/>
  <c r="F149" i="15"/>
  <c r="H149" i="15" s="1"/>
  <c r="Q149" i="15" s="1"/>
  <c r="S149" i="15" s="1"/>
  <c r="I148" i="15"/>
  <c r="G148" i="15"/>
  <c r="F148" i="15"/>
  <c r="I147" i="15"/>
  <c r="G147" i="15"/>
  <c r="F147" i="15"/>
  <c r="I146" i="15"/>
  <c r="G146" i="15"/>
  <c r="F146" i="15"/>
  <c r="I145" i="15"/>
  <c r="G145" i="15"/>
  <c r="F145" i="15"/>
  <c r="I141" i="15"/>
  <c r="R141" i="15" s="1"/>
  <c r="G141" i="15"/>
  <c r="F141" i="15"/>
  <c r="I140" i="15"/>
  <c r="R140" i="15" s="1"/>
  <c r="G140" i="15"/>
  <c r="F140" i="15"/>
  <c r="I139" i="15"/>
  <c r="G139" i="15"/>
  <c r="F139" i="15"/>
  <c r="I138" i="15"/>
  <c r="G138" i="15"/>
  <c r="F138" i="15"/>
  <c r="H138" i="15" s="1"/>
  <c r="Q138" i="15" s="1"/>
  <c r="S138" i="15" s="1"/>
  <c r="I137" i="15"/>
  <c r="G137" i="15"/>
  <c r="F137" i="15"/>
  <c r="I136" i="15"/>
  <c r="G136" i="15"/>
  <c r="F136" i="15"/>
  <c r="I135" i="15"/>
  <c r="G135" i="15"/>
  <c r="F135" i="15"/>
  <c r="I134" i="15"/>
  <c r="G134" i="15"/>
  <c r="F134" i="15"/>
  <c r="H134" i="15" s="1"/>
  <c r="Q134" i="15" s="1"/>
  <c r="S134" i="15" s="1"/>
  <c r="I133" i="15"/>
  <c r="G133" i="15"/>
  <c r="F133" i="15"/>
  <c r="I132" i="15"/>
  <c r="G132" i="15"/>
  <c r="F132" i="15"/>
  <c r="I131" i="15"/>
  <c r="G131" i="15"/>
  <c r="F131" i="15"/>
  <c r="I127" i="15"/>
  <c r="R127" i="15" s="1"/>
  <c r="G127" i="15"/>
  <c r="F127" i="15"/>
  <c r="I126" i="15"/>
  <c r="R126" i="15" s="1"/>
  <c r="G126" i="15"/>
  <c r="F126" i="15"/>
  <c r="I125" i="15"/>
  <c r="G125" i="15"/>
  <c r="F125" i="15"/>
  <c r="I124" i="15"/>
  <c r="G124" i="15"/>
  <c r="F124" i="15"/>
  <c r="I123" i="15"/>
  <c r="G123" i="15"/>
  <c r="F123" i="15"/>
  <c r="H123" i="15" s="1"/>
  <c r="Q123" i="15" s="1"/>
  <c r="S123" i="15" s="1"/>
  <c r="I122" i="15"/>
  <c r="G122" i="15"/>
  <c r="F122" i="15"/>
  <c r="I121" i="15"/>
  <c r="G121" i="15"/>
  <c r="F121" i="15"/>
  <c r="I120" i="15"/>
  <c r="G120" i="15"/>
  <c r="F120" i="15"/>
  <c r="I119" i="15"/>
  <c r="G119" i="15"/>
  <c r="F119" i="15"/>
  <c r="H119" i="15" s="1"/>
  <c r="Q119" i="15" s="1"/>
  <c r="S119" i="15" s="1"/>
  <c r="I118" i="15"/>
  <c r="G118" i="15"/>
  <c r="F118" i="15"/>
  <c r="I117" i="15"/>
  <c r="G117" i="15"/>
  <c r="F117" i="15"/>
  <c r="I113" i="15"/>
  <c r="R113" i="15" s="1"/>
  <c r="G113" i="15"/>
  <c r="F113" i="15"/>
  <c r="I112" i="15"/>
  <c r="R112" i="15" s="1"/>
  <c r="G112" i="15"/>
  <c r="F112" i="15"/>
  <c r="I111" i="15"/>
  <c r="G111" i="15"/>
  <c r="F111" i="15"/>
  <c r="I110" i="15"/>
  <c r="G110" i="15"/>
  <c r="F110" i="15"/>
  <c r="I109" i="15"/>
  <c r="G109" i="15"/>
  <c r="F109" i="15"/>
  <c r="I108" i="15"/>
  <c r="G108" i="15"/>
  <c r="F108" i="15"/>
  <c r="H108" i="15" s="1"/>
  <c r="Q108" i="15" s="1"/>
  <c r="S108" i="15" s="1"/>
  <c r="I107" i="15"/>
  <c r="G107" i="15"/>
  <c r="F107" i="15"/>
  <c r="I106" i="15"/>
  <c r="G106" i="15"/>
  <c r="F106" i="15"/>
  <c r="I105" i="15"/>
  <c r="G105" i="15"/>
  <c r="F105" i="15"/>
  <c r="I104" i="15"/>
  <c r="G104" i="15"/>
  <c r="F104" i="15"/>
  <c r="H104" i="15" s="1"/>
  <c r="Q104" i="15" s="1"/>
  <c r="S104" i="15" s="1"/>
  <c r="I103" i="15"/>
  <c r="G103" i="15"/>
  <c r="F103" i="15"/>
  <c r="I99" i="15"/>
  <c r="R99" i="15" s="1"/>
  <c r="G99" i="15"/>
  <c r="F99" i="15"/>
  <c r="I98" i="15"/>
  <c r="G98" i="15"/>
  <c r="F98" i="15"/>
  <c r="I97" i="15"/>
  <c r="G97" i="15"/>
  <c r="F97" i="15"/>
  <c r="H97" i="15" s="1"/>
  <c r="Q97" i="15" s="1"/>
  <c r="S97" i="15" s="1"/>
  <c r="I96" i="15"/>
  <c r="G96" i="15"/>
  <c r="F96" i="15"/>
  <c r="I95" i="15"/>
  <c r="G95" i="15"/>
  <c r="F95" i="15"/>
  <c r="I94" i="15"/>
  <c r="G94" i="15"/>
  <c r="F94" i="15"/>
  <c r="I93" i="15"/>
  <c r="G93" i="15"/>
  <c r="F93" i="15"/>
  <c r="H93" i="15" s="1"/>
  <c r="Q93" i="15" s="1"/>
  <c r="S93" i="15" s="1"/>
  <c r="I92" i="15"/>
  <c r="G92" i="15"/>
  <c r="F92" i="15"/>
  <c r="I91" i="15"/>
  <c r="G91" i="15"/>
  <c r="F91" i="15"/>
  <c r="I90" i="15"/>
  <c r="G90" i="15"/>
  <c r="F90" i="15"/>
  <c r="I89" i="15"/>
  <c r="G89" i="15"/>
  <c r="F89" i="15"/>
  <c r="I85" i="15"/>
  <c r="R85" i="15" s="1"/>
  <c r="G85" i="15"/>
  <c r="F85" i="15"/>
  <c r="I84" i="15"/>
  <c r="G84" i="15"/>
  <c r="F84" i="15"/>
  <c r="I83" i="15"/>
  <c r="G83" i="15"/>
  <c r="F83" i="15"/>
  <c r="I82" i="15"/>
  <c r="G82" i="15"/>
  <c r="F82" i="15"/>
  <c r="H82" i="15" s="1"/>
  <c r="Q82" i="15" s="1"/>
  <c r="S82" i="15" s="1"/>
  <c r="I81" i="15"/>
  <c r="G81" i="15"/>
  <c r="F81" i="15"/>
  <c r="I80" i="15"/>
  <c r="G80" i="15"/>
  <c r="F80" i="15"/>
  <c r="I79" i="15"/>
  <c r="G79" i="15"/>
  <c r="F79" i="15"/>
  <c r="I78" i="15"/>
  <c r="G78" i="15"/>
  <c r="F78" i="15"/>
  <c r="H78" i="15" s="1"/>
  <c r="Q78" i="15" s="1"/>
  <c r="S78" i="15" s="1"/>
  <c r="I77" i="15"/>
  <c r="G77" i="15"/>
  <c r="F77" i="15"/>
  <c r="I76" i="15"/>
  <c r="G76" i="15"/>
  <c r="F76" i="15"/>
  <c r="I75" i="15"/>
  <c r="G75" i="15"/>
  <c r="F75" i="15"/>
  <c r="I71" i="15"/>
  <c r="R71" i="15" s="1"/>
  <c r="G71" i="15"/>
  <c r="F71" i="15"/>
  <c r="I70" i="15"/>
  <c r="G70" i="15"/>
  <c r="F70" i="15"/>
  <c r="I69" i="15"/>
  <c r="G69" i="15"/>
  <c r="F69" i="15"/>
  <c r="I68" i="15"/>
  <c r="G68" i="15"/>
  <c r="F68" i="15"/>
  <c r="I67" i="15"/>
  <c r="G67" i="15"/>
  <c r="F67" i="15"/>
  <c r="H67" i="15" s="1"/>
  <c r="Q67" i="15" s="1"/>
  <c r="S67" i="15" s="1"/>
  <c r="I66" i="15"/>
  <c r="G66" i="15"/>
  <c r="F66" i="15"/>
  <c r="I65" i="15"/>
  <c r="G65" i="15"/>
  <c r="F65" i="15"/>
  <c r="I64" i="15"/>
  <c r="G64" i="15"/>
  <c r="F64" i="15"/>
  <c r="I63" i="15"/>
  <c r="G63" i="15"/>
  <c r="F63" i="15"/>
  <c r="I62" i="15"/>
  <c r="G62" i="15"/>
  <c r="F62" i="15"/>
  <c r="I61" i="15"/>
  <c r="G61" i="15"/>
  <c r="F61" i="15"/>
  <c r="I57" i="15"/>
  <c r="R57" i="15" s="1"/>
  <c r="G57" i="15"/>
  <c r="F57" i="15"/>
  <c r="I56" i="15"/>
  <c r="G56" i="15"/>
  <c r="F56" i="15"/>
  <c r="H56" i="15" s="1"/>
  <c r="Q56" i="15" s="1"/>
  <c r="S56" i="15" s="1"/>
  <c r="I55" i="15"/>
  <c r="G55" i="15"/>
  <c r="F55" i="15"/>
  <c r="I54" i="15"/>
  <c r="G54" i="15"/>
  <c r="F54" i="15"/>
  <c r="I53" i="15"/>
  <c r="G53" i="15"/>
  <c r="F53" i="15"/>
  <c r="I52" i="15"/>
  <c r="G52" i="15"/>
  <c r="F52" i="15"/>
  <c r="I51" i="15"/>
  <c r="G51" i="15"/>
  <c r="F51" i="15"/>
  <c r="I50" i="15"/>
  <c r="G50" i="15"/>
  <c r="F50" i="15"/>
  <c r="I49" i="15"/>
  <c r="G49" i="15"/>
  <c r="F49" i="15"/>
  <c r="I48" i="15"/>
  <c r="G48" i="15"/>
  <c r="F48" i="15"/>
  <c r="I47" i="15"/>
  <c r="G47" i="15"/>
  <c r="F47" i="15"/>
  <c r="I43" i="15"/>
  <c r="R43" i="15" s="1"/>
  <c r="G43" i="15"/>
  <c r="F43" i="15"/>
  <c r="I42" i="15"/>
  <c r="G42" i="15"/>
  <c r="F42" i="15"/>
  <c r="I41" i="15"/>
  <c r="G41" i="15"/>
  <c r="F41" i="15"/>
  <c r="H41" i="15" s="1"/>
  <c r="Q41" i="15" s="1"/>
  <c r="S41" i="15" s="1"/>
  <c r="I40" i="15"/>
  <c r="G40" i="15"/>
  <c r="F40" i="15"/>
  <c r="I39" i="15"/>
  <c r="G39" i="15"/>
  <c r="F39" i="15"/>
  <c r="I38" i="15"/>
  <c r="G38" i="15"/>
  <c r="F38" i="15"/>
  <c r="I37" i="15"/>
  <c r="G37" i="15"/>
  <c r="F37" i="15"/>
  <c r="I36" i="15"/>
  <c r="G36" i="15"/>
  <c r="F36" i="15"/>
  <c r="I35" i="15"/>
  <c r="G35" i="15"/>
  <c r="F35" i="15"/>
  <c r="I34" i="15"/>
  <c r="G34" i="15"/>
  <c r="F34" i="15"/>
  <c r="I33" i="15"/>
  <c r="G33" i="15"/>
  <c r="F33" i="15"/>
  <c r="H33" i="15" s="1"/>
  <c r="Q33" i="15" s="1"/>
  <c r="S33" i="15" s="1"/>
  <c r="I29" i="15"/>
  <c r="G29" i="15"/>
  <c r="F29" i="15"/>
  <c r="I28" i="15"/>
  <c r="G28" i="15"/>
  <c r="F28" i="15"/>
  <c r="I27" i="15"/>
  <c r="G27" i="15"/>
  <c r="F27" i="15"/>
  <c r="I26" i="15"/>
  <c r="G26" i="15"/>
  <c r="F26" i="15"/>
  <c r="H26" i="15" s="1"/>
  <c r="Q26" i="15" s="1"/>
  <c r="S26" i="15" s="1"/>
  <c r="I25" i="15"/>
  <c r="G25" i="15"/>
  <c r="F25" i="15"/>
  <c r="I24" i="15"/>
  <c r="G24" i="15"/>
  <c r="F24" i="15"/>
  <c r="I23" i="15"/>
  <c r="G23" i="15"/>
  <c r="F23" i="15"/>
  <c r="I22" i="15"/>
  <c r="G22" i="15"/>
  <c r="F22" i="15"/>
  <c r="I21" i="15"/>
  <c r="G21" i="15"/>
  <c r="F21" i="15"/>
  <c r="I20" i="15"/>
  <c r="G20" i="15"/>
  <c r="F20" i="15"/>
  <c r="I19" i="15"/>
  <c r="G19" i="15"/>
  <c r="F19" i="15"/>
  <c r="I15" i="15"/>
  <c r="G15" i="15"/>
  <c r="F15" i="15"/>
  <c r="H15" i="15" s="1"/>
  <c r="Q15" i="15" s="1"/>
  <c r="S15" i="15" s="1"/>
  <c r="I14" i="15"/>
  <c r="G14" i="15"/>
  <c r="F14" i="15"/>
  <c r="I13" i="15"/>
  <c r="G13" i="15"/>
  <c r="F13" i="15"/>
  <c r="I12" i="15"/>
  <c r="G12" i="15"/>
  <c r="F12" i="15"/>
  <c r="I11" i="15"/>
  <c r="G11" i="15"/>
  <c r="F11" i="15"/>
  <c r="I10" i="15"/>
  <c r="G10" i="15"/>
  <c r="F10" i="15"/>
  <c r="I9" i="15"/>
  <c r="G9" i="15"/>
  <c r="F9" i="15"/>
  <c r="I8" i="15"/>
  <c r="G8" i="15"/>
  <c r="F8" i="15"/>
  <c r="I7" i="15"/>
  <c r="G7" i="15"/>
  <c r="F7" i="15"/>
  <c r="H7" i="15" s="1"/>
  <c r="Q7" i="15" s="1"/>
  <c r="S7" i="15" s="1"/>
  <c r="I6" i="15"/>
  <c r="G6" i="15"/>
  <c r="F6" i="15"/>
  <c r="I5" i="15"/>
  <c r="G5" i="15"/>
  <c r="F5" i="15"/>
  <c r="I169" i="14"/>
  <c r="R169" i="14" s="1"/>
  <c r="G169" i="14"/>
  <c r="F169" i="14"/>
  <c r="I168" i="14"/>
  <c r="R168" i="14" s="1"/>
  <c r="G168" i="14"/>
  <c r="F168" i="14"/>
  <c r="I167" i="14"/>
  <c r="R167" i="14" s="1"/>
  <c r="G167" i="14"/>
  <c r="F167" i="14"/>
  <c r="I166" i="14"/>
  <c r="R166" i="14" s="1"/>
  <c r="G166" i="14"/>
  <c r="F166" i="14"/>
  <c r="H166" i="14" s="1"/>
  <c r="Q166" i="14" s="1"/>
  <c r="S166" i="14" s="1"/>
  <c r="I165" i="14"/>
  <c r="R165" i="14" s="1"/>
  <c r="G165" i="14"/>
  <c r="F165" i="14"/>
  <c r="I164" i="14"/>
  <c r="R164" i="14" s="1"/>
  <c r="G164" i="14"/>
  <c r="F164" i="14"/>
  <c r="I163" i="14"/>
  <c r="G163" i="14"/>
  <c r="F163" i="14"/>
  <c r="I162" i="14"/>
  <c r="G162" i="14"/>
  <c r="F162" i="14"/>
  <c r="H162" i="14" s="1"/>
  <c r="Q162" i="14" s="1"/>
  <c r="S162" i="14" s="1"/>
  <c r="I161" i="14"/>
  <c r="G161" i="14"/>
  <c r="F161" i="14"/>
  <c r="I160" i="14"/>
  <c r="G160" i="14"/>
  <c r="F160" i="14"/>
  <c r="H160" i="14" s="1"/>
  <c r="Q160" i="14" s="1"/>
  <c r="S160" i="14" s="1"/>
  <c r="I159" i="14"/>
  <c r="G159" i="14"/>
  <c r="F159" i="14"/>
  <c r="I155" i="14"/>
  <c r="R155" i="14" s="1"/>
  <c r="G155" i="14"/>
  <c r="F155" i="14"/>
  <c r="I154" i="14"/>
  <c r="R154" i="14" s="1"/>
  <c r="G154" i="14"/>
  <c r="F154" i="14"/>
  <c r="I153" i="14"/>
  <c r="R153" i="14" s="1"/>
  <c r="G153" i="14"/>
  <c r="F153" i="14"/>
  <c r="H153" i="14" s="1"/>
  <c r="Q153" i="14" s="1"/>
  <c r="S153" i="14" s="1"/>
  <c r="I152" i="14"/>
  <c r="R152" i="14" s="1"/>
  <c r="G152" i="14"/>
  <c r="F152" i="14"/>
  <c r="I151" i="14"/>
  <c r="R151" i="14" s="1"/>
  <c r="G151" i="14"/>
  <c r="F151" i="14"/>
  <c r="I150" i="14"/>
  <c r="R150" i="14" s="1"/>
  <c r="G150" i="14"/>
  <c r="F150" i="14"/>
  <c r="I149" i="14"/>
  <c r="R149" i="14" s="1"/>
  <c r="CK18" i="14" s="1"/>
  <c r="G149" i="14"/>
  <c r="F149" i="14"/>
  <c r="I148" i="14"/>
  <c r="G148" i="14"/>
  <c r="F148" i="14"/>
  <c r="I147" i="14"/>
  <c r="G147" i="14"/>
  <c r="F147" i="14"/>
  <c r="I146" i="14"/>
  <c r="G146" i="14"/>
  <c r="F146" i="14"/>
  <c r="I145" i="14"/>
  <c r="G145" i="14"/>
  <c r="F145" i="14"/>
  <c r="I141" i="14"/>
  <c r="R141" i="14" s="1"/>
  <c r="G141" i="14"/>
  <c r="F141" i="14"/>
  <c r="I140" i="14"/>
  <c r="R140" i="14" s="1"/>
  <c r="G140" i="14"/>
  <c r="F140" i="14"/>
  <c r="I139" i="14"/>
  <c r="G139" i="14"/>
  <c r="F139" i="14"/>
  <c r="I138" i="14"/>
  <c r="G138" i="14"/>
  <c r="F138" i="14"/>
  <c r="H138" i="14" s="1"/>
  <c r="Q138" i="14" s="1"/>
  <c r="S138" i="14" s="1"/>
  <c r="I137" i="14"/>
  <c r="G137" i="14"/>
  <c r="F137" i="14"/>
  <c r="I136" i="14"/>
  <c r="G136" i="14"/>
  <c r="F136" i="14"/>
  <c r="I135" i="14"/>
  <c r="G135" i="14"/>
  <c r="F135" i="14"/>
  <c r="I134" i="14"/>
  <c r="G134" i="14"/>
  <c r="F134" i="14"/>
  <c r="H134" i="14" s="1"/>
  <c r="Q134" i="14" s="1"/>
  <c r="S134" i="14" s="1"/>
  <c r="I133" i="14"/>
  <c r="G133" i="14"/>
  <c r="F133" i="14"/>
  <c r="I132" i="14"/>
  <c r="G132" i="14"/>
  <c r="F132" i="14"/>
  <c r="I131" i="14"/>
  <c r="G131" i="14"/>
  <c r="F131" i="14"/>
  <c r="I127" i="14"/>
  <c r="R127" i="14" s="1"/>
  <c r="G127" i="14"/>
  <c r="F127" i="14"/>
  <c r="I126" i="14"/>
  <c r="G126" i="14"/>
  <c r="F126" i="14"/>
  <c r="I125" i="14"/>
  <c r="G125" i="14"/>
  <c r="F125" i="14"/>
  <c r="I124" i="14"/>
  <c r="G124" i="14"/>
  <c r="F124" i="14"/>
  <c r="I123" i="14"/>
  <c r="G123" i="14"/>
  <c r="F123" i="14"/>
  <c r="H123" i="14" s="1"/>
  <c r="Q123" i="14" s="1"/>
  <c r="S123" i="14" s="1"/>
  <c r="I122" i="14"/>
  <c r="G122" i="14"/>
  <c r="F122" i="14"/>
  <c r="I121" i="14"/>
  <c r="G121" i="14"/>
  <c r="F121" i="14"/>
  <c r="I120" i="14"/>
  <c r="G120" i="14"/>
  <c r="F120" i="14"/>
  <c r="I119" i="14"/>
  <c r="G119" i="14"/>
  <c r="F119" i="14"/>
  <c r="H119" i="14" s="1"/>
  <c r="Q119" i="14" s="1"/>
  <c r="S119" i="14" s="1"/>
  <c r="I118" i="14"/>
  <c r="G118" i="14"/>
  <c r="F118" i="14"/>
  <c r="I117" i="14"/>
  <c r="G117" i="14"/>
  <c r="F117" i="14"/>
  <c r="I113" i="14"/>
  <c r="R113" i="14" s="1"/>
  <c r="G113" i="14"/>
  <c r="F113" i="14"/>
  <c r="I112" i="14"/>
  <c r="G112" i="14"/>
  <c r="F112" i="14"/>
  <c r="H112" i="14" s="1"/>
  <c r="Q112" i="14" s="1"/>
  <c r="S112" i="14" s="1"/>
  <c r="I111" i="14"/>
  <c r="G111" i="14"/>
  <c r="F111" i="14"/>
  <c r="I110" i="14"/>
  <c r="G110" i="14"/>
  <c r="F110" i="14"/>
  <c r="I109" i="14"/>
  <c r="G109" i="14"/>
  <c r="F109" i="14"/>
  <c r="I108" i="14"/>
  <c r="G108" i="14"/>
  <c r="F108" i="14"/>
  <c r="H108" i="14" s="1"/>
  <c r="Q108" i="14" s="1"/>
  <c r="S108" i="14" s="1"/>
  <c r="I107" i="14"/>
  <c r="G107" i="14"/>
  <c r="F107" i="14"/>
  <c r="I106" i="14"/>
  <c r="G106" i="14"/>
  <c r="F106" i="14"/>
  <c r="I105" i="14"/>
  <c r="G105" i="14"/>
  <c r="F105" i="14"/>
  <c r="I104" i="14"/>
  <c r="G104" i="14"/>
  <c r="F104" i="14"/>
  <c r="H104" i="14" s="1"/>
  <c r="Q104" i="14" s="1"/>
  <c r="S104" i="14" s="1"/>
  <c r="I103" i="14"/>
  <c r="G103" i="14"/>
  <c r="F103" i="14"/>
  <c r="I99" i="14"/>
  <c r="R99" i="14" s="1"/>
  <c r="G99" i="14"/>
  <c r="F99" i="14"/>
  <c r="I98" i="14"/>
  <c r="G98" i="14"/>
  <c r="F98" i="14"/>
  <c r="I97" i="14"/>
  <c r="G97" i="14"/>
  <c r="F97" i="14"/>
  <c r="H97" i="14" s="1"/>
  <c r="Q97" i="14" s="1"/>
  <c r="S97" i="14" s="1"/>
  <c r="I96" i="14"/>
  <c r="G96" i="14"/>
  <c r="F96" i="14"/>
  <c r="I95" i="14"/>
  <c r="G95" i="14"/>
  <c r="F95" i="14"/>
  <c r="I94" i="14"/>
  <c r="G94" i="14"/>
  <c r="F94" i="14"/>
  <c r="I93" i="14"/>
  <c r="G93" i="14"/>
  <c r="F93" i="14"/>
  <c r="H93" i="14" s="1"/>
  <c r="Q93" i="14" s="1"/>
  <c r="S93" i="14" s="1"/>
  <c r="I92" i="14"/>
  <c r="G92" i="14"/>
  <c r="F92" i="14"/>
  <c r="I91" i="14"/>
  <c r="G91" i="14"/>
  <c r="F91" i="14"/>
  <c r="I90" i="14"/>
  <c r="G90" i="14"/>
  <c r="F90" i="14"/>
  <c r="I89" i="14"/>
  <c r="G89" i="14"/>
  <c r="F89" i="14"/>
  <c r="I85" i="14"/>
  <c r="R85" i="14" s="1"/>
  <c r="G85" i="14"/>
  <c r="F85" i="14"/>
  <c r="I84" i="14"/>
  <c r="G84" i="14"/>
  <c r="F84" i="14"/>
  <c r="I83" i="14"/>
  <c r="G83" i="14"/>
  <c r="F83" i="14"/>
  <c r="I82" i="14"/>
  <c r="G82" i="14"/>
  <c r="F82" i="14"/>
  <c r="H82" i="14" s="1"/>
  <c r="Q82" i="14" s="1"/>
  <c r="S82" i="14" s="1"/>
  <c r="I81" i="14"/>
  <c r="G81" i="14"/>
  <c r="F81" i="14"/>
  <c r="I80" i="14"/>
  <c r="G80" i="14"/>
  <c r="F80" i="14"/>
  <c r="I79" i="14"/>
  <c r="G79" i="14"/>
  <c r="F79" i="14"/>
  <c r="I78" i="14"/>
  <c r="G78" i="14"/>
  <c r="F78" i="14"/>
  <c r="H78" i="14" s="1"/>
  <c r="Q78" i="14" s="1"/>
  <c r="S78" i="14" s="1"/>
  <c r="I77" i="14"/>
  <c r="G77" i="14"/>
  <c r="F77" i="14"/>
  <c r="I76" i="14"/>
  <c r="G76" i="14"/>
  <c r="F76" i="14"/>
  <c r="I75" i="14"/>
  <c r="G75" i="14"/>
  <c r="F75" i="14"/>
  <c r="I71" i="14"/>
  <c r="R71" i="14" s="1"/>
  <c r="G71" i="14"/>
  <c r="F71" i="14"/>
  <c r="I70" i="14"/>
  <c r="G70" i="14"/>
  <c r="F70" i="14"/>
  <c r="I69" i="14"/>
  <c r="G69" i="14"/>
  <c r="F69" i="14"/>
  <c r="I68" i="14"/>
  <c r="G68" i="14"/>
  <c r="F68" i="14"/>
  <c r="I67" i="14"/>
  <c r="G67" i="14"/>
  <c r="F67" i="14"/>
  <c r="H67" i="14" s="1"/>
  <c r="Q67" i="14" s="1"/>
  <c r="S67" i="14" s="1"/>
  <c r="I66" i="14"/>
  <c r="G66" i="14"/>
  <c r="F66" i="14"/>
  <c r="I65" i="14"/>
  <c r="G65" i="14"/>
  <c r="F65" i="14"/>
  <c r="I64" i="14"/>
  <c r="G64" i="14"/>
  <c r="F64" i="14"/>
  <c r="I63" i="14"/>
  <c r="G63" i="14"/>
  <c r="F63" i="14"/>
  <c r="H63" i="14" s="1"/>
  <c r="Q63" i="14" s="1"/>
  <c r="S63" i="14" s="1"/>
  <c r="I62" i="14"/>
  <c r="G62" i="14"/>
  <c r="F62" i="14"/>
  <c r="I61" i="14"/>
  <c r="G61" i="14"/>
  <c r="F61" i="14"/>
  <c r="I57" i="14"/>
  <c r="R57" i="14" s="1"/>
  <c r="G57" i="14"/>
  <c r="F57" i="14"/>
  <c r="I56" i="14"/>
  <c r="G56" i="14"/>
  <c r="F56" i="14"/>
  <c r="H56" i="14" s="1"/>
  <c r="Q56" i="14" s="1"/>
  <c r="S56" i="14" s="1"/>
  <c r="I55" i="14"/>
  <c r="G55" i="14"/>
  <c r="F55" i="14"/>
  <c r="I54" i="14"/>
  <c r="G54" i="14"/>
  <c r="F54" i="14"/>
  <c r="I53" i="14"/>
  <c r="G53" i="14"/>
  <c r="F53" i="14"/>
  <c r="I52" i="14"/>
  <c r="G52" i="14"/>
  <c r="F52" i="14"/>
  <c r="H52" i="14" s="1"/>
  <c r="Q52" i="14" s="1"/>
  <c r="S52" i="14" s="1"/>
  <c r="I51" i="14"/>
  <c r="G51" i="14"/>
  <c r="F51" i="14"/>
  <c r="I50" i="14"/>
  <c r="G50" i="14"/>
  <c r="F50" i="14"/>
  <c r="I49" i="14"/>
  <c r="G49" i="14"/>
  <c r="F49" i="14"/>
  <c r="I48" i="14"/>
  <c r="G48" i="14"/>
  <c r="F48" i="14"/>
  <c r="H48" i="14" s="1"/>
  <c r="Q48" i="14" s="1"/>
  <c r="S48" i="14" s="1"/>
  <c r="I47" i="14"/>
  <c r="G47" i="14"/>
  <c r="F47" i="14"/>
  <c r="I43" i="14"/>
  <c r="G43" i="14"/>
  <c r="F43" i="14"/>
  <c r="I42" i="14"/>
  <c r="G42" i="14"/>
  <c r="F42" i="14"/>
  <c r="I41" i="14"/>
  <c r="G41" i="14"/>
  <c r="F41" i="14"/>
  <c r="H41" i="14" s="1"/>
  <c r="Q41" i="14" s="1"/>
  <c r="S41" i="14" s="1"/>
  <c r="I40" i="14"/>
  <c r="G40" i="14"/>
  <c r="F40" i="14"/>
  <c r="I39" i="14"/>
  <c r="G39" i="14"/>
  <c r="F39" i="14"/>
  <c r="I38" i="14"/>
  <c r="G38" i="14"/>
  <c r="F38" i="14"/>
  <c r="I37" i="14"/>
  <c r="G37" i="14"/>
  <c r="F37" i="14"/>
  <c r="H37" i="14" s="1"/>
  <c r="Q37" i="14" s="1"/>
  <c r="S37" i="14" s="1"/>
  <c r="I36" i="14"/>
  <c r="G36" i="14"/>
  <c r="F36" i="14"/>
  <c r="I35" i="14"/>
  <c r="G35" i="14"/>
  <c r="F35" i="14"/>
  <c r="I34" i="14"/>
  <c r="G34" i="14"/>
  <c r="F34" i="14"/>
  <c r="I33" i="14"/>
  <c r="G33" i="14"/>
  <c r="F33" i="14"/>
  <c r="H33" i="14" s="1"/>
  <c r="Q33" i="14" s="1"/>
  <c r="S33" i="14" s="1"/>
  <c r="I29" i="14"/>
  <c r="G29" i="14"/>
  <c r="F29" i="14"/>
  <c r="I28" i="14"/>
  <c r="G28" i="14"/>
  <c r="F28" i="14"/>
  <c r="I27" i="14"/>
  <c r="G27" i="14"/>
  <c r="F27" i="14"/>
  <c r="I26" i="14"/>
  <c r="G26" i="14"/>
  <c r="F26" i="14"/>
  <c r="H26" i="14" s="1"/>
  <c r="Q26" i="14" s="1"/>
  <c r="S26" i="14" s="1"/>
  <c r="I25" i="14"/>
  <c r="G25" i="14"/>
  <c r="F25" i="14"/>
  <c r="I24" i="14"/>
  <c r="G24" i="14"/>
  <c r="F24" i="14"/>
  <c r="I23" i="14"/>
  <c r="G23" i="14"/>
  <c r="F23" i="14"/>
  <c r="I22" i="14"/>
  <c r="G22" i="14"/>
  <c r="F22" i="14"/>
  <c r="H22" i="14" s="1"/>
  <c r="Q22" i="14" s="1"/>
  <c r="S22" i="14" s="1"/>
  <c r="I21" i="14"/>
  <c r="G21" i="14"/>
  <c r="F21" i="14"/>
  <c r="I20" i="14"/>
  <c r="G20" i="14"/>
  <c r="F20" i="14"/>
  <c r="I19" i="14"/>
  <c r="G19" i="14"/>
  <c r="F19" i="14"/>
  <c r="I15" i="14"/>
  <c r="G15" i="14"/>
  <c r="F15" i="14"/>
  <c r="H15" i="14" s="1"/>
  <c r="Q15" i="14" s="1"/>
  <c r="S15" i="14" s="1"/>
  <c r="I14" i="14"/>
  <c r="G14" i="14"/>
  <c r="F14" i="14"/>
  <c r="I13" i="14"/>
  <c r="G13" i="14"/>
  <c r="F13" i="14"/>
  <c r="I12" i="14"/>
  <c r="G12" i="14"/>
  <c r="F12" i="14"/>
  <c r="I11" i="14"/>
  <c r="G11" i="14"/>
  <c r="F11" i="14"/>
  <c r="H11" i="14" s="1"/>
  <c r="Q11" i="14" s="1"/>
  <c r="S11" i="14" s="1"/>
  <c r="I10" i="14"/>
  <c r="G10" i="14"/>
  <c r="F10" i="14"/>
  <c r="I9" i="14"/>
  <c r="G9" i="14"/>
  <c r="F9" i="14"/>
  <c r="I8" i="14"/>
  <c r="G8" i="14"/>
  <c r="F8" i="14"/>
  <c r="I7" i="14"/>
  <c r="G7" i="14"/>
  <c r="F7" i="14"/>
  <c r="H7" i="14" s="1"/>
  <c r="Q7" i="14" s="1"/>
  <c r="S7" i="14" s="1"/>
  <c r="I6" i="14"/>
  <c r="G6" i="14"/>
  <c r="F6" i="14"/>
  <c r="I5" i="14"/>
  <c r="G5" i="14"/>
  <c r="F5" i="14"/>
  <c r="I169" i="13"/>
  <c r="R169" i="13" s="1"/>
  <c r="G169" i="13"/>
  <c r="F169" i="13"/>
  <c r="I168" i="13"/>
  <c r="G168" i="13"/>
  <c r="F168" i="13"/>
  <c r="H168" i="13" s="1"/>
  <c r="Q168" i="13" s="1"/>
  <c r="S168" i="13" s="1"/>
  <c r="I167" i="13"/>
  <c r="G167" i="13"/>
  <c r="F167" i="13"/>
  <c r="I166" i="13"/>
  <c r="G166" i="13"/>
  <c r="F166" i="13"/>
  <c r="I165" i="13"/>
  <c r="G165" i="13"/>
  <c r="F165" i="13"/>
  <c r="I164" i="13"/>
  <c r="G164" i="13"/>
  <c r="F164" i="13"/>
  <c r="H164" i="13" s="1"/>
  <c r="Q164" i="13" s="1"/>
  <c r="S164" i="13" s="1"/>
  <c r="I163" i="13"/>
  <c r="G163" i="13"/>
  <c r="F163" i="13"/>
  <c r="I162" i="13"/>
  <c r="G162" i="13"/>
  <c r="F162" i="13"/>
  <c r="I161" i="13"/>
  <c r="G161" i="13"/>
  <c r="F161" i="13"/>
  <c r="I160" i="13"/>
  <c r="G160" i="13"/>
  <c r="F160" i="13"/>
  <c r="H160" i="13" s="1"/>
  <c r="Q160" i="13" s="1"/>
  <c r="S160" i="13" s="1"/>
  <c r="I159" i="13"/>
  <c r="G159" i="13"/>
  <c r="F159" i="13"/>
  <c r="I155" i="13"/>
  <c r="R155" i="13" s="1"/>
  <c r="G155" i="13"/>
  <c r="F155" i="13"/>
  <c r="I154" i="13"/>
  <c r="G154" i="13"/>
  <c r="F154" i="13"/>
  <c r="I153" i="13"/>
  <c r="G153" i="13"/>
  <c r="F153" i="13"/>
  <c r="H153" i="13" s="1"/>
  <c r="Q153" i="13" s="1"/>
  <c r="S153" i="13" s="1"/>
  <c r="I152" i="13"/>
  <c r="G152" i="13"/>
  <c r="F152" i="13"/>
  <c r="I151" i="13"/>
  <c r="G151" i="13"/>
  <c r="F151" i="13"/>
  <c r="I150" i="13"/>
  <c r="G150" i="13"/>
  <c r="F150" i="13"/>
  <c r="I149" i="13"/>
  <c r="G149" i="13"/>
  <c r="F149" i="13"/>
  <c r="H149" i="13" s="1"/>
  <c r="Q149" i="13" s="1"/>
  <c r="S149" i="13" s="1"/>
  <c r="I148" i="13"/>
  <c r="G148" i="13"/>
  <c r="F148" i="13"/>
  <c r="I147" i="13"/>
  <c r="G147" i="13"/>
  <c r="F147" i="13"/>
  <c r="H147" i="13" s="1"/>
  <c r="Q147" i="13" s="1"/>
  <c r="S147" i="13" s="1"/>
  <c r="I146" i="13"/>
  <c r="G146" i="13"/>
  <c r="F146" i="13"/>
  <c r="I145" i="13"/>
  <c r="G145" i="13"/>
  <c r="F145" i="13"/>
  <c r="I141" i="13"/>
  <c r="R141" i="13" s="1"/>
  <c r="G141" i="13"/>
  <c r="F141" i="13"/>
  <c r="I140" i="13"/>
  <c r="G140" i="13"/>
  <c r="F140" i="13"/>
  <c r="I139" i="13"/>
  <c r="G139" i="13"/>
  <c r="F139" i="13"/>
  <c r="I138" i="13"/>
  <c r="G138" i="13"/>
  <c r="F138" i="13"/>
  <c r="H138" i="13" s="1"/>
  <c r="Q138" i="13" s="1"/>
  <c r="S138" i="13" s="1"/>
  <c r="I137" i="13"/>
  <c r="G137" i="13"/>
  <c r="F137" i="13"/>
  <c r="I136" i="13"/>
  <c r="G136" i="13"/>
  <c r="F136" i="13"/>
  <c r="I135" i="13"/>
  <c r="G135" i="13"/>
  <c r="F135" i="13"/>
  <c r="I134" i="13"/>
  <c r="G134" i="13"/>
  <c r="F134" i="13"/>
  <c r="I133" i="13"/>
  <c r="G133" i="13"/>
  <c r="F133" i="13"/>
  <c r="I132" i="13"/>
  <c r="G132" i="13"/>
  <c r="F132" i="13"/>
  <c r="I131" i="13"/>
  <c r="G131" i="13"/>
  <c r="F131" i="13"/>
  <c r="I127" i="13"/>
  <c r="R127" i="13" s="1"/>
  <c r="G127" i="13"/>
  <c r="F127" i="13"/>
  <c r="H127" i="13" s="1"/>
  <c r="Q127" i="13" s="1"/>
  <c r="S127" i="13" s="1"/>
  <c r="I126" i="13"/>
  <c r="G126" i="13"/>
  <c r="F126" i="13"/>
  <c r="I125" i="13"/>
  <c r="G125" i="13"/>
  <c r="F125" i="13"/>
  <c r="I124" i="13"/>
  <c r="G124" i="13"/>
  <c r="F124" i="13"/>
  <c r="I123" i="13"/>
  <c r="G123" i="13"/>
  <c r="F123" i="13"/>
  <c r="H123" i="13" s="1"/>
  <c r="Q123" i="13" s="1"/>
  <c r="S123" i="13" s="1"/>
  <c r="I122" i="13"/>
  <c r="G122" i="13"/>
  <c r="F122" i="13"/>
  <c r="I121" i="13"/>
  <c r="G121" i="13"/>
  <c r="F121" i="13"/>
  <c r="I120" i="13"/>
  <c r="G120" i="13"/>
  <c r="F120" i="13"/>
  <c r="I119" i="13"/>
  <c r="G119" i="13"/>
  <c r="F119" i="13"/>
  <c r="H119" i="13" s="1"/>
  <c r="Q119" i="13" s="1"/>
  <c r="S119" i="13" s="1"/>
  <c r="I118" i="13"/>
  <c r="G118" i="13"/>
  <c r="F118" i="13"/>
  <c r="I117" i="13"/>
  <c r="G117" i="13"/>
  <c r="F117" i="13"/>
  <c r="I113" i="13"/>
  <c r="R113" i="13" s="1"/>
  <c r="G113" i="13"/>
  <c r="F113" i="13"/>
  <c r="I112" i="13"/>
  <c r="G112" i="13"/>
  <c r="F112" i="13"/>
  <c r="H112" i="13" s="1"/>
  <c r="Q112" i="13" s="1"/>
  <c r="S112" i="13" s="1"/>
  <c r="I111" i="13"/>
  <c r="G111" i="13"/>
  <c r="F111" i="13"/>
  <c r="I110" i="13"/>
  <c r="G110" i="13"/>
  <c r="F110" i="13"/>
  <c r="I109" i="13"/>
  <c r="G109" i="13"/>
  <c r="F109" i="13"/>
  <c r="I108" i="13"/>
  <c r="G108" i="13"/>
  <c r="F108" i="13"/>
  <c r="H108" i="13" s="1"/>
  <c r="Q108" i="13" s="1"/>
  <c r="S108" i="13" s="1"/>
  <c r="I107" i="13"/>
  <c r="G107" i="13"/>
  <c r="F107" i="13"/>
  <c r="I106" i="13"/>
  <c r="G106" i="13"/>
  <c r="F106" i="13"/>
  <c r="I105" i="13"/>
  <c r="G105" i="13"/>
  <c r="F105" i="13"/>
  <c r="I104" i="13"/>
  <c r="G104" i="13"/>
  <c r="F104" i="13"/>
  <c r="H104" i="13" s="1"/>
  <c r="Q104" i="13" s="1"/>
  <c r="S104" i="13" s="1"/>
  <c r="I103" i="13"/>
  <c r="G103" i="13"/>
  <c r="F103" i="13"/>
  <c r="I99" i="13"/>
  <c r="G99" i="13"/>
  <c r="F99" i="13"/>
  <c r="I98" i="13"/>
  <c r="G98" i="13"/>
  <c r="F98" i="13"/>
  <c r="I97" i="13"/>
  <c r="G97" i="13"/>
  <c r="F97" i="13"/>
  <c r="I96" i="13"/>
  <c r="G96" i="13"/>
  <c r="F96" i="13"/>
  <c r="I95" i="13"/>
  <c r="G95" i="13"/>
  <c r="F95" i="13"/>
  <c r="I94" i="13"/>
  <c r="G94" i="13"/>
  <c r="F94" i="13"/>
  <c r="I93" i="13"/>
  <c r="G93" i="13"/>
  <c r="F93" i="13"/>
  <c r="I92" i="13"/>
  <c r="G92" i="13"/>
  <c r="F92" i="13"/>
  <c r="I91" i="13"/>
  <c r="G91" i="13"/>
  <c r="F91" i="13"/>
  <c r="I90" i="13"/>
  <c r="G90" i="13"/>
  <c r="F90" i="13"/>
  <c r="I89" i="13"/>
  <c r="G89" i="13"/>
  <c r="F89" i="13"/>
  <c r="I85" i="13"/>
  <c r="G85" i="13"/>
  <c r="F85" i="13"/>
  <c r="I84" i="13"/>
  <c r="G84" i="13"/>
  <c r="F84" i="13"/>
  <c r="I83" i="13"/>
  <c r="G83" i="13"/>
  <c r="F83" i="13"/>
  <c r="I82" i="13"/>
  <c r="G82" i="13"/>
  <c r="F82" i="13"/>
  <c r="H82" i="13" s="1"/>
  <c r="Q82" i="13" s="1"/>
  <c r="S82" i="13" s="1"/>
  <c r="I81" i="13"/>
  <c r="G81" i="13"/>
  <c r="F81" i="13"/>
  <c r="I80" i="13"/>
  <c r="G80" i="13"/>
  <c r="F80" i="13"/>
  <c r="I79" i="13"/>
  <c r="G79" i="13"/>
  <c r="F79" i="13"/>
  <c r="I78" i="13"/>
  <c r="G78" i="13"/>
  <c r="F78" i="13"/>
  <c r="I77" i="13"/>
  <c r="G77" i="13"/>
  <c r="F77" i="13"/>
  <c r="I76" i="13"/>
  <c r="G76" i="13"/>
  <c r="F76" i="13"/>
  <c r="I75" i="13"/>
  <c r="G75" i="13"/>
  <c r="F75" i="13"/>
  <c r="I71" i="13"/>
  <c r="G71" i="13"/>
  <c r="F71" i="13"/>
  <c r="H71" i="13" s="1"/>
  <c r="Q71" i="13" s="1"/>
  <c r="S71" i="13" s="1"/>
  <c r="I70" i="13"/>
  <c r="G70" i="13"/>
  <c r="F70" i="13"/>
  <c r="I69" i="13"/>
  <c r="G69" i="13"/>
  <c r="F69" i="13"/>
  <c r="I68" i="13"/>
  <c r="G68" i="13"/>
  <c r="F68" i="13"/>
  <c r="I67" i="13"/>
  <c r="G67" i="13"/>
  <c r="F67" i="13"/>
  <c r="H67" i="13" s="1"/>
  <c r="Q67" i="13" s="1"/>
  <c r="S67" i="13" s="1"/>
  <c r="I66" i="13"/>
  <c r="G66" i="13"/>
  <c r="F66" i="13"/>
  <c r="I65" i="13"/>
  <c r="G65" i="13"/>
  <c r="F65" i="13"/>
  <c r="I64" i="13"/>
  <c r="G64" i="13"/>
  <c r="F64" i="13"/>
  <c r="I63" i="13"/>
  <c r="G63" i="13"/>
  <c r="F63" i="13"/>
  <c r="H63" i="13" s="1"/>
  <c r="Q63" i="13" s="1"/>
  <c r="S63" i="13" s="1"/>
  <c r="I62" i="13"/>
  <c r="G62" i="13"/>
  <c r="F62" i="13"/>
  <c r="I61" i="13"/>
  <c r="G61" i="13"/>
  <c r="F61" i="13"/>
  <c r="I57" i="13"/>
  <c r="G57" i="13"/>
  <c r="F57" i="13"/>
  <c r="I56" i="13"/>
  <c r="G56" i="13"/>
  <c r="F56" i="13"/>
  <c r="I55" i="13"/>
  <c r="G55" i="13"/>
  <c r="F55" i="13"/>
  <c r="I54" i="13"/>
  <c r="G54" i="13"/>
  <c r="F54" i="13"/>
  <c r="I53" i="13"/>
  <c r="G53" i="13"/>
  <c r="F53" i="13"/>
  <c r="I52" i="13"/>
  <c r="G52" i="13"/>
  <c r="F52" i="13"/>
  <c r="H52" i="13" s="1"/>
  <c r="Q52" i="13" s="1"/>
  <c r="S52" i="13" s="1"/>
  <c r="I51" i="13"/>
  <c r="G51" i="13"/>
  <c r="F51" i="13"/>
  <c r="I50" i="13"/>
  <c r="G50" i="13"/>
  <c r="F50" i="13"/>
  <c r="I49" i="13"/>
  <c r="G49" i="13"/>
  <c r="F49" i="13"/>
  <c r="I48" i="13"/>
  <c r="G48" i="13"/>
  <c r="F48" i="13"/>
  <c r="I47" i="13"/>
  <c r="G47" i="13"/>
  <c r="F47" i="13"/>
  <c r="I43" i="13"/>
  <c r="G43" i="13"/>
  <c r="F43" i="13"/>
  <c r="I42" i="13"/>
  <c r="G42" i="13"/>
  <c r="F42" i="13"/>
  <c r="I41" i="13"/>
  <c r="G41" i="13"/>
  <c r="F41" i="13"/>
  <c r="H41" i="13" s="1"/>
  <c r="Q41" i="13" s="1"/>
  <c r="S41" i="13" s="1"/>
  <c r="I40" i="13"/>
  <c r="G40" i="13"/>
  <c r="F40" i="13"/>
  <c r="I39" i="13"/>
  <c r="G39" i="13"/>
  <c r="F39" i="13"/>
  <c r="I38" i="13"/>
  <c r="G38" i="13"/>
  <c r="F38" i="13"/>
  <c r="I37" i="13"/>
  <c r="G37" i="13"/>
  <c r="F37" i="13"/>
  <c r="I36" i="13"/>
  <c r="G36" i="13"/>
  <c r="F36" i="13"/>
  <c r="I35" i="13"/>
  <c r="G35" i="13"/>
  <c r="F35" i="13"/>
  <c r="I34" i="13"/>
  <c r="G34" i="13"/>
  <c r="F34" i="13"/>
  <c r="I33" i="13"/>
  <c r="G33" i="13"/>
  <c r="F33" i="13"/>
  <c r="H33" i="13" s="1"/>
  <c r="Q33" i="13" s="1"/>
  <c r="S33" i="13" s="1"/>
  <c r="I29" i="13"/>
  <c r="G29" i="13"/>
  <c r="F29" i="13"/>
  <c r="I28" i="13"/>
  <c r="G28" i="13"/>
  <c r="F28" i="13"/>
  <c r="I27" i="13"/>
  <c r="G27" i="13"/>
  <c r="F27" i="13"/>
  <c r="I26" i="13"/>
  <c r="G26" i="13"/>
  <c r="F26" i="13"/>
  <c r="I25" i="13"/>
  <c r="G25" i="13"/>
  <c r="F25" i="13"/>
  <c r="I24" i="13"/>
  <c r="G24" i="13"/>
  <c r="F24" i="13"/>
  <c r="I23" i="13"/>
  <c r="G23" i="13"/>
  <c r="F23" i="13"/>
  <c r="I22" i="13"/>
  <c r="G22" i="13"/>
  <c r="F22" i="13"/>
  <c r="I21" i="13"/>
  <c r="G21" i="13"/>
  <c r="F21" i="13"/>
  <c r="I20" i="13"/>
  <c r="G20" i="13"/>
  <c r="F20" i="13"/>
  <c r="I19" i="13"/>
  <c r="G19" i="13"/>
  <c r="F19" i="13"/>
  <c r="I15" i="13"/>
  <c r="G15" i="13"/>
  <c r="F15" i="13"/>
  <c r="H15" i="13" s="1"/>
  <c r="Q15" i="13" s="1"/>
  <c r="S15" i="13" s="1"/>
  <c r="I14" i="13"/>
  <c r="G14" i="13"/>
  <c r="F14" i="13"/>
  <c r="I13" i="13"/>
  <c r="G13" i="13"/>
  <c r="F13" i="13"/>
  <c r="I12" i="13"/>
  <c r="G12" i="13"/>
  <c r="F12" i="13"/>
  <c r="I11" i="13"/>
  <c r="G11" i="13"/>
  <c r="F11" i="13"/>
  <c r="H11" i="13" s="1"/>
  <c r="Q11" i="13" s="1"/>
  <c r="S11" i="13" s="1"/>
  <c r="I10" i="13"/>
  <c r="G10" i="13"/>
  <c r="F10" i="13"/>
  <c r="I9" i="13"/>
  <c r="G9" i="13"/>
  <c r="F9" i="13"/>
  <c r="I8" i="13"/>
  <c r="G8" i="13"/>
  <c r="F8" i="13"/>
  <c r="I7" i="13"/>
  <c r="G7" i="13"/>
  <c r="F7" i="13"/>
  <c r="I6" i="13"/>
  <c r="G6" i="13"/>
  <c r="F6" i="13"/>
  <c r="I5" i="13"/>
  <c r="G5" i="13"/>
  <c r="F5" i="13"/>
  <c r="H78" i="21" l="1"/>
  <c r="Q78" i="21" s="1"/>
  <c r="S78" i="21" s="1"/>
  <c r="BC17" i="21" s="1"/>
  <c r="H89" i="21"/>
  <c r="Q89" i="21" s="1"/>
  <c r="S89" i="21" s="1"/>
  <c r="BI14" i="21" s="1"/>
  <c r="Y20" i="13"/>
  <c r="U11" i="13"/>
  <c r="AA20" i="13" s="1"/>
  <c r="T11" i="13"/>
  <c r="Z20" i="13" s="1"/>
  <c r="R13" i="13"/>
  <c r="AC22" i="13" s="1"/>
  <c r="R20" i="13"/>
  <c r="AI15" i="13" s="1"/>
  <c r="R28" i="13"/>
  <c r="AI23" i="13" s="1"/>
  <c r="R35" i="13"/>
  <c r="AO16" i="13" s="1"/>
  <c r="AQ19" i="13"/>
  <c r="T52" i="13"/>
  <c r="AR19" i="13" s="1"/>
  <c r="U52" i="13"/>
  <c r="AS19" i="13" s="1"/>
  <c r="R54" i="13"/>
  <c r="AU21" i="13" s="1"/>
  <c r="R61" i="13"/>
  <c r="BA14" i="13" s="1"/>
  <c r="AW24" i="13"/>
  <c r="T71" i="13"/>
  <c r="AX24" i="13" s="1"/>
  <c r="U71" i="13"/>
  <c r="AY24" i="13" s="1"/>
  <c r="R76" i="13"/>
  <c r="BG15" i="13" s="1"/>
  <c r="R80" i="13"/>
  <c r="BG19" i="13" s="1"/>
  <c r="BO19" i="13"/>
  <c r="T108" i="13"/>
  <c r="BP19" i="13" s="1"/>
  <c r="U108" i="13"/>
  <c r="BQ19" i="13" s="1"/>
  <c r="BO23" i="13"/>
  <c r="T112" i="13"/>
  <c r="BP23" i="13" s="1"/>
  <c r="U112" i="13"/>
  <c r="BQ23" i="13" s="1"/>
  <c r="R117" i="13"/>
  <c r="BY14" i="13" s="1"/>
  <c r="BU20" i="13"/>
  <c r="U123" i="13"/>
  <c r="BW20" i="13" s="1"/>
  <c r="T123" i="13"/>
  <c r="BV20" i="13" s="1"/>
  <c r="R125" i="13"/>
  <c r="BY22" i="13" s="1"/>
  <c r="R132" i="13"/>
  <c r="CE15" i="13" s="1"/>
  <c r="R136" i="13"/>
  <c r="CE19" i="13" s="1"/>
  <c r="R140" i="13"/>
  <c r="CE23" i="13" s="1"/>
  <c r="CG18" i="13"/>
  <c r="T149" i="13"/>
  <c r="CH18" i="13" s="1"/>
  <c r="U149" i="13"/>
  <c r="CI18" i="13" s="1"/>
  <c r="R151" i="13"/>
  <c r="CK20" i="13" s="1"/>
  <c r="CM19" i="13"/>
  <c r="U164" i="13"/>
  <c r="CO19" i="13" s="1"/>
  <c r="T164" i="13"/>
  <c r="CN19" i="13" s="1"/>
  <c r="R166" i="13"/>
  <c r="CQ21" i="13" s="1"/>
  <c r="Y16" i="14"/>
  <c r="U7" i="14"/>
  <c r="AA16" i="14" s="1"/>
  <c r="T7" i="14"/>
  <c r="Z16" i="14" s="1"/>
  <c r="R9" i="14"/>
  <c r="AC18" i="14" s="1"/>
  <c r="Y24" i="14"/>
  <c r="T15" i="14"/>
  <c r="Z24" i="14" s="1"/>
  <c r="U15" i="14"/>
  <c r="AA24" i="14" s="1"/>
  <c r="R20" i="14"/>
  <c r="AI15" i="14" s="1"/>
  <c r="AK14" i="14"/>
  <c r="T33" i="14"/>
  <c r="AL14" i="14" s="1"/>
  <c r="U33" i="14"/>
  <c r="AM14" i="14" s="1"/>
  <c r="R35" i="14"/>
  <c r="AO16" i="14" s="1"/>
  <c r="AQ15" i="14"/>
  <c r="U48" i="14"/>
  <c r="AS15" i="14" s="1"/>
  <c r="T48" i="14"/>
  <c r="AR15" i="14" s="1"/>
  <c r="AQ19" i="14"/>
  <c r="U52" i="14"/>
  <c r="AS19" i="14" s="1"/>
  <c r="T52" i="14"/>
  <c r="AR19" i="14" s="1"/>
  <c r="R54" i="14"/>
  <c r="AU21" i="14" s="1"/>
  <c r="AW20" i="14"/>
  <c r="T67" i="14"/>
  <c r="AX20" i="14" s="1"/>
  <c r="U67" i="14"/>
  <c r="AY20" i="14" s="1"/>
  <c r="R69" i="14"/>
  <c r="BA22" i="14" s="1"/>
  <c r="R76" i="14"/>
  <c r="BG15" i="14" s="1"/>
  <c r="BI18" i="14"/>
  <c r="U93" i="14"/>
  <c r="BK18" i="14" s="1"/>
  <c r="T93" i="14"/>
  <c r="BJ18" i="14" s="1"/>
  <c r="R95" i="14"/>
  <c r="BM20" i="14" s="1"/>
  <c r="BO19" i="14"/>
  <c r="U108" i="14"/>
  <c r="BQ19" i="14" s="1"/>
  <c r="T108" i="14"/>
  <c r="BP19" i="14" s="1"/>
  <c r="R110" i="14"/>
  <c r="BS21" i="14" s="1"/>
  <c r="BU16" i="14"/>
  <c r="T119" i="14"/>
  <c r="BV16" i="14" s="1"/>
  <c r="U119" i="14"/>
  <c r="BW16" i="14" s="1"/>
  <c r="R121" i="14"/>
  <c r="BY18" i="14" s="1"/>
  <c r="R125" i="14"/>
  <c r="BY22" i="14" s="1"/>
  <c r="CA17" i="14"/>
  <c r="U134" i="14"/>
  <c r="CC17" i="14" s="1"/>
  <c r="T134" i="14"/>
  <c r="CB17" i="14" s="1"/>
  <c r="R136" i="14"/>
  <c r="CE19" i="14" s="1"/>
  <c r="CM15" i="14"/>
  <c r="U160" i="14"/>
  <c r="CO15" i="14" s="1"/>
  <c r="T160" i="14"/>
  <c r="CN15" i="14" s="1"/>
  <c r="Y16" i="15"/>
  <c r="U7" i="15"/>
  <c r="AA16" i="15" s="1"/>
  <c r="T7" i="15"/>
  <c r="Z16" i="15" s="1"/>
  <c r="R9" i="15"/>
  <c r="AC18" i="15" s="1"/>
  <c r="R13" i="15"/>
  <c r="AC22" i="15" s="1"/>
  <c r="R20" i="15"/>
  <c r="AI15" i="15" s="1"/>
  <c r="R24" i="15"/>
  <c r="AI19" i="15" s="1"/>
  <c r="AK22" i="15"/>
  <c r="T41" i="15"/>
  <c r="AL22" i="15" s="1"/>
  <c r="U41" i="15"/>
  <c r="AM22" i="15" s="1"/>
  <c r="R50" i="15"/>
  <c r="AU17" i="15" s="1"/>
  <c r="AW20" i="15"/>
  <c r="U67" i="15"/>
  <c r="AY20" i="15" s="1"/>
  <c r="T67" i="15"/>
  <c r="AX20" i="15" s="1"/>
  <c r="R69" i="15"/>
  <c r="BA22" i="15" s="1"/>
  <c r="BC21" i="15"/>
  <c r="T82" i="15"/>
  <c r="BD21" i="15" s="1"/>
  <c r="U82" i="15"/>
  <c r="BE21" i="15" s="1"/>
  <c r="R84" i="15"/>
  <c r="BG23" i="15" s="1"/>
  <c r="R91" i="15"/>
  <c r="BM16" i="15" s="1"/>
  <c r="BI22" i="15"/>
  <c r="T97" i="15"/>
  <c r="BJ22" i="15" s="1"/>
  <c r="U97" i="15"/>
  <c r="BK22" i="15" s="1"/>
  <c r="R106" i="15"/>
  <c r="BS17" i="15" s="1"/>
  <c r="BU20" i="15"/>
  <c r="T123" i="15"/>
  <c r="BV20" i="15" s="1"/>
  <c r="U123" i="15"/>
  <c r="BW20" i="15" s="1"/>
  <c r="R125" i="15"/>
  <c r="BY22" i="15" s="1"/>
  <c r="CA21" i="15"/>
  <c r="U138" i="15"/>
  <c r="CC21" i="15" s="1"/>
  <c r="T138" i="15"/>
  <c r="CB21" i="15" s="1"/>
  <c r="R147" i="15"/>
  <c r="CK16" i="15" s="1"/>
  <c r="CM15" i="15"/>
  <c r="U160" i="15"/>
  <c r="CO15" i="15" s="1"/>
  <c r="T160" i="15"/>
  <c r="CN15" i="15" s="1"/>
  <c r="Y16" i="16"/>
  <c r="U7" i="16"/>
  <c r="AA16" i="16" s="1"/>
  <c r="T7" i="16"/>
  <c r="Z16" i="16" s="1"/>
  <c r="R9" i="16"/>
  <c r="AC18" i="16" s="1"/>
  <c r="Y20" i="16"/>
  <c r="U11" i="16"/>
  <c r="AA20" i="16" s="1"/>
  <c r="T11" i="16"/>
  <c r="Z20" i="16" s="1"/>
  <c r="R13" i="16"/>
  <c r="AC22" i="16" s="1"/>
  <c r="R20" i="16"/>
  <c r="AI15" i="16" s="1"/>
  <c r="R24" i="16"/>
  <c r="AI19" i="16" s="1"/>
  <c r="R28" i="16"/>
  <c r="AI23" i="16" s="1"/>
  <c r="R35" i="16"/>
  <c r="AO16" i="16" s="1"/>
  <c r="AQ15" i="16"/>
  <c r="U48" i="16"/>
  <c r="AS15" i="16" s="1"/>
  <c r="T48" i="16"/>
  <c r="AR15" i="16" s="1"/>
  <c r="AQ23" i="16"/>
  <c r="U56" i="16"/>
  <c r="AS23" i="16" s="1"/>
  <c r="T56" i="16"/>
  <c r="AR23" i="16" s="1"/>
  <c r="AW16" i="16"/>
  <c r="U63" i="16"/>
  <c r="AY16" i="16" s="1"/>
  <c r="T63" i="16"/>
  <c r="AX16" i="16" s="1"/>
  <c r="R65" i="16"/>
  <c r="BA18" i="16" s="1"/>
  <c r="BC21" i="16"/>
  <c r="T82" i="16"/>
  <c r="BD21" i="16" s="1"/>
  <c r="U82" i="16"/>
  <c r="BE21" i="16" s="1"/>
  <c r="R84" i="16"/>
  <c r="BG23" i="16" s="1"/>
  <c r="R91" i="16"/>
  <c r="BM16" i="16" s="1"/>
  <c r="BI22" i="16"/>
  <c r="T97" i="16"/>
  <c r="BJ22" i="16" s="1"/>
  <c r="U97" i="16"/>
  <c r="BK22" i="16" s="1"/>
  <c r="R106" i="16"/>
  <c r="BS17" i="16" s="1"/>
  <c r="R110" i="16"/>
  <c r="BS21" i="16" s="1"/>
  <c r="R121" i="16"/>
  <c r="BY18" i="16" s="1"/>
  <c r="U138" i="16"/>
  <c r="T138" i="16"/>
  <c r="CG18" i="16"/>
  <c r="U149" i="16"/>
  <c r="CI18" i="16" s="1"/>
  <c r="T149" i="16"/>
  <c r="CH18" i="16" s="1"/>
  <c r="U153" i="16"/>
  <c r="T153" i="16"/>
  <c r="U168" i="16"/>
  <c r="T168" i="16"/>
  <c r="Y20" i="17"/>
  <c r="U11" i="17"/>
  <c r="AA20" i="17" s="1"/>
  <c r="T11" i="17"/>
  <c r="Z20" i="17" s="1"/>
  <c r="Y24" i="17"/>
  <c r="T15" i="17"/>
  <c r="Z24" i="17" s="1"/>
  <c r="U15" i="17"/>
  <c r="AA24" i="17" s="1"/>
  <c r="R20" i="17"/>
  <c r="AI15" i="17" s="1"/>
  <c r="AK18" i="17"/>
  <c r="U37" i="17"/>
  <c r="AM18" i="17" s="1"/>
  <c r="T37" i="17"/>
  <c r="AL18" i="17" s="1"/>
  <c r="R39" i="17"/>
  <c r="AO20" i="17" s="1"/>
  <c r="AQ15" i="17"/>
  <c r="U48" i="17"/>
  <c r="AS15" i="17" s="1"/>
  <c r="T48" i="17"/>
  <c r="AR15" i="17" s="1"/>
  <c r="R50" i="17"/>
  <c r="AU17" i="17" s="1"/>
  <c r="AW20" i="17"/>
  <c r="U67" i="17"/>
  <c r="AY20" i="17" s="1"/>
  <c r="T67" i="17"/>
  <c r="AX20" i="17" s="1"/>
  <c r="T71" i="17"/>
  <c r="U71" i="17"/>
  <c r="R76" i="17"/>
  <c r="BG15" i="17" s="1"/>
  <c r="BI14" i="17"/>
  <c r="U89" i="17"/>
  <c r="BK14" i="17" s="1"/>
  <c r="T89" i="17"/>
  <c r="BJ14" i="17" s="1"/>
  <c r="R95" i="17"/>
  <c r="BM20" i="17" s="1"/>
  <c r="BO15" i="17"/>
  <c r="U104" i="17"/>
  <c r="BQ15" i="17" s="1"/>
  <c r="T104" i="17"/>
  <c r="BP15" i="17" s="1"/>
  <c r="R106" i="17"/>
  <c r="BS17" i="17" s="1"/>
  <c r="R110" i="17"/>
  <c r="BS21" i="17" s="1"/>
  <c r="BU16" i="17"/>
  <c r="U119" i="17"/>
  <c r="BW16" i="17" s="1"/>
  <c r="T119" i="17"/>
  <c r="BV16" i="17" s="1"/>
  <c r="CA17" i="17"/>
  <c r="U134" i="17"/>
  <c r="CC17" i="17" s="1"/>
  <c r="T134" i="17"/>
  <c r="CB17" i="17" s="1"/>
  <c r="R136" i="17"/>
  <c r="CE19" i="17" s="1"/>
  <c r="CM15" i="17"/>
  <c r="T160" i="17"/>
  <c r="CN15" i="17" s="1"/>
  <c r="U160" i="17"/>
  <c r="CO15" i="17" s="1"/>
  <c r="U164" i="17"/>
  <c r="T164" i="17"/>
  <c r="R5" i="18"/>
  <c r="AC14" i="18" s="1"/>
  <c r="Y24" i="18"/>
  <c r="U15" i="18"/>
  <c r="AA24" i="18" s="1"/>
  <c r="T15" i="18"/>
  <c r="Z24" i="18" s="1"/>
  <c r="AE17" i="18"/>
  <c r="U22" i="18"/>
  <c r="AG17" i="18" s="1"/>
  <c r="T22" i="18"/>
  <c r="AF17" i="18" s="1"/>
  <c r="R24" i="18"/>
  <c r="AI19" i="18" s="1"/>
  <c r="AK18" i="18"/>
  <c r="U37" i="18"/>
  <c r="AM18" i="18" s="1"/>
  <c r="T37" i="18"/>
  <c r="AL18" i="18" s="1"/>
  <c r="R39" i="18"/>
  <c r="AO20" i="18" s="1"/>
  <c r="U52" i="18"/>
  <c r="T52" i="18"/>
  <c r="AW16" i="18"/>
  <c r="U63" i="18"/>
  <c r="AY16" i="18" s="1"/>
  <c r="T63" i="18"/>
  <c r="AX16" i="18" s="1"/>
  <c r="T67" i="18"/>
  <c r="U67" i="18"/>
  <c r="U82" i="18"/>
  <c r="T82" i="18"/>
  <c r="U93" i="18"/>
  <c r="T93" i="18"/>
  <c r="U97" i="18"/>
  <c r="T97" i="18"/>
  <c r="U108" i="18"/>
  <c r="T108" i="18"/>
  <c r="BU16" i="18"/>
  <c r="T119" i="18"/>
  <c r="BV16" i="18" s="1"/>
  <c r="U119" i="18"/>
  <c r="BW16" i="18" s="1"/>
  <c r="T127" i="18"/>
  <c r="U127" i="18"/>
  <c r="R132" i="18"/>
  <c r="CE15" i="18" s="1"/>
  <c r="CG14" i="18"/>
  <c r="T145" i="18"/>
  <c r="CH14" i="18" s="1"/>
  <c r="U145" i="18"/>
  <c r="CI14" i="18" s="1"/>
  <c r="R147" i="18"/>
  <c r="CK16" i="18" s="1"/>
  <c r="T168" i="18"/>
  <c r="U168" i="18"/>
  <c r="R5" i="19"/>
  <c r="AC14" i="19" s="1"/>
  <c r="Y16" i="19"/>
  <c r="U7" i="19"/>
  <c r="AA16" i="19" s="1"/>
  <c r="T7" i="19"/>
  <c r="Z16" i="19" s="1"/>
  <c r="R9" i="19"/>
  <c r="AC18" i="19" s="1"/>
  <c r="AE17" i="19"/>
  <c r="U22" i="19"/>
  <c r="AG17" i="19" s="1"/>
  <c r="T22" i="19"/>
  <c r="AF17" i="19" s="1"/>
  <c r="R24" i="19"/>
  <c r="AI19" i="19" s="1"/>
  <c r="AK14" i="19"/>
  <c r="U33" i="19"/>
  <c r="AM14" i="19" s="1"/>
  <c r="T33" i="19"/>
  <c r="AL14" i="19" s="1"/>
  <c r="AN16" i="19"/>
  <c r="R35" i="19"/>
  <c r="AO16" i="19" s="1"/>
  <c r="T41" i="19"/>
  <c r="U41" i="19"/>
  <c r="T52" i="19"/>
  <c r="U52" i="19"/>
  <c r="AW16" i="19"/>
  <c r="T63" i="19"/>
  <c r="AX16" i="19" s="1"/>
  <c r="U63" i="19"/>
  <c r="AY16" i="19" s="1"/>
  <c r="T78" i="19"/>
  <c r="U78" i="19"/>
  <c r="T93" i="19"/>
  <c r="U93" i="19"/>
  <c r="U97" i="19"/>
  <c r="T97" i="19"/>
  <c r="BU16" i="19"/>
  <c r="U119" i="19"/>
  <c r="BW16" i="19" s="1"/>
  <c r="T119" i="19"/>
  <c r="BV16" i="19" s="1"/>
  <c r="T127" i="19"/>
  <c r="U127" i="19"/>
  <c r="CD15" i="19"/>
  <c r="R132" i="19"/>
  <c r="CE15" i="19" s="1"/>
  <c r="CG14" i="19"/>
  <c r="U145" i="19"/>
  <c r="CI14" i="19" s="1"/>
  <c r="T145" i="19"/>
  <c r="CH14" i="19" s="1"/>
  <c r="CG18" i="19"/>
  <c r="U149" i="19"/>
  <c r="CI18" i="19" s="1"/>
  <c r="T149" i="19"/>
  <c r="CH18" i="19" s="1"/>
  <c r="T153" i="19"/>
  <c r="U153" i="19"/>
  <c r="CM15" i="19"/>
  <c r="U160" i="19"/>
  <c r="CO15" i="19" s="1"/>
  <c r="T160" i="19"/>
  <c r="CN15" i="19" s="1"/>
  <c r="R162" i="19"/>
  <c r="CQ17" i="19" s="1"/>
  <c r="U164" i="19"/>
  <c r="T164" i="19"/>
  <c r="U168" i="19"/>
  <c r="T168" i="19"/>
  <c r="R5" i="20"/>
  <c r="AC14" i="20" s="1"/>
  <c r="Y16" i="20"/>
  <c r="T7" i="20"/>
  <c r="Z16" i="20" s="1"/>
  <c r="U7" i="20"/>
  <c r="AA16" i="20" s="1"/>
  <c r="R9" i="20"/>
  <c r="AC18" i="20" s="1"/>
  <c r="Y20" i="20"/>
  <c r="T11" i="20"/>
  <c r="Z20" i="20" s="1"/>
  <c r="U11" i="20"/>
  <c r="AA20" i="20" s="1"/>
  <c r="AB22" i="20"/>
  <c r="R13" i="20"/>
  <c r="AC22" i="20" s="1"/>
  <c r="Y24" i="20"/>
  <c r="T15" i="20"/>
  <c r="Z24" i="20" s="1"/>
  <c r="U15" i="20"/>
  <c r="AA24" i="20" s="1"/>
  <c r="AH15" i="20"/>
  <c r="R20" i="20"/>
  <c r="AI15" i="20" s="1"/>
  <c r="AE17" i="20"/>
  <c r="T22" i="20"/>
  <c r="AF17" i="20" s="1"/>
  <c r="U22" i="20"/>
  <c r="AG17" i="20" s="1"/>
  <c r="R24" i="20"/>
  <c r="AI19" i="20" s="1"/>
  <c r="AE21" i="20"/>
  <c r="T26" i="20"/>
  <c r="AF21" i="20" s="1"/>
  <c r="U26" i="20"/>
  <c r="AG21" i="20" s="1"/>
  <c r="R28" i="20"/>
  <c r="AI23" i="20" s="1"/>
  <c r="AK14" i="20"/>
  <c r="U33" i="20"/>
  <c r="AM14" i="20" s="1"/>
  <c r="T33" i="20"/>
  <c r="AL14" i="20" s="1"/>
  <c r="R35" i="20"/>
  <c r="AO16" i="20" s="1"/>
  <c r="AK18" i="20"/>
  <c r="U37" i="20"/>
  <c r="AM18" i="20" s="1"/>
  <c r="T37" i="20"/>
  <c r="AL18" i="20" s="1"/>
  <c r="AN20" i="20"/>
  <c r="R39" i="20"/>
  <c r="AO20" i="20" s="1"/>
  <c r="U41" i="20"/>
  <c r="T41" i="20"/>
  <c r="AQ15" i="20"/>
  <c r="T48" i="20"/>
  <c r="AR15" i="20" s="1"/>
  <c r="U48" i="20"/>
  <c r="AS15" i="20" s="1"/>
  <c r="AT17" i="20"/>
  <c r="R50" i="20"/>
  <c r="AU17" i="20" s="1"/>
  <c r="AQ19" i="20"/>
  <c r="U52" i="20"/>
  <c r="AS19" i="20" s="1"/>
  <c r="T52" i="20"/>
  <c r="AR19" i="20" s="1"/>
  <c r="T56" i="20"/>
  <c r="U56" i="20"/>
  <c r="AZ14" i="20"/>
  <c r="R61" i="20"/>
  <c r="BA14" i="20" s="1"/>
  <c r="AW16" i="20"/>
  <c r="U63" i="20"/>
  <c r="AY16" i="20" s="1"/>
  <c r="T63" i="20"/>
  <c r="AX16" i="20" s="1"/>
  <c r="U67" i="20"/>
  <c r="T67" i="20"/>
  <c r="U71" i="20"/>
  <c r="T71" i="20"/>
  <c r="BF15" i="20"/>
  <c r="R76" i="20"/>
  <c r="BG15" i="20" s="1"/>
  <c r="BC17" i="20"/>
  <c r="T78" i="20"/>
  <c r="BD17" i="20" s="1"/>
  <c r="U78" i="20"/>
  <c r="BE17" i="20" s="1"/>
  <c r="U82" i="20"/>
  <c r="T82" i="20"/>
  <c r="BI14" i="20"/>
  <c r="U89" i="20"/>
  <c r="BK14" i="20" s="1"/>
  <c r="T89" i="20"/>
  <c r="BJ14" i="20" s="1"/>
  <c r="BL16" i="20"/>
  <c r="R91" i="20"/>
  <c r="BM16" i="20" s="1"/>
  <c r="U93" i="20"/>
  <c r="T93" i="20"/>
  <c r="T97" i="20"/>
  <c r="U97" i="20"/>
  <c r="BO15" i="20"/>
  <c r="T104" i="20"/>
  <c r="BP15" i="20" s="1"/>
  <c r="U104" i="20"/>
  <c r="BQ15" i="20" s="1"/>
  <c r="BR17" i="20"/>
  <c r="R106" i="20"/>
  <c r="BS17" i="20" s="1"/>
  <c r="R117" i="20"/>
  <c r="BY14" i="20" s="1"/>
  <c r="T123" i="20"/>
  <c r="U123" i="20"/>
  <c r="T127" i="20"/>
  <c r="U127" i="20"/>
  <c r="R132" i="20"/>
  <c r="CE15" i="20" s="1"/>
  <c r="CA17" i="20"/>
  <c r="T134" i="20"/>
  <c r="CB17" i="20" s="1"/>
  <c r="U134" i="20"/>
  <c r="CC17" i="20" s="1"/>
  <c r="CG14" i="20"/>
  <c r="U145" i="20"/>
  <c r="CI14" i="20" s="1"/>
  <c r="T145" i="20"/>
  <c r="CH14" i="20" s="1"/>
  <c r="CG18" i="20"/>
  <c r="U149" i="20"/>
  <c r="CI18" i="20" s="1"/>
  <c r="T149" i="20"/>
  <c r="CH18" i="20" s="1"/>
  <c r="U153" i="20"/>
  <c r="T153" i="20"/>
  <c r="CM15" i="20"/>
  <c r="T160" i="20"/>
  <c r="CN15" i="20" s="1"/>
  <c r="U160" i="20"/>
  <c r="CO15" i="20" s="1"/>
  <c r="CP17" i="20"/>
  <c r="R162" i="20"/>
  <c r="CQ17" i="20" s="1"/>
  <c r="U164" i="20"/>
  <c r="T164" i="20"/>
  <c r="U168" i="20"/>
  <c r="T168" i="20"/>
  <c r="R5" i="21"/>
  <c r="AC14" i="21" s="1"/>
  <c r="R9" i="21"/>
  <c r="AC18" i="21" s="1"/>
  <c r="R13" i="21"/>
  <c r="AC22" i="21" s="1"/>
  <c r="R20" i="21"/>
  <c r="AI15" i="21" s="1"/>
  <c r="R24" i="21"/>
  <c r="AI19" i="21" s="1"/>
  <c r="R28" i="21"/>
  <c r="AI23" i="21" s="1"/>
  <c r="R35" i="21"/>
  <c r="AO16" i="21" s="1"/>
  <c r="R39" i="21"/>
  <c r="AO20" i="21" s="1"/>
  <c r="R43" i="21"/>
  <c r="AO24" i="21" s="1"/>
  <c r="R50" i="21"/>
  <c r="AU17" i="21" s="1"/>
  <c r="AT17" i="21"/>
  <c r="R54" i="21"/>
  <c r="AU21" i="21" s="1"/>
  <c r="R61" i="21"/>
  <c r="BA14" i="21" s="1"/>
  <c r="R65" i="21"/>
  <c r="BA18" i="21" s="1"/>
  <c r="R69" i="21"/>
  <c r="BA22" i="21" s="1"/>
  <c r="R76" i="21"/>
  <c r="BG15" i="21" s="1"/>
  <c r="BF15" i="21"/>
  <c r="R80" i="21"/>
  <c r="BG19" i="21" s="1"/>
  <c r="BF19" i="21"/>
  <c r="R84" i="21"/>
  <c r="BG23" i="21" s="1"/>
  <c r="R91" i="21"/>
  <c r="BM16" i="21" s="1"/>
  <c r="BL16" i="21"/>
  <c r="R95" i="21"/>
  <c r="BM20" i="21" s="1"/>
  <c r="BL20" i="21"/>
  <c r="R99" i="21"/>
  <c r="BM24" i="21" s="1"/>
  <c r="BL24" i="21"/>
  <c r="R8" i="13"/>
  <c r="AC17" i="13" s="1"/>
  <c r="R12" i="13"/>
  <c r="AC21" i="13" s="1"/>
  <c r="R19" i="13"/>
  <c r="AI14" i="13" s="1"/>
  <c r="R23" i="13"/>
  <c r="AI18" i="13" s="1"/>
  <c r="R27" i="13"/>
  <c r="AI22" i="13" s="1"/>
  <c r="R34" i="13"/>
  <c r="AO15" i="13" s="1"/>
  <c r="H36" i="13"/>
  <c r="Q36" i="13" s="1"/>
  <c r="S36" i="13" s="1"/>
  <c r="R38" i="13"/>
  <c r="AO19" i="13" s="1"/>
  <c r="R42" i="13"/>
  <c r="AO23" i="13" s="1"/>
  <c r="H47" i="13"/>
  <c r="Q47" i="13" s="1"/>
  <c r="S47" i="13" s="1"/>
  <c r="R49" i="13"/>
  <c r="AU16" i="13" s="1"/>
  <c r="H51" i="13"/>
  <c r="Q51" i="13" s="1"/>
  <c r="S51" i="13" s="1"/>
  <c r="R53" i="13"/>
  <c r="AU20" i="13" s="1"/>
  <c r="R57" i="13"/>
  <c r="AU24" i="13" s="1"/>
  <c r="R64" i="13"/>
  <c r="BA17" i="13" s="1"/>
  <c r="R68" i="13"/>
  <c r="BA21" i="13" s="1"/>
  <c r="R75" i="13"/>
  <c r="BG14" i="13" s="1"/>
  <c r="R79" i="13"/>
  <c r="BG18" i="13" s="1"/>
  <c r="R83" i="13"/>
  <c r="BG22" i="13" s="1"/>
  <c r="R90" i="13"/>
  <c r="BM15" i="13" s="1"/>
  <c r="R94" i="13"/>
  <c r="BM19" i="13" s="1"/>
  <c r="R98" i="13"/>
  <c r="BM23" i="13" s="1"/>
  <c r="R105" i="13"/>
  <c r="BS16" i="13" s="1"/>
  <c r="R109" i="13"/>
  <c r="BS20" i="13" s="1"/>
  <c r="H111" i="13"/>
  <c r="Q111" i="13" s="1"/>
  <c r="S111" i="13" s="1"/>
  <c r="R120" i="13"/>
  <c r="BY17" i="13" s="1"/>
  <c r="H122" i="13"/>
  <c r="Q122" i="13" s="1"/>
  <c r="S122" i="13" s="1"/>
  <c r="R124" i="13"/>
  <c r="BY21" i="13" s="1"/>
  <c r="R131" i="13"/>
  <c r="CE14" i="13" s="1"/>
  <c r="R135" i="13"/>
  <c r="CE18" i="13" s="1"/>
  <c r="R139" i="13"/>
  <c r="CE22" i="13" s="1"/>
  <c r="R146" i="13"/>
  <c r="CK15" i="13" s="1"/>
  <c r="H148" i="13"/>
  <c r="Q148" i="13" s="1"/>
  <c r="S148" i="13" s="1"/>
  <c r="R150" i="13"/>
  <c r="CK19" i="13" s="1"/>
  <c r="R154" i="13"/>
  <c r="CK23" i="13" s="1"/>
  <c r="R161" i="13"/>
  <c r="CQ16" i="13" s="1"/>
  <c r="R165" i="13"/>
  <c r="CQ20" i="13" s="1"/>
  <c r="R8" i="14"/>
  <c r="AC17" i="14" s="1"/>
  <c r="R12" i="14"/>
  <c r="AC21" i="14" s="1"/>
  <c r="R19" i="14"/>
  <c r="AI14" i="14" s="1"/>
  <c r="R23" i="14"/>
  <c r="AI18" i="14" s="1"/>
  <c r="R27" i="14"/>
  <c r="AI22" i="14" s="1"/>
  <c r="R34" i="14"/>
  <c r="AO15" i="14" s="1"/>
  <c r="R38" i="14"/>
  <c r="AO19" i="14" s="1"/>
  <c r="H40" i="14"/>
  <c r="Q40" i="14" s="1"/>
  <c r="S40" i="14" s="1"/>
  <c r="R42" i="14"/>
  <c r="AO23" i="14" s="1"/>
  <c r="R49" i="14"/>
  <c r="AU16" i="14" s="1"/>
  <c r="R53" i="14"/>
  <c r="AU20" i="14" s="1"/>
  <c r="H55" i="14"/>
  <c r="Q55" i="14" s="1"/>
  <c r="S55" i="14" s="1"/>
  <c r="R64" i="14"/>
  <c r="BA17" i="14" s="1"/>
  <c r="R68" i="14"/>
  <c r="BA21" i="14" s="1"/>
  <c r="R75" i="14"/>
  <c r="BG14" i="14" s="1"/>
  <c r="R79" i="14"/>
  <c r="BG18" i="14" s="1"/>
  <c r="R83" i="14"/>
  <c r="BG22" i="14" s="1"/>
  <c r="R90" i="14"/>
  <c r="BM15" i="14" s="1"/>
  <c r="R94" i="14"/>
  <c r="BM19" i="14" s="1"/>
  <c r="R98" i="14"/>
  <c r="BM23" i="14" s="1"/>
  <c r="R105" i="14"/>
  <c r="BS16" i="14" s="1"/>
  <c r="R109" i="14"/>
  <c r="BS20" i="14" s="1"/>
  <c r="R120" i="14"/>
  <c r="BY17" i="14" s="1"/>
  <c r="R124" i="14"/>
  <c r="BY21" i="14" s="1"/>
  <c r="R131" i="14"/>
  <c r="CE14" i="14" s="1"/>
  <c r="R135" i="14"/>
  <c r="CE18" i="14" s="1"/>
  <c r="R139" i="14"/>
  <c r="CE22" i="14" s="1"/>
  <c r="H141" i="14"/>
  <c r="Q141" i="14" s="1"/>
  <c r="S141" i="14" s="1"/>
  <c r="R146" i="14"/>
  <c r="CK15" i="14" s="1"/>
  <c r="H148" i="14"/>
  <c r="Q148" i="14" s="1"/>
  <c r="S148" i="14" s="1"/>
  <c r="H152" i="14"/>
  <c r="Q152" i="14" s="1"/>
  <c r="S152" i="14" s="1"/>
  <c r="R161" i="14"/>
  <c r="CQ16" i="14" s="1"/>
  <c r="H167" i="14"/>
  <c r="Q167" i="14" s="1"/>
  <c r="S167" i="14" s="1"/>
  <c r="AB17" i="15"/>
  <c r="R8" i="15"/>
  <c r="AC17" i="15" s="1"/>
  <c r="H10" i="15"/>
  <c r="Q10" i="15" s="1"/>
  <c r="S10" i="15" s="1"/>
  <c r="R12" i="15"/>
  <c r="AC21" i="15" s="1"/>
  <c r="R19" i="15"/>
  <c r="AI14" i="15" s="1"/>
  <c r="H21" i="15"/>
  <c r="Q21" i="15" s="1"/>
  <c r="S21" i="15" s="1"/>
  <c r="R23" i="15"/>
  <c r="AI18" i="15" s="1"/>
  <c r="R27" i="15"/>
  <c r="AI22" i="15" s="1"/>
  <c r="R34" i="15"/>
  <c r="AO15" i="15" s="1"/>
  <c r="R38" i="15"/>
  <c r="AO19" i="15" s="1"/>
  <c r="R42" i="15"/>
  <c r="AO23" i="15" s="1"/>
  <c r="R49" i="15"/>
  <c r="AU16" i="15" s="1"/>
  <c r="R53" i="15"/>
  <c r="AU20" i="15" s="1"/>
  <c r="R64" i="15"/>
  <c r="BA17" i="15" s="1"/>
  <c r="R68" i="15"/>
  <c r="BA21" i="15" s="1"/>
  <c r="R75" i="15"/>
  <c r="BG14" i="15" s="1"/>
  <c r="R79" i="15"/>
  <c r="BG18" i="15" s="1"/>
  <c r="R83" i="15"/>
  <c r="BG22" i="15" s="1"/>
  <c r="H85" i="15"/>
  <c r="Q85" i="15" s="1"/>
  <c r="S85" i="15" s="1"/>
  <c r="R90" i="15"/>
  <c r="BM15" i="15" s="1"/>
  <c r="R94" i="15"/>
  <c r="BM19" i="15" s="1"/>
  <c r="H96" i="15"/>
  <c r="Q96" i="15" s="1"/>
  <c r="S96" i="15" s="1"/>
  <c r="R98" i="15"/>
  <c r="BM23" i="15" s="1"/>
  <c r="R105" i="15"/>
  <c r="BS16" i="15" s="1"/>
  <c r="H107" i="15"/>
  <c r="Q107" i="15" s="1"/>
  <c r="S107" i="15" s="1"/>
  <c r="R109" i="15"/>
  <c r="BS20" i="15" s="1"/>
  <c r="R120" i="15"/>
  <c r="BY17" i="15" s="1"/>
  <c r="R124" i="15"/>
  <c r="BY21" i="15" s="1"/>
  <c r="R131" i="15"/>
  <c r="CE14" i="15" s="1"/>
  <c r="R135" i="15"/>
  <c r="CE18" i="15" s="1"/>
  <c r="R139" i="15"/>
  <c r="CE22" i="15" s="1"/>
  <c r="R146" i="15"/>
  <c r="CK15" i="15" s="1"/>
  <c r="R150" i="15"/>
  <c r="CK19" i="15" s="1"/>
  <c r="H159" i="15"/>
  <c r="Q159" i="15" s="1"/>
  <c r="S159" i="15" s="1"/>
  <c r="R161" i="15"/>
  <c r="CQ16" i="15" s="1"/>
  <c r="R8" i="16"/>
  <c r="AC17" i="16" s="1"/>
  <c r="R12" i="16"/>
  <c r="AC21" i="16" s="1"/>
  <c r="R19" i="16"/>
  <c r="AI14" i="16" s="1"/>
  <c r="R23" i="16"/>
  <c r="AI18" i="16" s="1"/>
  <c r="R27" i="16"/>
  <c r="AI22" i="16" s="1"/>
  <c r="R34" i="16"/>
  <c r="AO15" i="16" s="1"/>
  <c r="R38" i="16"/>
  <c r="AO19" i="16" s="1"/>
  <c r="R42" i="16"/>
  <c r="AO23" i="16" s="1"/>
  <c r="R49" i="16"/>
  <c r="AU16" i="16" s="1"/>
  <c r="R53" i="16"/>
  <c r="AU20" i="16" s="1"/>
  <c r="R64" i="16"/>
  <c r="BA17" i="16" s="1"/>
  <c r="R68" i="16"/>
  <c r="BA21" i="16" s="1"/>
  <c r="R75" i="16"/>
  <c r="BG14" i="16" s="1"/>
  <c r="R79" i="16"/>
  <c r="BG18" i="16" s="1"/>
  <c r="R83" i="16"/>
  <c r="BG22" i="16" s="1"/>
  <c r="H85" i="16"/>
  <c r="Q85" i="16" s="1"/>
  <c r="S85" i="16" s="1"/>
  <c r="R90" i="16"/>
  <c r="BM15" i="16" s="1"/>
  <c r="H92" i="16"/>
  <c r="Q92" i="16" s="1"/>
  <c r="S92" i="16" s="1"/>
  <c r="R94" i="16"/>
  <c r="BM19" i="16" s="1"/>
  <c r="R105" i="16"/>
  <c r="BS16" i="16" s="1"/>
  <c r="R109" i="16"/>
  <c r="BS20" i="16" s="1"/>
  <c r="R120" i="16"/>
  <c r="BY17" i="16" s="1"/>
  <c r="H122" i="16"/>
  <c r="Q122" i="16" s="1"/>
  <c r="S122" i="16" s="1"/>
  <c r="R124" i="16"/>
  <c r="BY21" i="16" s="1"/>
  <c r="R131" i="16"/>
  <c r="CE14" i="16" s="1"/>
  <c r="H133" i="16"/>
  <c r="Q133" i="16" s="1"/>
  <c r="S133" i="16" s="1"/>
  <c r="R135" i="16"/>
  <c r="CE18" i="16" s="1"/>
  <c r="H141" i="16"/>
  <c r="Q141" i="16" s="1"/>
  <c r="S141" i="16" s="1"/>
  <c r="R146" i="16"/>
  <c r="CK15" i="16" s="1"/>
  <c r="H152" i="16"/>
  <c r="Q152" i="16" s="1"/>
  <c r="S152" i="16" s="1"/>
  <c r="R161" i="16"/>
  <c r="CQ16" i="16" s="1"/>
  <c r="H167" i="16"/>
  <c r="Q167" i="16" s="1"/>
  <c r="S167" i="16" s="1"/>
  <c r="R8" i="17"/>
  <c r="AC17" i="17" s="1"/>
  <c r="R12" i="17"/>
  <c r="AC21" i="17" s="1"/>
  <c r="H14" i="17"/>
  <c r="Q14" i="17" s="1"/>
  <c r="S14" i="17" s="1"/>
  <c r="R19" i="17"/>
  <c r="AI14" i="17" s="1"/>
  <c r="R23" i="17"/>
  <c r="AI18" i="17" s="1"/>
  <c r="R27" i="17"/>
  <c r="AI22" i="17" s="1"/>
  <c r="R34" i="17"/>
  <c r="AO15" i="17" s="1"/>
  <c r="R38" i="17"/>
  <c r="AO19" i="17" s="1"/>
  <c r="R42" i="17"/>
  <c r="AO23" i="17" s="1"/>
  <c r="H47" i="17"/>
  <c r="Q47" i="17" s="1"/>
  <c r="S47" i="17" s="1"/>
  <c r="R49" i="17"/>
  <c r="AU16" i="17" s="1"/>
  <c r="R53" i="17"/>
  <c r="AU20" i="17" s="1"/>
  <c r="H55" i="17"/>
  <c r="Q55" i="17" s="1"/>
  <c r="S55" i="17" s="1"/>
  <c r="R64" i="17"/>
  <c r="BA17" i="17" s="1"/>
  <c r="R68" i="17"/>
  <c r="BA21" i="17" s="1"/>
  <c r="R75" i="17"/>
  <c r="BG14" i="17" s="1"/>
  <c r="R79" i="17"/>
  <c r="BG18" i="17" s="1"/>
  <c r="R83" i="17"/>
  <c r="BG22" i="17" s="1"/>
  <c r="H85" i="17"/>
  <c r="Q85" i="17" s="1"/>
  <c r="S85" i="17" s="1"/>
  <c r="R90" i="17"/>
  <c r="BM15" i="17" s="1"/>
  <c r="R94" i="17"/>
  <c r="BM19" i="17" s="1"/>
  <c r="H96" i="17"/>
  <c r="Q96" i="17" s="1"/>
  <c r="S96" i="17" s="1"/>
  <c r="R105" i="17"/>
  <c r="BS16" i="17" s="1"/>
  <c r="R109" i="17"/>
  <c r="BS20" i="17" s="1"/>
  <c r="R120" i="17"/>
  <c r="BY17" i="17" s="1"/>
  <c r="H122" i="17"/>
  <c r="Q122" i="17" s="1"/>
  <c r="S122" i="17" s="1"/>
  <c r="H126" i="17"/>
  <c r="Q126" i="17" s="1"/>
  <c r="S126" i="17" s="1"/>
  <c r="R131" i="17"/>
  <c r="CE14" i="17" s="1"/>
  <c r="R135" i="17"/>
  <c r="CE18" i="17" s="1"/>
  <c r="H137" i="17"/>
  <c r="Q137" i="17" s="1"/>
  <c r="S137" i="17" s="1"/>
  <c r="H141" i="17"/>
  <c r="Q141" i="17" s="1"/>
  <c r="S141" i="17" s="1"/>
  <c r="R146" i="17"/>
  <c r="CK15" i="17" s="1"/>
  <c r="H152" i="17"/>
  <c r="Q152" i="17" s="1"/>
  <c r="S152" i="17" s="1"/>
  <c r="R161" i="17"/>
  <c r="CQ16" i="17" s="1"/>
  <c r="H163" i="17"/>
  <c r="Q163" i="17" s="1"/>
  <c r="S163" i="17" s="1"/>
  <c r="H167" i="17"/>
  <c r="Q167" i="17" s="1"/>
  <c r="S167" i="17" s="1"/>
  <c r="H6" i="18"/>
  <c r="Q6" i="18" s="1"/>
  <c r="S6" i="18" s="1"/>
  <c r="R8" i="18"/>
  <c r="AC17" i="18" s="1"/>
  <c r="H10" i="18"/>
  <c r="Q10" i="18" s="1"/>
  <c r="S10" i="18" s="1"/>
  <c r="R12" i="18"/>
  <c r="AC21" i="18" s="1"/>
  <c r="R19" i="18"/>
  <c r="AI14" i="18" s="1"/>
  <c r="H21" i="18"/>
  <c r="Q21" i="18" s="1"/>
  <c r="S21" i="18" s="1"/>
  <c r="R23" i="18"/>
  <c r="AI18" i="18" s="1"/>
  <c r="H25" i="18"/>
  <c r="Q25" i="18" s="1"/>
  <c r="S25" i="18" s="1"/>
  <c r="H29" i="18"/>
  <c r="Q29" i="18" s="1"/>
  <c r="S29" i="18" s="1"/>
  <c r="R34" i="18"/>
  <c r="AO15" i="18" s="1"/>
  <c r="R38" i="18"/>
  <c r="AO19" i="18" s="1"/>
  <c r="H47" i="18"/>
  <c r="Q47" i="18" s="1"/>
  <c r="S47" i="18" s="1"/>
  <c r="R49" i="18"/>
  <c r="AU16" i="18" s="1"/>
  <c r="H51" i="18"/>
  <c r="Q51" i="18" s="1"/>
  <c r="S51" i="18" s="1"/>
  <c r="H62" i="18"/>
  <c r="Q62" i="18" s="1"/>
  <c r="S62" i="18" s="1"/>
  <c r="R64" i="18"/>
  <c r="BA17" i="18" s="1"/>
  <c r="H66" i="18"/>
  <c r="Q66" i="18" s="1"/>
  <c r="S66" i="18" s="1"/>
  <c r="H70" i="18"/>
  <c r="Q70" i="18" s="1"/>
  <c r="S70" i="18" s="1"/>
  <c r="R75" i="18"/>
  <c r="BG14" i="18" s="1"/>
  <c r="H77" i="18"/>
  <c r="Q77" i="18" s="1"/>
  <c r="S77" i="18" s="1"/>
  <c r="H81" i="18"/>
  <c r="Q81" i="18" s="1"/>
  <c r="S81" i="18" s="1"/>
  <c r="H85" i="18"/>
  <c r="Q85" i="18" s="1"/>
  <c r="S85" i="18" s="1"/>
  <c r="R90" i="18"/>
  <c r="BM15" i="18" s="1"/>
  <c r="H103" i="18"/>
  <c r="Q103" i="18" s="1"/>
  <c r="S103" i="18" s="1"/>
  <c r="R105" i="18"/>
  <c r="BS16" i="18" s="1"/>
  <c r="H118" i="18"/>
  <c r="Q118" i="18" s="1"/>
  <c r="S118" i="18" s="1"/>
  <c r="R131" i="18"/>
  <c r="CE14" i="18" s="1"/>
  <c r="H137" i="18"/>
  <c r="Q137" i="18" s="1"/>
  <c r="S137" i="18" s="1"/>
  <c r="H141" i="18"/>
  <c r="Q141" i="18" s="1"/>
  <c r="S141" i="18" s="1"/>
  <c r="R146" i="18"/>
  <c r="CK15" i="18" s="1"/>
  <c r="H148" i="18"/>
  <c r="Q148" i="18" s="1"/>
  <c r="S148" i="18" s="1"/>
  <c r="H152" i="18"/>
  <c r="Q152" i="18" s="1"/>
  <c r="S152" i="18" s="1"/>
  <c r="R161" i="18"/>
  <c r="CQ16" i="18" s="1"/>
  <c r="R8" i="19"/>
  <c r="AC17" i="19" s="1"/>
  <c r="H10" i="19"/>
  <c r="Q10" i="19" s="1"/>
  <c r="S10" i="19" s="1"/>
  <c r="R12" i="19"/>
  <c r="AC21" i="19" s="1"/>
  <c r="H14" i="19"/>
  <c r="Q14" i="19" s="1"/>
  <c r="S14" i="19" s="1"/>
  <c r="R19" i="19"/>
  <c r="AI14" i="19" s="1"/>
  <c r="H21" i="19"/>
  <c r="Q21" i="19" s="1"/>
  <c r="S21" i="19" s="1"/>
  <c r="R23" i="19"/>
  <c r="AI18" i="19" s="1"/>
  <c r="H25" i="19"/>
  <c r="Q25" i="19" s="1"/>
  <c r="S25" i="19" s="1"/>
  <c r="R27" i="19"/>
  <c r="AI22" i="19" s="1"/>
  <c r="H29" i="19"/>
  <c r="Q29" i="19" s="1"/>
  <c r="S29" i="19" s="1"/>
  <c r="R34" i="19"/>
  <c r="AO15" i="19" s="1"/>
  <c r="H36" i="19"/>
  <c r="Q36" i="19" s="1"/>
  <c r="S36" i="19" s="1"/>
  <c r="H40" i="19"/>
  <c r="Q40" i="19" s="1"/>
  <c r="S40" i="19" s="1"/>
  <c r="H47" i="19"/>
  <c r="Q47" i="19" s="1"/>
  <c r="S47" i="19" s="1"/>
  <c r="R49" i="19"/>
  <c r="AU16" i="19" s="1"/>
  <c r="H62" i="19"/>
  <c r="Q62" i="19" s="1"/>
  <c r="S62" i="19" s="1"/>
  <c r="R64" i="19"/>
  <c r="BA17" i="19" s="1"/>
  <c r="R75" i="19"/>
  <c r="BG14" i="19" s="1"/>
  <c r="H77" i="19"/>
  <c r="Q77" i="19" s="1"/>
  <c r="S77" i="19" s="1"/>
  <c r="H81" i="19"/>
  <c r="Q81" i="19" s="1"/>
  <c r="S81" i="19" s="1"/>
  <c r="H85" i="19"/>
  <c r="Q85" i="19" s="1"/>
  <c r="S85" i="19" s="1"/>
  <c r="BL15" i="19"/>
  <c r="R90" i="19"/>
  <c r="BM15" i="19" s="1"/>
  <c r="H92" i="19"/>
  <c r="Q92" i="19" s="1"/>
  <c r="S92" i="19" s="1"/>
  <c r="H96" i="19"/>
  <c r="Q96" i="19" s="1"/>
  <c r="S96" i="19" s="1"/>
  <c r="H103" i="19"/>
  <c r="Q103" i="19" s="1"/>
  <c r="S103" i="19" s="1"/>
  <c r="R105" i="19"/>
  <c r="BS16" i="19" s="1"/>
  <c r="H107" i="19"/>
  <c r="Q107" i="19" s="1"/>
  <c r="S107" i="19" s="1"/>
  <c r="H111" i="19"/>
  <c r="Q111" i="19" s="1"/>
  <c r="S111" i="19" s="1"/>
  <c r="H122" i="19"/>
  <c r="Q122" i="19" s="1"/>
  <c r="S122" i="19" s="1"/>
  <c r="H126" i="19"/>
  <c r="Q126" i="19" s="1"/>
  <c r="S126" i="19" s="1"/>
  <c r="R131" i="19"/>
  <c r="CE14" i="19" s="1"/>
  <c r="H133" i="19"/>
  <c r="Q133" i="19" s="1"/>
  <c r="S133" i="19" s="1"/>
  <c r="R135" i="19"/>
  <c r="CE18" i="19" s="1"/>
  <c r="R146" i="19"/>
  <c r="CK15" i="19" s="1"/>
  <c r="H148" i="19"/>
  <c r="Q148" i="19" s="1"/>
  <c r="S148" i="19" s="1"/>
  <c r="H152" i="19"/>
  <c r="Q152" i="19" s="1"/>
  <c r="S152" i="19" s="1"/>
  <c r="H159" i="19"/>
  <c r="Q159" i="19" s="1"/>
  <c r="S159" i="19" s="1"/>
  <c r="R161" i="19"/>
  <c r="CQ16" i="19" s="1"/>
  <c r="H163" i="19"/>
  <c r="Q163" i="19" s="1"/>
  <c r="S163" i="19" s="1"/>
  <c r="H167" i="19"/>
  <c r="Q167" i="19" s="1"/>
  <c r="S167" i="19" s="1"/>
  <c r="R8" i="20"/>
  <c r="AC17" i="20" s="1"/>
  <c r="R12" i="20"/>
  <c r="AC21" i="20" s="1"/>
  <c r="H14" i="20"/>
  <c r="Q14" i="20" s="1"/>
  <c r="S14" i="20" s="1"/>
  <c r="R19" i="20"/>
  <c r="AI14" i="20" s="1"/>
  <c r="H21" i="20"/>
  <c r="Q21" i="20" s="1"/>
  <c r="S21" i="20" s="1"/>
  <c r="R23" i="20"/>
  <c r="AI18" i="20" s="1"/>
  <c r="R27" i="20"/>
  <c r="AI22" i="20" s="1"/>
  <c r="R34" i="20"/>
  <c r="AO15" i="20" s="1"/>
  <c r="H36" i="20"/>
  <c r="Q36" i="20" s="1"/>
  <c r="S36" i="20" s="1"/>
  <c r="R38" i="20"/>
  <c r="AO19" i="20" s="1"/>
  <c r="R49" i="20"/>
  <c r="AU16" i="20" s="1"/>
  <c r="H55" i="20"/>
  <c r="Q55" i="20" s="1"/>
  <c r="S55" i="20" s="1"/>
  <c r="H62" i="20"/>
  <c r="Q62" i="20" s="1"/>
  <c r="S62" i="20" s="1"/>
  <c r="R64" i="20"/>
  <c r="BA17" i="20" s="1"/>
  <c r="H66" i="20"/>
  <c r="Q66" i="20" s="1"/>
  <c r="S66" i="20" s="1"/>
  <c r="H70" i="20"/>
  <c r="Q70" i="20" s="1"/>
  <c r="S70" i="20" s="1"/>
  <c r="R75" i="20"/>
  <c r="BG14" i="20" s="1"/>
  <c r="H77" i="20"/>
  <c r="Q77" i="20" s="1"/>
  <c r="S77" i="20" s="1"/>
  <c r="R90" i="20"/>
  <c r="BM15" i="20" s="1"/>
  <c r="H96" i="20"/>
  <c r="Q96" i="20" s="1"/>
  <c r="S96" i="20" s="1"/>
  <c r="H103" i="20"/>
  <c r="Q103" i="20" s="1"/>
  <c r="S103" i="20" s="1"/>
  <c r="R105" i="20"/>
  <c r="BS16" i="20" s="1"/>
  <c r="H107" i="20"/>
  <c r="Q107" i="20" s="1"/>
  <c r="S107" i="20" s="1"/>
  <c r="H111" i="20"/>
  <c r="Q111" i="20" s="1"/>
  <c r="S111" i="20" s="1"/>
  <c r="H118" i="20"/>
  <c r="Q118" i="20" s="1"/>
  <c r="S118" i="20" s="1"/>
  <c r="R120" i="20"/>
  <c r="BY17" i="20" s="1"/>
  <c r="H122" i="20"/>
  <c r="Q122" i="20" s="1"/>
  <c r="S122" i="20" s="1"/>
  <c r="H126" i="20"/>
  <c r="Q126" i="20" s="1"/>
  <c r="S126" i="20" s="1"/>
  <c r="R131" i="20"/>
  <c r="CE14" i="20" s="1"/>
  <c r="H133" i="20"/>
  <c r="Q133" i="20" s="1"/>
  <c r="S133" i="20" s="1"/>
  <c r="R135" i="20"/>
  <c r="CE18" i="20" s="1"/>
  <c r="H137" i="20"/>
  <c r="Q137" i="20" s="1"/>
  <c r="S137" i="20" s="1"/>
  <c r="H141" i="20"/>
  <c r="Q141" i="20" s="1"/>
  <c r="S141" i="20" s="1"/>
  <c r="R146" i="20"/>
  <c r="CK15" i="20" s="1"/>
  <c r="H148" i="20"/>
  <c r="Q148" i="20" s="1"/>
  <c r="S148" i="20" s="1"/>
  <c r="R161" i="20"/>
  <c r="CQ16" i="20" s="1"/>
  <c r="H163" i="20"/>
  <c r="Q163" i="20" s="1"/>
  <c r="S163" i="20" s="1"/>
  <c r="H167" i="20"/>
  <c r="Q167" i="20" s="1"/>
  <c r="S167" i="20" s="1"/>
  <c r="R8" i="21"/>
  <c r="AC17" i="21" s="1"/>
  <c r="R12" i="21"/>
  <c r="AC21" i="21" s="1"/>
  <c r="R19" i="21"/>
  <c r="AI14" i="21" s="1"/>
  <c r="R23" i="21"/>
  <c r="AI18" i="21" s="1"/>
  <c r="R27" i="21"/>
  <c r="AI22" i="21" s="1"/>
  <c r="R34" i="21"/>
  <c r="AO15" i="21" s="1"/>
  <c r="R38" i="21"/>
  <c r="AO19" i="21" s="1"/>
  <c r="R42" i="21"/>
  <c r="AO23" i="21" s="1"/>
  <c r="R49" i="21"/>
  <c r="AU16" i="21" s="1"/>
  <c r="R53" i="21"/>
  <c r="AU20" i="21" s="1"/>
  <c r="R57" i="21"/>
  <c r="AU24" i="21" s="1"/>
  <c r="R64" i="21"/>
  <c r="BA17" i="21" s="1"/>
  <c r="R68" i="21"/>
  <c r="BA21" i="21" s="1"/>
  <c r="R75" i="21"/>
  <c r="BG14" i="21" s="1"/>
  <c r="R79" i="21"/>
  <c r="BG18" i="21" s="1"/>
  <c r="R83" i="21"/>
  <c r="BG22" i="21" s="1"/>
  <c r="R90" i="21"/>
  <c r="BM15" i="21" s="1"/>
  <c r="R94" i="21"/>
  <c r="BM19" i="21" s="1"/>
  <c r="R98" i="21"/>
  <c r="BM23" i="21" s="1"/>
  <c r="R5" i="13"/>
  <c r="AC14" i="13" s="1"/>
  <c r="R9" i="13"/>
  <c r="AC18" i="13" s="1"/>
  <c r="AK14" i="13"/>
  <c r="T33" i="13"/>
  <c r="AL14" i="13" s="1"/>
  <c r="U33" i="13"/>
  <c r="AM14" i="13" s="1"/>
  <c r="R39" i="13"/>
  <c r="AO20" i="13" s="1"/>
  <c r="R43" i="13"/>
  <c r="AO24" i="13" s="1"/>
  <c r="AW20" i="13"/>
  <c r="U67" i="13"/>
  <c r="AY20" i="13" s="1"/>
  <c r="T67" i="13"/>
  <c r="AX20" i="13" s="1"/>
  <c r="BC21" i="13"/>
  <c r="T82" i="13"/>
  <c r="BD21" i="13" s="1"/>
  <c r="U82" i="13"/>
  <c r="BE21" i="13" s="1"/>
  <c r="R84" i="13"/>
  <c r="BG23" i="13" s="1"/>
  <c r="R91" i="13"/>
  <c r="BM16" i="13" s="1"/>
  <c r="R95" i="13"/>
  <c r="BM20" i="13" s="1"/>
  <c r="R99" i="13"/>
  <c r="BM24" i="13" s="1"/>
  <c r="BU16" i="13"/>
  <c r="T119" i="13"/>
  <c r="BV16" i="13" s="1"/>
  <c r="U119" i="13"/>
  <c r="BW16" i="13" s="1"/>
  <c r="R121" i="13"/>
  <c r="BY18" i="13" s="1"/>
  <c r="CA21" i="13"/>
  <c r="U138" i="13"/>
  <c r="CC21" i="13" s="1"/>
  <c r="T138" i="13"/>
  <c r="CB21" i="13" s="1"/>
  <c r="CJ16" i="13"/>
  <c r="R147" i="13"/>
  <c r="CK16" i="13" s="1"/>
  <c r="CM15" i="13"/>
  <c r="T160" i="13"/>
  <c r="CN15" i="13" s="1"/>
  <c r="U160" i="13"/>
  <c r="CO15" i="13" s="1"/>
  <c r="R162" i="13"/>
  <c r="CQ17" i="13" s="1"/>
  <c r="Y20" i="14"/>
  <c r="U11" i="14"/>
  <c r="AA20" i="14" s="1"/>
  <c r="T11" i="14"/>
  <c r="Z20" i="14" s="1"/>
  <c r="R13" i="14"/>
  <c r="AC22" i="14" s="1"/>
  <c r="AE21" i="14"/>
  <c r="T26" i="14"/>
  <c r="AF21" i="14" s="1"/>
  <c r="U26" i="14"/>
  <c r="AG21" i="14" s="1"/>
  <c r="R28" i="14"/>
  <c r="AI23" i="14" s="1"/>
  <c r="AK22" i="14"/>
  <c r="U41" i="14"/>
  <c r="AM22" i="14" s="1"/>
  <c r="T41" i="14"/>
  <c r="AL22" i="14" s="1"/>
  <c r="R43" i="14"/>
  <c r="AO24" i="14" s="1"/>
  <c r="R50" i="14"/>
  <c r="AU17" i="14" s="1"/>
  <c r="AW16" i="14"/>
  <c r="U63" i="14"/>
  <c r="AY16" i="14" s="1"/>
  <c r="T63" i="14"/>
  <c r="AX16" i="14" s="1"/>
  <c r="R65" i="14"/>
  <c r="BA18" i="14" s="1"/>
  <c r="BC21" i="14"/>
  <c r="U82" i="14"/>
  <c r="BE21" i="14" s="1"/>
  <c r="T82" i="14"/>
  <c r="BD21" i="14" s="1"/>
  <c r="R84" i="14"/>
  <c r="BG23" i="14" s="1"/>
  <c r="BI22" i="14"/>
  <c r="U97" i="14"/>
  <c r="BK22" i="14" s="1"/>
  <c r="T97" i="14"/>
  <c r="BJ22" i="14" s="1"/>
  <c r="R106" i="14"/>
  <c r="BS17" i="14" s="1"/>
  <c r="BU20" i="14"/>
  <c r="U123" i="14"/>
  <c r="BW20" i="14" s="1"/>
  <c r="T123" i="14"/>
  <c r="BV20" i="14" s="1"/>
  <c r="CA21" i="14"/>
  <c r="U138" i="14"/>
  <c r="CC21" i="14" s="1"/>
  <c r="T138" i="14"/>
  <c r="CB21" i="14" s="1"/>
  <c r="T153" i="14"/>
  <c r="U153" i="14"/>
  <c r="CP17" i="14"/>
  <c r="R162" i="14"/>
  <c r="CQ17" i="14" s="1"/>
  <c r="R5" i="15"/>
  <c r="AC14" i="15" s="1"/>
  <c r="AE21" i="15"/>
  <c r="T26" i="15"/>
  <c r="AF21" i="15" s="1"/>
  <c r="U26" i="15"/>
  <c r="AG21" i="15" s="1"/>
  <c r="R28" i="15"/>
  <c r="AI23" i="15" s="1"/>
  <c r="R35" i="15"/>
  <c r="AO16" i="15" s="1"/>
  <c r="R54" i="15"/>
  <c r="AU21" i="15" s="1"/>
  <c r="R61" i="15"/>
  <c r="BA14" i="15" s="1"/>
  <c r="R65" i="15"/>
  <c r="BA18" i="15" s="1"/>
  <c r="R76" i="15"/>
  <c r="BG15" i="15" s="1"/>
  <c r="R80" i="15"/>
  <c r="BG19" i="15" s="1"/>
  <c r="BO15" i="15"/>
  <c r="T104" i="15"/>
  <c r="BP15" i="15" s="1"/>
  <c r="U104" i="15"/>
  <c r="BQ15" i="15" s="1"/>
  <c r="BU16" i="15"/>
  <c r="T119" i="15"/>
  <c r="BV16" i="15" s="1"/>
  <c r="U119" i="15"/>
  <c r="BW16" i="15" s="1"/>
  <c r="CA17" i="15"/>
  <c r="U134" i="15"/>
  <c r="CC17" i="15" s="1"/>
  <c r="T134" i="15"/>
  <c r="CB17" i="15" s="1"/>
  <c r="R136" i="15"/>
  <c r="CE19" i="15" s="1"/>
  <c r="CG22" i="15"/>
  <c r="U153" i="15"/>
  <c r="CI22" i="15" s="1"/>
  <c r="T153" i="15"/>
  <c r="CH22" i="15" s="1"/>
  <c r="U168" i="15"/>
  <c r="T168" i="15"/>
  <c r="R5" i="16"/>
  <c r="AC14" i="16" s="1"/>
  <c r="Y24" i="16"/>
  <c r="U15" i="16"/>
  <c r="AA24" i="16" s="1"/>
  <c r="T15" i="16"/>
  <c r="Z24" i="16" s="1"/>
  <c r="AK18" i="16"/>
  <c r="U37" i="16"/>
  <c r="AM18" i="16" s="1"/>
  <c r="T37" i="16"/>
  <c r="AL18" i="16" s="1"/>
  <c r="R39" i="16"/>
  <c r="AO20" i="16" s="1"/>
  <c r="AQ19" i="16"/>
  <c r="T52" i="16"/>
  <c r="AR19" i="16" s="1"/>
  <c r="U52" i="16"/>
  <c r="AS19" i="16" s="1"/>
  <c r="R54" i="16"/>
  <c r="AU21" i="16" s="1"/>
  <c r="R61" i="16"/>
  <c r="BA14" i="16" s="1"/>
  <c r="BC17" i="16"/>
  <c r="U78" i="16"/>
  <c r="BE17" i="16" s="1"/>
  <c r="T78" i="16"/>
  <c r="BD17" i="16" s="1"/>
  <c r="BI18" i="16"/>
  <c r="T93" i="16"/>
  <c r="BJ18" i="16" s="1"/>
  <c r="U93" i="16"/>
  <c r="BK18" i="16" s="1"/>
  <c r="BO19" i="16"/>
  <c r="U108" i="16"/>
  <c r="BQ19" i="16" s="1"/>
  <c r="T108" i="16"/>
  <c r="BP19" i="16" s="1"/>
  <c r="BU20" i="16"/>
  <c r="T123" i="16"/>
  <c r="BV20" i="16" s="1"/>
  <c r="U123" i="16"/>
  <c r="BW20" i="16" s="1"/>
  <c r="R125" i="16"/>
  <c r="BY22" i="16" s="1"/>
  <c r="R136" i="16"/>
  <c r="CE19" i="16" s="1"/>
  <c r="R147" i="16"/>
  <c r="CK16" i="16" s="1"/>
  <c r="CM15" i="16"/>
  <c r="U160" i="16"/>
  <c r="CO15" i="16" s="1"/>
  <c r="T160" i="16"/>
  <c r="CN15" i="16" s="1"/>
  <c r="R162" i="16"/>
  <c r="CQ17" i="16" s="1"/>
  <c r="R5" i="17"/>
  <c r="AC14" i="17" s="1"/>
  <c r="AE17" i="17"/>
  <c r="U22" i="17"/>
  <c r="AG17" i="17" s="1"/>
  <c r="T22" i="17"/>
  <c r="AF17" i="17" s="1"/>
  <c r="R24" i="17"/>
  <c r="AI19" i="17" s="1"/>
  <c r="R28" i="17"/>
  <c r="AI23" i="17" s="1"/>
  <c r="R35" i="17"/>
  <c r="AO16" i="17" s="1"/>
  <c r="AQ19" i="17"/>
  <c r="T52" i="17"/>
  <c r="AR19" i="17" s="1"/>
  <c r="U52" i="17"/>
  <c r="AS19" i="17" s="1"/>
  <c r="R54" i="17"/>
  <c r="AU21" i="17" s="1"/>
  <c r="R65" i="17"/>
  <c r="BA18" i="17" s="1"/>
  <c r="R69" i="17"/>
  <c r="BA22" i="17" s="1"/>
  <c r="BC21" i="17"/>
  <c r="U82" i="17"/>
  <c r="BE21" i="17" s="1"/>
  <c r="T82" i="17"/>
  <c r="BD21" i="17" s="1"/>
  <c r="R91" i="17"/>
  <c r="BM16" i="17" s="1"/>
  <c r="BO19" i="17"/>
  <c r="U108" i="17"/>
  <c r="BQ19" i="17" s="1"/>
  <c r="T108" i="17"/>
  <c r="BP19" i="17" s="1"/>
  <c r="R117" i="17"/>
  <c r="BY14" i="17" s="1"/>
  <c r="R132" i="17"/>
  <c r="CE15" i="17" s="1"/>
  <c r="CG14" i="17"/>
  <c r="U145" i="17"/>
  <c r="CI14" i="17" s="1"/>
  <c r="T145" i="17"/>
  <c r="CH14" i="17" s="1"/>
  <c r="R147" i="17"/>
  <c r="CK16" i="17" s="1"/>
  <c r="R162" i="17"/>
  <c r="CQ17" i="17" s="1"/>
  <c r="Y16" i="18"/>
  <c r="U7" i="18"/>
  <c r="AA16" i="18" s="1"/>
  <c r="T7" i="18"/>
  <c r="Z16" i="18" s="1"/>
  <c r="R9" i="18"/>
  <c r="AC18" i="18" s="1"/>
  <c r="R20" i="18"/>
  <c r="AI15" i="18" s="1"/>
  <c r="AK14" i="18"/>
  <c r="U33" i="18"/>
  <c r="AM14" i="18" s="1"/>
  <c r="T33" i="18"/>
  <c r="AL14" i="18" s="1"/>
  <c r="R35" i="18"/>
  <c r="AO16" i="18" s="1"/>
  <c r="AQ15" i="18"/>
  <c r="T48" i="18"/>
  <c r="AR15" i="18" s="1"/>
  <c r="U48" i="18"/>
  <c r="AS15" i="18" s="1"/>
  <c r="R50" i="18"/>
  <c r="AU17" i="18" s="1"/>
  <c r="BC17" i="18"/>
  <c r="U78" i="18"/>
  <c r="BE17" i="18" s="1"/>
  <c r="T78" i="18"/>
  <c r="BD17" i="18" s="1"/>
  <c r="BI14" i="18"/>
  <c r="U89" i="18"/>
  <c r="BK14" i="18" s="1"/>
  <c r="T89" i="18"/>
  <c r="BJ14" i="18" s="1"/>
  <c r="R91" i="18"/>
  <c r="BM16" i="18" s="1"/>
  <c r="T123" i="18"/>
  <c r="U123" i="18"/>
  <c r="CA17" i="18"/>
  <c r="T134" i="18"/>
  <c r="CB17" i="18" s="1"/>
  <c r="U134" i="18"/>
  <c r="CC17" i="18" s="1"/>
  <c r="CM15" i="18"/>
  <c r="U160" i="18"/>
  <c r="CO15" i="18" s="1"/>
  <c r="T160" i="18"/>
  <c r="CN15" i="18" s="1"/>
  <c r="R162" i="18"/>
  <c r="CQ17" i="18" s="1"/>
  <c r="Y24" i="19"/>
  <c r="U15" i="19"/>
  <c r="AA24" i="19" s="1"/>
  <c r="T15" i="19"/>
  <c r="Z24" i="19" s="1"/>
  <c r="AE21" i="19"/>
  <c r="U26" i="19"/>
  <c r="AG21" i="19" s="1"/>
  <c r="T26" i="19"/>
  <c r="AF21" i="19" s="1"/>
  <c r="AH23" i="19"/>
  <c r="R28" i="19"/>
  <c r="AI23" i="19" s="1"/>
  <c r="AQ15" i="19"/>
  <c r="U48" i="19"/>
  <c r="AS15" i="19" s="1"/>
  <c r="T48" i="19"/>
  <c r="AR15" i="19" s="1"/>
  <c r="AT17" i="19"/>
  <c r="R50" i="19"/>
  <c r="AU17" i="19" s="1"/>
  <c r="R61" i="19"/>
  <c r="BA14" i="19" s="1"/>
  <c r="T71" i="19"/>
  <c r="U71" i="19"/>
  <c r="BF15" i="19"/>
  <c r="R76" i="19"/>
  <c r="BG15" i="19" s="1"/>
  <c r="BO15" i="19"/>
  <c r="T104" i="19"/>
  <c r="BP15" i="19" s="1"/>
  <c r="U104" i="19"/>
  <c r="BQ15" i="19" s="1"/>
  <c r="T123" i="19"/>
  <c r="U123" i="19"/>
  <c r="CA17" i="19"/>
  <c r="U134" i="19"/>
  <c r="CC17" i="19" s="1"/>
  <c r="T134" i="19"/>
  <c r="CB17" i="19" s="1"/>
  <c r="R147" i="19"/>
  <c r="CK16" i="19" s="1"/>
  <c r="R147" i="20"/>
  <c r="CK16" i="20" s="1"/>
  <c r="R7" i="13"/>
  <c r="AC16" i="13" s="1"/>
  <c r="AB20" i="13"/>
  <c r="R11" i="13"/>
  <c r="AC20" i="13" s="1"/>
  <c r="AB24" i="13"/>
  <c r="R15" i="13"/>
  <c r="AC24" i="13" s="1"/>
  <c r="R22" i="13"/>
  <c r="AI17" i="13" s="1"/>
  <c r="R26" i="13"/>
  <c r="AI21" i="13" s="1"/>
  <c r="AN14" i="13"/>
  <c r="R33" i="13"/>
  <c r="AO14" i="13" s="1"/>
  <c r="R37" i="13"/>
  <c r="AO18" i="13" s="1"/>
  <c r="AN22" i="13"/>
  <c r="R41" i="13"/>
  <c r="AO22" i="13" s="1"/>
  <c r="R48" i="13"/>
  <c r="AU15" i="13" s="1"/>
  <c r="AT19" i="13"/>
  <c r="R52" i="13"/>
  <c r="AU19" i="13" s="1"/>
  <c r="R56" i="13"/>
  <c r="AU23" i="13" s="1"/>
  <c r="AZ16" i="13"/>
  <c r="R63" i="13"/>
  <c r="BA16" i="13" s="1"/>
  <c r="AZ20" i="13"/>
  <c r="R67" i="13"/>
  <c r="BA20" i="13" s="1"/>
  <c r="AZ24" i="13"/>
  <c r="R71" i="13"/>
  <c r="BA24" i="13" s="1"/>
  <c r="R78" i="13"/>
  <c r="BG17" i="13" s="1"/>
  <c r="BF21" i="13"/>
  <c r="R82" i="13"/>
  <c r="BG21" i="13" s="1"/>
  <c r="R89" i="13"/>
  <c r="BM14" i="13" s="1"/>
  <c r="R93" i="13"/>
  <c r="BM18" i="13" s="1"/>
  <c r="R97" i="13"/>
  <c r="BM22" i="13" s="1"/>
  <c r="BR15" i="13"/>
  <c r="R104" i="13"/>
  <c r="BS15" i="13" s="1"/>
  <c r="BR19" i="13"/>
  <c r="R108" i="13"/>
  <c r="BS19" i="13" s="1"/>
  <c r="BR23" i="13"/>
  <c r="R112" i="13"/>
  <c r="BS23" i="13" s="1"/>
  <c r="BX16" i="13"/>
  <c r="R119" i="13"/>
  <c r="BY16" i="13" s="1"/>
  <c r="BX20" i="13"/>
  <c r="R123" i="13"/>
  <c r="BY20" i="13" s="1"/>
  <c r="R134" i="13"/>
  <c r="CE17" i="13" s="1"/>
  <c r="CD21" i="13"/>
  <c r="R138" i="13"/>
  <c r="CE21" i="13" s="1"/>
  <c r="R145" i="13"/>
  <c r="CK14" i="13" s="1"/>
  <c r="CG16" i="13"/>
  <c r="U147" i="13"/>
  <c r="CI16" i="13" s="1"/>
  <c r="T147" i="13"/>
  <c r="CH16" i="13" s="1"/>
  <c r="CJ18" i="13"/>
  <c r="R149" i="13"/>
  <c r="CK18" i="13" s="1"/>
  <c r="CJ22" i="13"/>
  <c r="R153" i="13"/>
  <c r="CK22" i="13" s="1"/>
  <c r="CP15" i="13"/>
  <c r="R160" i="13"/>
  <c r="CQ15" i="13" s="1"/>
  <c r="CP19" i="13"/>
  <c r="R164" i="13"/>
  <c r="CQ19" i="13" s="1"/>
  <c r="CP23" i="13"/>
  <c r="R168" i="13"/>
  <c r="CQ23" i="13" s="1"/>
  <c r="AB16" i="14"/>
  <c r="R7" i="14"/>
  <c r="AC16" i="14" s="1"/>
  <c r="AB20" i="14"/>
  <c r="R11" i="14"/>
  <c r="AC20" i="14" s="1"/>
  <c r="AB24" i="14"/>
  <c r="R15" i="14"/>
  <c r="AC24" i="14" s="1"/>
  <c r="AH17" i="14"/>
  <c r="R22" i="14"/>
  <c r="AI17" i="14" s="1"/>
  <c r="AH21" i="14"/>
  <c r="R26" i="14"/>
  <c r="AI21" i="14" s="1"/>
  <c r="AN14" i="14"/>
  <c r="R33" i="14"/>
  <c r="AO14" i="14" s="1"/>
  <c r="AN18" i="14"/>
  <c r="R37" i="14"/>
  <c r="AO18" i="14" s="1"/>
  <c r="AN22" i="14"/>
  <c r="R41" i="14"/>
  <c r="AO22" i="14" s="1"/>
  <c r="AT15" i="14"/>
  <c r="R48" i="14"/>
  <c r="AU15" i="14" s="1"/>
  <c r="AT19" i="14"/>
  <c r="R52" i="14"/>
  <c r="AU19" i="14" s="1"/>
  <c r="AT23" i="14"/>
  <c r="R56" i="14"/>
  <c r="AU23" i="14" s="1"/>
  <c r="AZ16" i="14"/>
  <c r="R63" i="14"/>
  <c r="BA16" i="14" s="1"/>
  <c r="AZ20" i="14"/>
  <c r="R67" i="14"/>
  <c r="BA20" i="14" s="1"/>
  <c r="BF17" i="14"/>
  <c r="R78" i="14"/>
  <c r="BG17" i="14" s="1"/>
  <c r="BF21" i="14"/>
  <c r="R82" i="14"/>
  <c r="BG21" i="14" s="1"/>
  <c r="R89" i="14"/>
  <c r="BM14" i="14" s="1"/>
  <c r="BL18" i="14"/>
  <c r="R93" i="14"/>
  <c r="BM18" i="14" s="1"/>
  <c r="BL22" i="14"/>
  <c r="R97" i="14"/>
  <c r="BM22" i="14" s="1"/>
  <c r="BR15" i="14"/>
  <c r="R104" i="14"/>
  <c r="BS15" i="14" s="1"/>
  <c r="BR19" i="14"/>
  <c r="R108" i="14"/>
  <c r="BS19" i="14" s="1"/>
  <c r="BR23" i="14"/>
  <c r="R112" i="14"/>
  <c r="BS23" i="14" s="1"/>
  <c r="BX16" i="14"/>
  <c r="R119" i="14"/>
  <c r="BY16" i="14" s="1"/>
  <c r="BX20" i="14"/>
  <c r="R123" i="14"/>
  <c r="BY20" i="14" s="1"/>
  <c r="CD17" i="14"/>
  <c r="R134" i="14"/>
  <c r="CE17" i="14" s="1"/>
  <c r="CD21" i="14"/>
  <c r="R138" i="14"/>
  <c r="CE21" i="14" s="1"/>
  <c r="R145" i="14"/>
  <c r="CK14" i="14" s="1"/>
  <c r="CP15" i="14"/>
  <c r="R160" i="14"/>
  <c r="CQ15" i="14" s="1"/>
  <c r="CM17" i="14"/>
  <c r="U162" i="14"/>
  <c r="CO17" i="14" s="1"/>
  <c r="T162" i="14"/>
  <c r="CN17" i="14" s="1"/>
  <c r="U166" i="14"/>
  <c r="T166" i="14"/>
  <c r="AB16" i="15"/>
  <c r="R7" i="15"/>
  <c r="AC16" i="15" s="1"/>
  <c r="R11" i="15"/>
  <c r="AC20" i="15" s="1"/>
  <c r="AB24" i="15"/>
  <c r="R15" i="15"/>
  <c r="AC24" i="15" s="1"/>
  <c r="R22" i="15"/>
  <c r="AI17" i="15" s="1"/>
  <c r="AH21" i="15"/>
  <c r="R26" i="15"/>
  <c r="AI21" i="15" s="1"/>
  <c r="AN14" i="15"/>
  <c r="R33" i="15"/>
  <c r="AO14" i="15" s="1"/>
  <c r="R37" i="15"/>
  <c r="AO18" i="15" s="1"/>
  <c r="AN22" i="15"/>
  <c r="R41" i="15"/>
  <c r="AO22" i="15" s="1"/>
  <c r="R48" i="15"/>
  <c r="AU15" i="15" s="1"/>
  <c r="R52" i="15"/>
  <c r="AU19" i="15" s="1"/>
  <c r="AT23" i="15"/>
  <c r="R56" i="15"/>
  <c r="AU23" i="15" s="1"/>
  <c r="R63" i="15"/>
  <c r="BA16" i="15" s="1"/>
  <c r="AZ20" i="15"/>
  <c r="R67" i="15"/>
  <c r="BA20" i="15" s="1"/>
  <c r="BF17" i="15"/>
  <c r="R78" i="15"/>
  <c r="BG17" i="15" s="1"/>
  <c r="BF21" i="15"/>
  <c r="R82" i="15"/>
  <c r="BG21" i="15" s="1"/>
  <c r="R89" i="15"/>
  <c r="BM14" i="15" s="1"/>
  <c r="BL18" i="15"/>
  <c r="R93" i="15"/>
  <c r="BM18" i="15" s="1"/>
  <c r="BL22" i="15"/>
  <c r="R97" i="15"/>
  <c r="BM22" i="15" s="1"/>
  <c r="BR15" i="15"/>
  <c r="R104" i="15"/>
  <c r="BS15" i="15" s="1"/>
  <c r="BR19" i="15"/>
  <c r="R108" i="15"/>
  <c r="BS19" i="15" s="1"/>
  <c r="BX16" i="15"/>
  <c r="R119" i="15"/>
  <c r="BY16" i="15" s="1"/>
  <c r="BX20" i="15"/>
  <c r="R123" i="15"/>
  <c r="BY20" i="15" s="1"/>
  <c r="CD17" i="15"/>
  <c r="R134" i="15"/>
  <c r="CE17" i="15" s="1"/>
  <c r="CD21" i="15"/>
  <c r="R138" i="15"/>
  <c r="CE21" i="15" s="1"/>
  <c r="R145" i="15"/>
  <c r="CK14" i="15" s="1"/>
  <c r="CJ18" i="15"/>
  <c r="R149" i="15"/>
  <c r="CK18" i="15" s="1"/>
  <c r="CJ22" i="15"/>
  <c r="R153" i="15"/>
  <c r="CK22" i="15" s="1"/>
  <c r="CP15" i="15"/>
  <c r="R160" i="15"/>
  <c r="CQ15" i="15" s="1"/>
  <c r="AB16" i="16"/>
  <c r="R7" i="16"/>
  <c r="AC16" i="16" s="1"/>
  <c r="AB20" i="16"/>
  <c r="R11" i="16"/>
  <c r="AC20" i="16" s="1"/>
  <c r="AB24" i="16"/>
  <c r="R15" i="16"/>
  <c r="AC24" i="16" s="1"/>
  <c r="AH17" i="16"/>
  <c r="R22" i="16"/>
  <c r="AI17" i="16" s="1"/>
  <c r="R26" i="16"/>
  <c r="AI21" i="16" s="1"/>
  <c r="R33" i="16"/>
  <c r="AO14" i="16" s="1"/>
  <c r="AN18" i="16"/>
  <c r="R37" i="16"/>
  <c r="AO18" i="16" s="1"/>
  <c r="AN22" i="16"/>
  <c r="R41" i="16"/>
  <c r="AO22" i="16" s="1"/>
  <c r="AT15" i="16"/>
  <c r="R48" i="16"/>
  <c r="AU15" i="16" s="1"/>
  <c r="AT19" i="16"/>
  <c r="R52" i="16"/>
  <c r="AU19" i="16" s="1"/>
  <c r="AT23" i="16"/>
  <c r="R56" i="16"/>
  <c r="AU23" i="16" s="1"/>
  <c r="AZ16" i="16"/>
  <c r="R63" i="16"/>
  <c r="BA16" i="16" s="1"/>
  <c r="AZ20" i="16"/>
  <c r="R67" i="16"/>
  <c r="BA20" i="16" s="1"/>
  <c r="BF17" i="16"/>
  <c r="R78" i="16"/>
  <c r="BG17" i="16" s="1"/>
  <c r="BF21" i="16"/>
  <c r="R82" i="16"/>
  <c r="BG21" i="16" s="1"/>
  <c r="R89" i="16"/>
  <c r="BM14" i="16" s="1"/>
  <c r="BL18" i="16"/>
  <c r="R93" i="16"/>
  <c r="BM18" i="16" s="1"/>
  <c r="BL22" i="16"/>
  <c r="R97" i="16"/>
  <c r="BM22" i="16" s="1"/>
  <c r="R104" i="16"/>
  <c r="BS15" i="16" s="1"/>
  <c r="BR19" i="16"/>
  <c r="R108" i="16"/>
  <c r="BS19" i="16" s="1"/>
  <c r="R119" i="16"/>
  <c r="BY16" i="16" s="1"/>
  <c r="BX20" i="16"/>
  <c r="R123" i="16"/>
  <c r="BY20" i="16" s="1"/>
  <c r="R134" i="16"/>
  <c r="CE17" i="16" s="1"/>
  <c r="R145" i="16"/>
  <c r="CK14" i="16" s="1"/>
  <c r="CJ18" i="16"/>
  <c r="R149" i="16"/>
  <c r="CK18" i="16" s="1"/>
  <c r="CP15" i="16"/>
  <c r="R160" i="16"/>
  <c r="CQ15" i="16" s="1"/>
  <c r="AB16" i="17"/>
  <c r="R7" i="17"/>
  <c r="AC16" i="17" s="1"/>
  <c r="AB20" i="17"/>
  <c r="R11" i="17"/>
  <c r="AC20" i="17" s="1"/>
  <c r="AB24" i="17"/>
  <c r="R15" i="17"/>
  <c r="AC24" i="17" s="1"/>
  <c r="AH17" i="17"/>
  <c r="R22" i="17"/>
  <c r="AI17" i="17" s="1"/>
  <c r="AH21" i="17"/>
  <c r="R26" i="17"/>
  <c r="AI21" i="17" s="1"/>
  <c r="R33" i="17"/>
  <c r="AO14" i="17" s="1"/>
  <c r="AN18" i="17"/>
  <c r="R37" i="17"/>
  <c r="AO18" i="17" s="1"/>
  <c r="AN22" i="17"/>
  <c r="R41" i="17"/>
  <c r="AO22" i="17" s="1"/>
  <c r="AT15" i="17"/>
  <c r="R48" i="17"/>
  <c r="AU15" i="17" s="1"/>
  <c r="AT19" i="17"/>
  <c r="R52" i="17"/>
  <c r="AU19" i="17" s="1"/>
  <c r="R63" i="17"/>
  <c r="BA16" i="17" s="1"/>
  <c r="AZ20" i="17"/>
  <c r="R67" i="17"/>
  <c r="BA20" i="17" s="1"/>
  <c r="BF17" i="17"/>
  <c r="R78" i="17"/>
  <c r="BG17" i="17" s="1"/>
  <c r="BF21" i="17"/>
  <c r="R82" i="17"/>
  <c r="BG21" i="17" s="1"/>
  <c r="BL14" i="17"/>
  <c r="R89" i="17"/>
  <c r="BM14" i="17" s="1"/>
  <c r="R93" i="17"/>
  <c r="BM18" i="17" s="1"/>
  <c r="BL22" i="17"/>
  <c r="R97" i="17"/>
  <c r="BM22" i="17" s="1"/>
  <c r="BR15" i="17"/>
  <c r="R104" i="17"/>
  <c r="BS15" i="17" s="1"/>
  <c r="BR19" i="17"/>
  <c r="R108" i="17"/>
  <c r="BS19" i="17" s="1"/>
  <c r="BX16" i="17"/>
  <c r="R119" i="17"/>
  <c r="BY16" i="17" s="1"/>
  <c r="CD17" i="17"/>
  <c r="R134" i="17"/>
  <c r="CE17" i="17" s="1"/>
  <c r="CJ14" i="17"/>
  <c r="R145" i="17"/>
  <c r="CK14" i="17" s="1"/>
  <c r="CP15" i="17"/>
  <c r="R160" i="17"/>
  <c r="CQ15" i="17" s="1"/>
  <c r="AB16" i="18"/>
  <c r="R7" i="18"/>
  <c r="AC16" i="18" s="1"/>
  <c r="AB20" i="18"/>
  <c r="R11" i="18"/>
  <c r="AC20" i="18" s="1"/>
  <c r="AB24" i="18"/>
  <c r="R15" i="18"/>
  <c r="AC24" i="18" s="1"/>
  <c r="AH17" i="18"/>
  <c r="R22" i="18"/>
  <c r="AI17" i="18" s="1"/>
  <c r="AH21" i="18"/>
  <c r="R26" i="18"/>
  <c r="AI21" i="18" s="1"/>
  <c r="AN14" i="18"/>
  <c r="R33" i="18"/>
  <c r="AO14" i="18" s="1"/>
  <c r="AN18" i="18"/>
  <c r="R37" i="18"/>
  <c r="AO18" i="18" s="1"/>
  <c r="AT15" i="18"/>
  <c r="R48" i="18"/>
  <c r="AU15" i="18" s="1"/>
  <c r="AZ16" i="18"/>
  <c r="R63" i="18"/>
  <c r="BA16" i="18" s="1"/>
  <c r="BF17" i="18"/>
  <c r="R78" i="18"/>
  <c r="BG17" i="18" s="1"/>
  <c r="BL14" i="18"/>
  <c r="R89" i="18"/>
  <c r="BM14" i="18" s="1"/>
  <c r="BR15" i="18"/>
  <c r="R104" i="18"/>
  <c r="BS15" i="18" s="1"/>
  <c r="BX16" i="18"/>
  <c r="R119" i="18"/>
  <c r="BY16" i="18" s="1"/>
  <c r="CD17" i="18"/>
  <c r="R134" i="18"/>
  <c r="CE17" i="18" s="1"/>
  <c r="CJ14" i="18"/>
  <c r="R145" i="18"/>
  <c r="CK14" i="18" s="1"/>
  <c r="CP15" i="18"/>
  <c r="R160" i="18"/>
  <c r="CQ15" i="18" s="1"/>
  <c r="AB16" i="19"/>
  <c r="R7" i="19"/>
  <c r="AC16" i="19" s="1"/>
  <c r="AB20" i="19"/>
  <c r="R11" i="19"/>
  <c r="AC20" i="19" s="1"/>
  <c r="AB24" i="19"/>
  <c r="R15" i="19"/>
  <c r="AC24" i="19" s="1"/>
  <c r="AE15" i="19"/>
  <c r="U20" i="19"/>
  <c r="AG15" i="19" s="1"/>
  <c r="T20" i="19"/>
  <c r="AF15" i="19" s="1"/>
  <c r="AH17" i="19"/>
  <c r="R22" i="19"/>
  <c r="AI17" i="19" s="1"/>
  <c r="AH21" i="19"/>
  <c r="R26" i="19"/>
  <c r="AI21" i="19" s="1"/>
  <c r="AE23" i="19"/>
  <c r="U28" i="19"/>
  <c r="AG23" i="19" s="1"/>
  <c r="T28" i="19"/>
  <c r="AF23" i="19" s="1"/>
  <c r="AN14" i="19"/>
  <c r="R33" i="19"/>
  <c r="AO14" i="19" s="1"/>
  <c r="AK16" i="19"/>
  <c r="U35" i="19"/>
  <c r="AM16" i="19" s="1"/>
  <c r="T35" i="19"/>
  <c r="AL16" i="19" s="1"/>
  <c r="AN18" i="19"/>
  <c r="R37" i="19"/>
  <c r="AO18" i="19" s="1"/>
  <c r="T43" i="19"/>
  <c r="U43" i="19"/>
  <c r="AT15" i="19"/>
  <c r="R48" i="19"/>
  <c r="AU15" i="19" s="1"/>
  <c r="AQ17" i="19"/>
  <c r="U50" i="19"/>
  <c r="AS17" i="19" s="1"/>
  <c r="T50" i="19"/>
  <c r="AR17" i="19" s="1"/>
  <c r="T54" i="19"/>
  <c r="U54" i="19"/>
  <c r="AZ16" i="19"/>
  <c r="R63" i="19"/>
  <c r="BA16" i="19" s="1"/>
  <c r="T65" i="19"/>
  <c r="U65" i="19"/>
  <c r="U69" i="19"/>
  <c r="T69" i="19"/>
  <c r="BC15" i="19"/>
  <c r="T76" i="19"/>
  <c r="BD15" i="19" s="1"/>
  <c r="U76" i="19"/>
  <c r="BE15" i="19" s="1"/>
  <c r="T80" i="19"/>
  <c r="U80" i="19"/>
  <c r="T84" i="19"/>
  <c r="U84" i="19"/>
  <c r="BL14" i="19"/>
  <c r="R89" i="19"/>
  <c r="BM14" i="19" s="1"/>
  <c r="BI16" i="19"/>
  <c r="U91" i="19"/>
  <c r="BK16" i="19" s="1"/>
  <c r="T91" i="19"/>
  <c r="BJ16" i="19" s="1"/>
  <c r="BR15" i="19"/>
  <c r="R104" i="19"/>
  <c r="BS15" i="19" s="1"/>
  <c r="BX16" i="19"/>
  <c r="R119" i="19"/>
  <c r="BY16" i="19" s="1"/>
  <c r="CA15" i="19"/>
  <c r="T132" i="19"/>
  <c r="CB15" i="19" s="1"/>
  <c r="U132" i="19"/>
  <c r="CC15" i="19" s="1"/>
  <c r="CD17" i="19"/>
  <c r="R134" i="19"/>
  <c r="CE17" i="19" s="1"/>
  <c r="U136" i="19"/>
  <c r="T136" i="19"/>
  <c r="U140" i="19"/>
  <c r="T140" i="19"/>
  <c r="CJ14" i="19"/>
  <c r="R145" i="19"/>
  <c r="CK14" i="19" s="1"/>
  <c r="CJ18" i="19"/>
  <c r="R149" i="19"/>
  <c r="CK18" i="19" s="1"/>
  <c r="CP15" i="19"/>
  <c r="R160" i="19"/>
  <c r="CQ15" i="19" s="1"/>
  <c r="AB16" i="20"/>
  <c r="R7" i="20"/>
  <c r="AC16" i="20" s="1"/>
  <c r="AB20" i="20"/>
  <c r="R11" i="20"/>
  <c r="AC20" i="20" s="1"/>
  <c r="Y22" i="20"/>
  <c r="T13" i="20"/>
  <c r="Z22" i="20" s="1"/>
  <c r="U13" i="20"/>
  <c r="AA22" i="20" s="1"/>
  <c r="AB24" i="20"/>
  <c r="R15" i="20"/>
  <c r="AC24" i="20" s="1"/>
  <c r="AE15" i="20"/>
  <c r="T20" i="20"/>
  <c r="AF15" i="20" s="1"/>
  <c r="U20" i="20"/>
  <c r="AG15" i="20" s="1"/>
  <c r="AH17" i="20"/>
  <c r="R22" i="20"/>
  <c r="AI17" i="20" s="1"/>
  <c r="AH21" i="20"/>
  <c r="R26" i="20"/>
  <c r="AI21" i="20" s="1"/>
  <c r="AN14" i="20"/>
  <c r="R33" i="20"/>
  <c r="AO14" i="20" s="1"/>
  <c r="AN18" i="20"/>
  <c r="R37" i="20"/>
  <c r="AO18" i="20" s="1"/>
  <c r="AK20" i="20"/>
  <c r="U39" i="20"/>
  <c r="AM20" i="20" s="1"/>
  <c r="T39" i="20"/>
  <c r="AL20" i="20" s="1"/>
  <c r="AT15" i="20"/>
  <c r="R48" i="20"/>
  <c r="AU15" i="20" s="1"/>
  <c r="AQ17" i="20"/>
  <c r="T50" i="20"/>
  <c r="AR17" i="20" s="1"/>
  <c r="U50" i="20"/>
  <c r="AS17" i="20" s="1"/>
  <c r="AT19" i="20"/>
  <c r="R52" i="20"/>
  <c r="AU19" i="20" s="1"/>
  <c r="AW14" i="20"/>
  <c r="U61" i="20"/>
  <c r="AY14" i="20" s="1"/>
  <c r="T61" i="20"/>
  <c r="AX14" i="20" s="1"/>
  <c r="AZ16" i="20"/>
  <c r="R63" i="20"/>
  <c r="BA16" i="20" s="1"/>
  <c r="BC15" i="20"/>
  <c r="U76" i="20"/>
  <c r="BE15" i="20" s="1"/>
  <c r="T76" i="20"/>
  <c r="BD15" i="20" s="1"/>
  <c r="BF17" i="20"/>
  <c r="R78" i="20"/>
  <c r="BG17" i="20" s="1"/>
  <c r="U80" i="20"/>
  <c r="T80" i="20"/>
  <c r="U84" i="20"/>
  <c r="T84" i="20"/>
  <c r="BL14" i="20"/>
  <c r="R89" i="20"/>
  <c r="BM14" i="20" s="1"/>
  <c r="BI16" i="20"/>
  <c r="T91" i="20"/>
  <c r="BJ16" i="20" s="1"/>
  <c r="U91" i="20"/>
  <c r="BK16" i="20" s="1"/>
  <c r="BR15" i="20"/>
  <c r="R104" i="20"/>
  <c r="BS15" i="20" s="1"/>
  <c r="BO17" i="20"/>
  <c r="T106" i="20"/>
  <c r="BP17" i="20" s="1"/>
  <c r="U106" i="20"/>
  <c r="BQ17" i="20" s="1"/>
  <c r="U110" i="20"/>
  <c r="T110" i="20"/>
  <c r="R119" i="20"/>
  <c r="BY16" i="20" s="1"/>
  <c r="CD17" i="20"/>
  <c r="R134" i="20"/>
  <c r="CE17" i="20" s="1"/>
  <c r="CJ14" i="20"/>
  <c r="R145" i="20"/>
  <c r="CK14" i="20" s="1"/>
  <c r="CJ18" i="20"/>
  <c r="R149" i="20"/>
  <c r="CK18" i="20" s="1"/>
  <c r="T155" i="20"/>
  <c r="U155" i="20"/>
  <c r="CP15" i="20"/>
  <c r="R160" i="20"/>
  <c r="CQ15" i="20" s="1"/>
  <c r="CM17" i="20"/>
  <c r="U162" i="20"/>
  <c r="CO17" i="20" s="1"/>
  <c r="T162" i="20"/>
  <c r="CN17" i="20" s="1"/>
  <c r="R7" i="21"/>
  <c r="AC16" i="21" s="1"/>
  <c r="R11" i="21"/>
  <c r="AC20" i="21" s="1"/>
  <c r="R15" i="21"/>
  <c r="AC24" i="21" s="1"/>
  <c r="AB24" i="21"/>
  <c r="R22" i="21"/>
  <c r="AI17" i="21" s="1"/>
  <c r="R26" i="21"/>
  <c r="AI21" i="21" s="1"/>
  <c r="R33" i="21"/>
  <c r="AO14" i="21" s="1"/>
  <c r="R37" i="21"/>
  <c r="AO18" i="21" s="1"/>
  <c r="R41" i="21"/>
  <c r="AO22" i="21" s="1"/>
  <c r="R48" i="21"/>
  <c r="AU15" i="21" s="1"/>
  <c r="AT15" i="21"/>
  <c r="R52" i="21"/>
  <c r="AU19" i="21" s="1"/>
  <c r="AT19" i="21"/>
  <c r="R56" i="21"/>
  <c r="AU23" i="21" s="1"/>
  <c r="R63" i="21"/>
  <c r="BA16" i="21" s="1"/>
  <c r="R67" i="21"/>
  <c r="BA20" i="21" s="1"/>
  <c r="R71" i="21"/>
  <c r="BA24" i="21" s="1"/>
  <c r="AZ24" i="21"/>
  <c r="R78" i="21"/>
  <c r="BG17" i="21" s="1"/>
  <c r="BF17" i="21"/>
  <c r="R82" i="21"/>
  <c r="BG21" i="21" s="1"/>
  <c r="BF21" i="21"/>
  <c r="R89" i="21"/>
  <c r="BM14" i="21" s="1"/>
  <c r="BL14" i="21"/>
  <c r="R93" i="21"/>
  <c r="BM18" i="21" s="1"/>
  <c r="BL18" i="21"/>
  <c r="R97" i="21"/>
  <c r="BM22" i="21" s="1"/>
  <c r="Y24" i="13"/>
  <c r="U15" i="13"/>
  <c r="AA24" i="13" s="1"/>
  <c r="T15" i="13"/>
  <c r="Z24" i="13" s="1"/>
  <c r="R24" i="13"/>
  <c r="AI19" i="13" s="1"/>
  <c r="AK22" i="13"/>
  <c r="T41" i="13"/>
  <c r="AL22" i="13" s="1"/>
  <c r="U41" i="13"/>
  <c r="AM22" i="13" s="1"/>
  <c r="R50" i="13"/>
  <c r="AU17" i="13" s="1"/>
  <c r="AW16" i="13"/>
  <c r="U63" i="13"/>
  <c r="AY16" i="13" s="1"/>
  <c r="T63" i="13"/>
  <c r="AX16" i="13" s="1"/>
  <c r="R65" i="13"/>
  <c r="BA18" i="13" s="1"/>
  <c r="R69" i="13"/>
  <c r="BA22" i="13" s="1"/>
  <c r="BO15" i="13"/>
  <c r="U104" i="13"/>
  <c r="BQ15" i="13" s="1"/>
  <c r="T104" i="13"/>
  <c r="BP15" i="13" s="1"/>
  <c r="R106" i="13"/>
  <c r="BS17" i="13" s="1"/>
  <c r="R110" i="13"/>
  <c r="BS21" i="13" s="1"/>
  <c r="T127" i="13"/>
  <c r="U127" i="13"/>
  <c r="CG22" i="13"/>
  <c r="U153" i="13"/>
  <c r="CI22" i="13" s="1"/>
  <c r="T153" i="13"/>
  <c r="CH22" i="13" s="1"/>
  <c r="CM23" i="13"/>
  <c r="U168" i="13"/>
  <c r="CO23" i="13" s="1"/>
  <c r="T168" i="13"/>
  <c r="CN23" i="13" s="1"/>
  <c r="R5" i="14"/>
  <c r="AC14" i="14" s="1"/>
  <c r="AE17" i="14"/>
  <c r="U22" i="14"/>
  <c r="AG17" i="14" s="1"/>
  <c r="T22" i="14"/>
  <c r="AF17" i="14" s="1"/>
  <c r="R24" i="14"/>
  <c r="AI19" i="14" s="1"/>
  <c r="AK18" i="14"/>
  <c r="T37" i="14"/>
  <c r="AL18" i="14" s="1"/>
  <c r="U37" i="14"/>
  <c r="AM18" i="14" s="1"/>
  <c r="R39" i="14"/>
  <c r="AO20" i="14" s="1"/>
  <c r="AQ23" i="14"/>
  <c r="T56" i="14"/>
  <c r="AR23" i="14" s="1"/>
  <c r="U56" i="14"/>
  <c r="AS23" i="14" s="1"/>
  <c r="R61" i="14"/>
  <c r="BA14" i="14" s="1"/>
  <c r="BC17" i="14"/>
  <c r="U78" i="14"/>
  <c r="BE17" i="14" s="1"/>
  <c r="T78" i="14"/>
  <c r="BD17" i="14" s="1"/>
  <c r="R80" i="14"/>
  <c r="BG19" i="14" s="1"/>
  <c r="R91" i="14"/>
  <c r="BM16" i="14" s="1"/>
  <c r="BO15" i="14"/>
  <c r="T104" i="14"/>
  <c r="BP15" i="14" s="1"/>
  <c r="U104" i="14"/>
  <c r="BQ15" i="14" s="1"/>
  <c r="BO23" i="14"/>
  <c r="U112" i="14"/>
  <c r="BQ23" i="14" s="1"/>
  <c r="T112" i="14"/>
  <c r="BP23" i="14" s="1"/>
  <c r="R117" i="14"/>
  <c r="BY14" i="14" s="1"/>
  <c r="R132" i="14"/>
  <c r="CE15" i="14" s="1"/>
  <c r="R147" i="14"/>
  <c r="CK16" i="14" s="1"/>
  <c r="Y24" i="15"/>
  <c r="U15" i="15"/>
  <c r="AA24" i="15" s="1"/>
  <c r="T15" i="15"/>
  <c r="Z24" i="15" s="1"/>
  <c r="AK14" i="15"/>
  <c r="T33" i="15"/>
  <c r="AL14" i="15" s="1"/>
  <c r="U33" i="15"/>
  <c r="AM14" i="15" s="1"/>
  <c r="R39" i="15"/>
  <c r="AO20" i="15" s="1"/>
  <c r="AQ23" i="15"/>
  <c r="U56" i="15"/>
  <c r="AS23" i="15" s="1"/>
  <c r="T56" i="15"/>
  <c r="AR23" i="15" s="1"/>
  <c r="BC17" i="15"/>
  <c r="T78" i="15"/>
  <c r="BD17" i="15" s="1"/>
  <c r="U78" i="15"/>
  <c r="BE17" i="15" s="1"/>
  <c r="BI18" i="15"/>
  <c r="T93" i="15"/>
  <c r="BJ18" i="15" s="1"/>
  <c r="U93" i="15"/>
  <c r="BK18" i="15" s="1"/>
  <c r="R95" i="15"/>
  <c r="BM20" i="15" s="1"/>
  <c r="BO19" i="15"/>
  <c r="U108" i="15"/>
  <c r="BQ19" i="15" s="1"/>
  <c r="T108" i="15"/>
  <c r="BP19" i="15" s="1"/>
  <c r="R110" i="15"/>
  <c r="BS21" i="15" s="1"/>
  <c r="R117" i="15"/>
  <c r="BY14" i="15" s="1"/>
  <c r="R121" i="15"/>
  <c r="BY18" i="15" s="1"/>
  <c r="R132" i="15"/>
  <c r="CE15" i="15" s="1"/>
  <c r="CG18" i="15"/>
  <c r="U149" i="15"/>
  <c r="CI18" i="15" s="1"/>
  <c r="T149" i="15"/>
  <c r="CH18" i="15" s="1"/>
  <c r="CJ20" i="15"/>
  <c r="R151" i="15"/>
  <c r="CK20" i="15" s="1"/>
  <c r="T164" i="15"/>
  <c r="U164" i="15"/>
  <c r="AE17" i="16"/>
  <c r="U22" i="16"/>
  <c r="AG17" i="16" s="1"/>
  <c r="T22" i="16"/>
  <c r="AF17" i="16" s="1"/>
  <c r="AK22" i="16"/>
  <c r="U41" i="16"/>
  <c r="AM22" i="16" s="1"/>
  <c r="T41" i="16"/>
  <c r="AL22" i="16" s="1"/>
  <c r="R50" i="16"/>
  <c r="AU17" i="16" s="1"/>
  <c r="AW20" i="16"/>
  <c r="U67" i="16"/>
  <c r="AY20" i="16" s="1"/>
  <c r="T67" i="16"/>
  <c r="AX20" i="16" s="1"/>
  <c r="R69" i="16"/>
  <c r="BA22" i="16" s="1"/>
  <c r="R76" i="16"/>
  <c r="BG15" i="16" s="1"/>
  <c r="R80" i="16"/>
  <c r="BG19" i="16" s="1"/>
  <c r="R95" i="16"/>
  <c r="BM20" i="16" s="1"/>
  <c r="R117" i="16"/>
  <c r="BY14" i="16" s="1"/>
  <c r="U127" i="16"/>
  <c r="T127" i="16"/>
  <c r="R132" i="16"/>
  <c r="CE15" i="16" s="1"/>
  <c r="T164" i="16"/>
  <c r="U164" i="16"/>
  <c r="Y16" i="17"/>
  <c r="U7" i="17"/>
  <c r="AA16" i="17" s="1"/>
  <c r="T7" i="17"/>
  <c r="Z16" i="17" s="1"/>
  <c r="R9" i="17"/>
  <c r="AC18" i="17" s="1"/>
  <c r="R13" i="17"/>
  <c r="AC22" i="17" s="1"/>
  <c r="AE21" i="17"/>
  <c r="U26" i="17"/>
  <c r="AG21" i="17" s="1"/>
  <c r="T26" i="17"/>
  <c r="AF21" i="17" s="1"/>
  <c r="AK22" i="17"/>
  <c r="U41" i="17"/>
  <c r="AM22" i="17" s="1"/>
  <c r="T41" i="17"/>
  <c r="AL22" i="17" s="1"/>
  <c r="U56" i="17"/>
  <c r="T56" i="17"/>
  <c r="R61" i="17"/>
  <c r="BA14" i="17" s="1"/>
  <c r="BC17" i="17"/>
  <c r="U78" i="17"/>
  <c r="BE17" i="17" s="1"/>
  <c r="T78" i="17"/>
  <c r="BD17" i="17" s="1"/>
  <c r="R80" i="17"/>
  <c r="BG19" i="17" s="1"/>
  <c r="BI22" i="17"/>
  <c r="U97" i="17"/>
  <c r="BK22" i="17" s="1"/>
  <c r="T97" i="17"/>
  <c r="BJ22" i="17" s="1"/>
  <c r="U127" i="17"/>
  <c r="T127" i="17"/>
  <c r="T138" i="17"/>
  <c r="U138" i="17"/>
  <c r="U168" i="17"/>
  <c r="T168" i="17"/>
  <c r="Y20" i="18"/>
  <c r="T11" i="18"/>
  <c r="Z20" i="18" s="1"/>
  <c r="U11" i="18"/>
  <c r="AA20" i="18" s="1"/>
  <c r="R13" i="18"/>
  <c r="AC22" i="18" s="1"/>
  <c r="AE21" i="18"/>
  <c r="T26" i="18"/>
  <c r="AF21" i="18" s="1"/>
  <c r="U26" i="18"/>
  <c r="AG21" i="18" s="1"/>
  <c r="R28" i="18"/>
  <c r="AI23" i="18" s="1"/>
  <c r="U41" i="18"/>
  <c r="T41" i="18"/>
  <c r="U56" i="18"/>
  <c r="T56" i="18"/>
  <c r="R61" i="18"/>
  <c r="BA14" i="18" s="1"/>
  <c r="T71" i="18"/>
  <c r="U71" i="18"/>
  <c r="R76" i="18"/>
  <c r="BG15" i="18" s="1"/>
  <c r="BO15" i="18"/>
  <c r="T104" i="18"/>
  <c r="BP15" i="18" s="1"/>
  <c r="U104" i="18"/>
  <c r="BQ15" i="18" s="1"/>
  <c r="T112" i="18"/>
  <c r="U112" i="18"/>
  <c r="R117" i="18"/>
  <c r="BY14" i="18" s="1"/>
  <c r="T138" i="18"/>
  <c r="U138" i="18"/>
  <c r="U164" i="18"/>
  <c r="T164" i="18"/>
  <c r="Y20" i="19"/>
  <c r="U11" i="19"/>
  <c r="AA20" i="19" s="1"/>
  <c r="T11" i="19"/>
  <c r="Z20" i="19" s="1"/>
  <c r="R13" i="19"/>
  <c r="AC22" i="19" s="1"/>
  <c r="AH15" i="19"/>
  <c r="R20" i="19"/>
  <c r="AI15" i="19" s="1"/>
  <c r="AK18" i="19"/>
  <c r="T37" i="19"/>
  <c r="AL18" i="19" s="1"/>
  <c r="U37" i="19"/>
  <c r="AM18" i="19" s="1"/>
  <c r="T56" i="19"/>
  <c r="U56" i="19"/>
  <c r="U67" i="19"/>
  <c r="T67" i="19"/>
  <c r="BI14" i="19"/>
  <c r="U89" i="19"/>
  <c r="BK14" i="19" s="1"/>
  <c r="T89" i="19"/>
  <c r="BJ14" i="19" s="1"/>
  <c r="BL16" i="19"/>
  <c r="R91" i="19"/>
  <c r="BM16" i="19" s="1"/>
  <c r="R117" i="19"/>
  <c r="BY14" i="19" s="1"/>
  <c r="U138" i="19"/>
  <c r="T138" i="19"/>
  <c r="R6" i="13"/>
  <c r="AC15" i="13" s="1"/>
  <c r="R10" i="13"/>
  <c r="AC19" i="13" s="1"/>
  <c r="R14" i="13"/>
  <c r="AC23" i="13" s="1"/>
  <c r="R21" i="13"/>
  <c r="AI16" i="13" s="1"/>
  <c r="R25" i="13"/>
  <c r="AI20" i="13" s="1"/>
  <c r="R29" i="13"/>
  <c r="AI24" i="13" s="1"/>
  <c r="AN17" i="13"/>
  <c r="R36" i="13"/>
  <c r="AO17" i="13" s="1"/>
  <c r="R40" i="13"/>
  <c r="AO21" i="13" s="1"/>
  <c r="R47" i="13"/>
  <c r="AU14" i="13" s="1"/>
  <c r="R51" i="13"/>
  <c r="AU18" i="13" s="1"/>
  <c r="R55" i="13"/>
  <c r="AU22" i="13" s="1"/>
  <c r="R62" i="13"/>
  <c r="BA15" i="13" s="1"/>
  <c r="R66" i="13"/>
  <c r="BA19" i="13" s="1"/>
  <c r="R70" i="13"/>
  <c r="BA23" i="13" s="1"/>
  <c r="R77" i="13"/>
  <c r="BG16" i="13" s="1"/>
  <c r="R81" i="13"/>
  <c r="BG20" i="13" s="1"/>
  <c r="R85" i="13"/>
  <c r="BG24" i="13" s="1"/>
  <c r="R92" i="13"/>
  <c r="BM17" i="13" s="1"/>
  <c r="R96" i="13"/>
  <c r="BM21" i="13" s="1"/>
  <c r="R103" i="13"/>
  <c r="BS14" i="13" s="1"/>
  <c r="R107" i="13"/>
  <c r="BS18" i="13" s="1"/>
  <c r="R111" i="13"/>
  <c r="BS22" i="13" s="1"/>
  <c r="R118" i="13"/>
  <c r="BY15" i="13" s="1"/>
  <c r="R122" i="13"/>
  <c r="BY19" i="13" s="1"/>
  <c r="R126" i="13"/>
  <c r="BY23" i="13" s="1"/>
  <c r="R133" i="13"/>
  <c r="CE16" i="13" s="1"/>
  <c r="R137" i="13"/>
  <c r="CE20" i="13" s="1"/>
  <c r="R148" i="13"/>
  <c r="CK17" i="13" s="1"/>
  <c r="R152" i="13"/>
  <c r="CK21" i="13" s="1"/>
  <c r="R159" i="13"/>
  <c r="CQ14" i="13" s="1"/>
  <c r="R163" i="13"/>
  <c r="CQ18" i="13" s="1"/>
  <c r="R167" i="13"/>
  <c r="CQ22" i="13" s="1"/>
  <c r="R6" i="14"/>
  <c r="AC15" i="14" s="1"/>
  <c r="R10" i="14"/>
  <c r="AC19" i="14" s="1"/>
  <c r="R14" i="14"/>
  <c r="AC23" i="14" s="1"/>
  <c r="R21" i="14"/>
  <c r="AI16" i="14" s="1"/>
  <c r="R25" i="14"/>
  <c r="AI20" i="14" s="1"/>
  <c r="R29" i="14"/>
  <c r="AI24" i="14" s="1"/>
  <c r="R36" i="14"/>
  <c r="AO17" i="14" s="1"/>
  <c r="AN21" i="14"/>
  <c r="R40" i="14"/>
  <c r="AO21" i="14" s="1"/>
  <c r="R47" i="14"/>
  <c r="AU14" i="14" s="1"/>
  <c r="R51" i="14"/>
  <c r="AU18" i="14" s="1"/>
  <c r="R55" i="14"/>
  <c r="AU22" i="14" s="1"/>
  <c r="R62" i="14"/>
  <c r="BA15" i="14" s="1"/>
  <c r="R66" i="14"/>
  <c r="BA19" i="14" s="1"/>
  <c r="R70" i="14"/>
  <c r="BA23" i="14" s="1"/>
  <c r="R77" i="14"/>
  <c r="BG16" i="14" s="1"/>
  <c r="R81" i="14"/>
  <c r="BG20" i="14" s="1"/>
  <c r="R92" i="14"/>
  <c r="BM17" i="14" s="1"/>
  <c r="R96" i="14"/>
  <c r="BM21" i="14" s="1"/>
  <c r="R103" i="14"/>
  <c r="BS14" i="14" s="1"/>
  <c r="R107" i="14"/>
  <c r="BS18" i="14" s="1"/>
  <c r="R111" i="14"/>
  <c r="BS22" i="14" s="1"/>
  <c r="R118" i="14"/>
  <c r="BY15" i="14" s="1"/>
  <c r="R122" i="14"/>
  <c r="BY19" i="14" s="1"/>
  <c r="R126" i="14"/>
  <c r="BY23" i="14" s="1"/>
  <c r="R133" i="14"/>
  <c r="CE16" i="14" s="1"/>
  <c r="R137" i="14"/>
  <c r="CE20" i="14" s="1"/>
  <c r="R148" i="14"/>
  <c r="CK17" i="14" s="1"/>
  <c r="R159" i="14"/>
  <c r="CQ14" i="14" s="1"/>
  <c r="R163" i="14"/>
  <c r="CQ18" i="14" s="1"/>
  <c r="R6" i="15"/>
  <c r="AC15" i="15" s="1"/>
  <c r="AB19" i="15"/>
  <c r="R10" i="15"/>
  <c r="AC19" i="15" s="1"/>
  <c r="R14" i="15"/>
  <c r="AC23" i="15" s="1"/>
  <c r="AH16" i="15"/>
  <c r="R21" i="15"/>
  <c r="AI16" i="15" s="1"/>
  <c r="H23" i="15"/>
  <c r="Q23" i="15" s="1"/>
  <c r="S23" i="15" s="1"/>
  <c r="R25" i="15"/>
  <c r="AI20" i="15" s="1"/>
  <c r="H27" i="15"/>
  <c r="Q27" i="15" s="1"/>
  <c r="S27" i="15" s="1"/>
  <c r="R29" i="15"/>
  <c r="AI24" i="15" s="1"/>
  <c r="H34" i="15"/>
  <c r="Q34" i="15" s="1"/>
  <c r="S34" i="15" s="1"/>
  <c r="R36" i="15"/>
  <c r="AO17" i="15" s="1"/>
  <c r="H38" i="15"/>
  <c r="Q38" i="15" s="1"/>
  <c r="S38" i="15" s="1"/>
  <c r="R40" i="15"/>
  <c r="AO21" i="15" s="1"/>
  <c r="H42" i="15"/>
  <c r="Q42" i="15" s="1"/>
  <c r="S42" i="15" s="1"/>
  <c r="R47" i="15"/>
  <c r="AU14" i="15" s="1"/>
  <c r="H49" i="15"/>
  <c r="Q49" i="15" s="1"/>
  <c r="S49" i="15" s="1"/>
  <c r="R51" i="15"/>
  <c r="AU18" i="15" s="1"/>
  <c r="H53" i="15"/>
  <c r="Q53" i="15" s="1"/>
  <c r="S53" i="15" s="1"/>
  <c r="R55" i="15"/>
  <c r="AU22" i="15" s="1"/>
  <c r="H57" i="15"/>
  <c r="Q57" i="15" s="1"/>
  <c r="S57" i="15" s="1"/>
  <c r="R62" i="15"/>
  <c r="BA15" i="15" s="1"/>
  <c r="H64" i="15"/>
  <c r="Q64" i="15" s="1"/>
  <c r="S64" i="15" s="1"/>
  <c r="R66" i="15"/>
  <c r="BA19" i="15" s="1"/>
  <c r="H68" i="15"/>
  <c r="Q68" i="15" s="1"/>
  <c r="S68" i="15" s="1"/>
  <c r="R70" i="15"/>
  <c r="BA23" i="15" s="1"/>
  <c r="H75" i="15"/>
  <c r="Q75" i="15" s="1"/>
  <c r="S75" i="15" s="1"/>
  <c r="R77" i="15"/>
  <c r="BG16" i="15" s="1"/>
  <c r="H79" i="15"/>
  <c r="Q79" i="15" s="1"/>
  <c r="S79" i="15" s="1"/>
  <c r="R81" i="15"/>
  <c r="BG20" i="15" s="1"/>
  <c r="H83" i="15"/>
  <c r="Q83" i="15" s="1"/>
  <c r="S83" i="15" s="1"/>
  <c r="H90" i="15"/>
  <c r="Q90" i="15" s="1"/>
  <c r="S90" i="15" s="1"/>
  <c r="R92" i="15"/>
  <c r="BM17" i="15" s="1"/>
  <c r="H94" i="15"/>
  <c r="Q94" i="15" s="1"/>
  <c r="S94" i="15" s="1"/>
  <c r="BL21" i="15"/>
  <c r="R96" i="15"/>
  <c r="BM21" i="15" s="1"/>
  <c r="H98" i="15"/>
  <c r="Q98" i="15" s="1"/>
  <c r="S98" i="15" s="1"/>
  <c r="R103" i="15"/>
  <c r="BS14" i="15" s="1"/>
  <c r="H105" i="15"/>
  <c r="Q105" i="15" s="1"/>
  <c r="S105" i="15" s="1"/>
  <c r="R107" i="15"/>
  <c r="BS18" i="15" s="1"/>
  <c r="H109" i="15"/>
  <c r="Q109" i="15" s="1"/>
  <c r="S109" i="15" s="1"/>
  <c r="R111" i="15"/>
  <c r="BS22" i="15" s="1"/>
  <c r="R118" i="15"/>
  <c r="BY15" i="15" s="1"/>
  <c r="H120" i="15"/>
  <c r="Q120" i="15" s="1"/>
  <c r="S120" i="15" s="1"/>
  <c r="R122" i="15"/>
  <c r="BY19" i="15" s="1"/>
  <c r="H124" i="15"/>
  <c r="Q124" i="15" s="1"/>
  <c r="S124" i="15" s="1"/>
  <c r="H131" i="15"/>
  <c r="Q131" i="15" s="1"/>
  <c r="S131" i="15" s="1"/>
  <c r="R133" i="15"/>
  <c r="CE16" i="15" s="1"/>
  <c r="H135" i="15"/>
  <c r="Q135" i="15" s="1"/>
  <c r="S135" i="15" s="1"/>
  <c r="R137" i="15"/>
  <c r="CE20" i="15" s="1"/>
  <c r="H139" i="15"/>
  <c r="Q139" i="15" s="1"/>
  <c r="S139" i="15" s="1"/>
  <c r="H146" i="15"/>
  <c r="Q146" i="15" s="1"/>
  <c r="S146" i="15" s="1"/>
  <c r="R148" i="15"/>
  <c r="CK17" i="15" s="1"/>
  <c r="H150" i="15"/>
  <c r="Q150" i="15" s="1"/>
  <c r="S150" i="15" s="1"/>
  <c r="R152" i="15"/>
  <c r="CK21" i="15" s="1"/>
  <c r="H154" i="15"/>
  <c r="Q154" i="15" s="1"/>
  <c r="S154" i="15" s="1"/>
  <c r="CP14" i="15"/>
  <c r="R159" i="15"/>
  <c r="CQ14" i="15" s="1"/>
  <c r="H161" i="15"/>
  <c r="Q161" i="15" s="1"/>
  <c r="S161" i="15" s="1"/>
  <c r="R163" i="15"/>
  <c r="CQ18" i="15" s="1"/>
  <c r="H165" i="15"/>
  <c r="Q165" i="15" s="1"/>
  <c r="S165" i="15" s="1"/>
  <c r="H169" i="15"/>
  <c r="Q169" i="15" s="1"/>
  <c r="S169" i="15" s="1"/>
  <c r="R6" i="16"/>
  <c r="AC15" i="16" s="1"/>
  <c r="H8" i="16"/>
  <c r="Q8" i="16" s="1"/>
  <c r="S8" i="16" s="1"/>
  <c r="R10" i="16"/>
  <c r="AC19" i="16" s="1"/>
  <c r="H12" i="16"/>
  <c r="Q12" i="16" s="1"/>
  <c r="S12" i="16" s="1"/>
  <c r="R14" i="16"/>
  <c r="AC23" i="16" s="1"/>
  <c r="H19" i="16"/>
  <c r="Q19" i="16" s="1"/>
  <c r="S19" i="16" s="1"/>
  <c r="R21" i="16"/>
  <c r="AI16" i="16" s="1"/>
  <c r="H23" i="16"/>
  <c r="Q23" i="16" s="1"/>
  <c r="S23" i="16" s="1"/>
  <c r="R25" i="16"/>
  <c r="AI20" i="16" s="1"/>
  <c r="H27" i="16"/>
  <c r="Q27" i="16" s="1"/>
  <c r="S27" i="16" s="1"/>
  <c r="H34" i="16"/>
  <c r="Q34" i="16" s="1"/>
  <c r="S34" i="16" s="1"/>
  <c r="R36" i="16"/>
  <c r="AO17" i="16" s="1"/>
  <c r="H38" i="16"/>
  <c r="Q38" i="16" s="1"/>
  <c r="S38" i="16" s="1"/>
  <c r="R40" i="16"/>
  <c r="AO21" i="16" s="1"/>
  <c r="H42" i="16"/>
  <c r="Q42" i="16" s="1"/>
  <c r="S42" i="16" s="1"/>
  <c r="R47" i="16"/>
  <c r="AU14" i="16" s="1"/>
  <c r="H49" i="16"/>
  <c r="Q49" i="16" s="1"/>
  <c r="S49" i="16" s="1"/>
  <c r="R51" i="16"/>
  <c r="AU18" i="16" s="1"/>
  <c r="H53" i="16"/>
  <c r="Q53" i="16" s="1"/>
  <c r="S53" i="16" s="1"/>
  <c r="R55" i="16"/>
  <c r="AU22" i="16" s="1"/>
  <c r="H57" i="16"/>
  <c r="Q57" i="16" s="1"/>
  <c r="S57" i="16" s="1"/>
  <c r="R62" i="16"/>
  <c r="BA15" i="16" s="1"/>
  <c r="H64" i="16"/>
  <c r="Q64" i="16" s="1"/>
  <c r="S64" i="16" s="1"/>
  <c r="R66" i="16"/>
  <c r="BA19" i="16" s="1"/>
  <c r="H68" i="16"/>
  <c r="Q68" i="16" s="1"/>
  <c r="S68" i="16" s="1"/>
  <c r="R70" i="16"/>
  <c r="BA23" i="16" s="1"/>
  <c r="H75" i="16"/>
  <c r="Q75" i="16" s="1"/>
  <c r="S75" i="16" s="1"/>
  <c r="R77" i="16"/>
  <c r="BG16" i="16" s="1"/>
  <c r="H79" i="16"/>
  <c r="Q79" i="16" s="1"/>
  <c r="S79" i="16" s="1"/>
  <c r="R81" i="16"/>
  <c r="BG20" i="16" s="1"/>
  <c r="H83" i="16"/>
  <c r="Q83" i="16" s="1"/>
  <c r="S83" i="16" s="1"/>
  <c r="H90" i="16"/>
  <c r="Q90" i="16" s="1"/>
  <c r="S90" i="16" s="1"/>
  <c r="R92" i="16"/>
  <c r="BM17" i="16" s="1"/>
  <c r="H94" i="16"/>
  <c r="Q94" i="16" s="1"/>
  <c r="S94" i="16" s="1"/>
  <c r="R96" i="16"/>
  <c r="BM21" i="16" s="1"/>
  <c r="H98" i="16"/>
  <c r="Q98" i="16" s="1"/>
  <c r="S98" i="16" s="1"/>
  <c r="R103" i="16"/>
  <c r="BS14" i="16" s="1"/>
  <c r="H105" i="16"/>
  <c r="Q105" i="16" s="1"/>
  <c r="S105" i="16" s="1"/>
  <c r="R107" i="16"/>
  <c r="BS18" i="16" s="1"/>
  <c r="H109" i="16"/>
  <c r="Q109" i="16" s="1"/>
  <c r="S109" i="16" s="1"/>
  <c r="R111" i="16"/>
  <c r="BS22" i="16" s="1"/>
  <c r="H113" i="16"/>
  <c r="Q113" i="16" s="1"/>
  <c r="S113" i="16" s="1"/>
  <c r="R118" i="16"/>
  <c r="BY15" i="16" s="1"/>
  <c r="H120" i="16"/>
  <c r="Q120" i="16" s="1"/>
  <c r="S120" i="16" s="1"/>
  <c r="R122" i="16"/>
  <c r="BY19" i="16" s="1"/>
  <c r="H124" i="16"/>
  <c r="Q124" i="16" s="1"/>
  <c r="S124" i="16" s="1"/>
  <c r="H131" i="16"/>
  <c r="Q131" i="16" s="1"/>
  <c r="S131" i="16" s="1"/>
  <c r="CD16" i="16"/>
  <c r="R133" i="16"/>
  <c r="CE16" i="16" s="1"/>
  <c r="H135" i="16"/>
  <c r="Q135" i="16" s="1"/>
  <c r="S135" i="16" s="1"/>
  <c r="H139" i="16"/>
  <c r="Q139" i="16" s="1"/>
  <c r="S139" i="16" s="1"/>
  <c r="H146" i="16"/>
  <c r="Q146" i="16" s="1"/>
  <c r="S146" i="16" s="1"/>
  <c r="R148" i="16"/>
  <c r="CK17" i="16" s="1"/>
  <c r="H150" i="16"/>
  <c r="Q150" i="16" s="1"/>
  <c r="S150" i="16" s="1"/>
  <c r="H154" i="16"/>
  <c r="Q154" i="16" s="1"/>
  <c r="S154" i="16" s="1"/>
  <c r="R159" i="16"/>
  <c r="CQ14" i="16" s="1"/>
  <c r="H161" i="16"/>
  <c r="Q161" i="16" s="1"/>
  <c r="S161" i="16" s="1"/>
  <c r="R163" i="16"/>
  <c r="CQ18" i="16" s="1"/>
  <c r="R6" i="17"/>
  <c r="AC15" i="17" s="1"/>
  <c r="H8" i="17"/>
  <c r="Q8" i="17" s="1"/>
  <c r="S8" i="17" s="1"/>
  <c r="R10" i="17"/>
  <c r="AC19" i="17" s="1"/>
  <c r="H12" i="17"/>
  <c r="Q12" i="17" s="1"/>
  <c r="S12" i="17" s="1"/>
  <c r="R14" i="17"/>
  <c r="AC23" i="17" s="1"/>
  <c r="H19" i="17"/>
  <c r="Q19" i="17" s="1"/>
  <c r="S19" i="17" s="1"/>
  <c r="R21" i="17"/>
  <c r="AI16" i="17" s="1"/>
  <c r="H23" i="17"/>
  <c r="Q23" i="17" s="1"/>
  <c r="S23" i="17" s="1"/>
  <c r="R25" i="17"/>
  <c r="AI20" i="17" s="1"/>
  <c r="H27" i="17"/>
  <c r="Q27" i="17" s="1"/>
  <c r="S27" i="17" s="1"/>
  <c r="H34" i="17"/>
  <c r="Q34" i="17" s="1"/>
  <c r="S34" i="17" s="1"/>
  <c r="R36" i="17"/>
  <c r="AO17" i="17" s="1"/>
  <c r="H38" i="17"/>
  <c r="Q38" i="17" s="1"/>
  <c r="S38" i="17" s="1"/>
  <c r="R40" i="17"/>
  <c r="AO21" i="17" s="1"/>
  <c r="H42" i="17"/>
  <c r="Q42" i="17" s="1"/>
  <c r="S42" i="17" s="1"/>
  <c r="R47" i="17"/>
  <c r="AU14" i="17" s="1"/>
  <c r="H49" i="17"/>
  <c r="Q49" i="17" s="1"/>
  <c r="S49" i="17" s="1"/>
  <c r="R51" i="17"/>
  <c r="AU18" i="17" s="1"/>
  <c r="H53" i="17"/>
  <c r="Q53" i="17" s="1"/>
  <c r="S53" i="17" s="1"/>
  <c r="R55" i="17"/>
  <c r="AU22" i="17" s="1"/>
  <c r="R62" i="17"/>
  <c r="BA15" i="17" s="1"/>
  <c r="R66" i="17"/>
  <c r="BA19" i="17" s="1"/>
  <c r="H68" i="17"/>
  <c r="Q68" i="17" s="1"/>
  <c r="S68" i="17" s="1"/>
  <c r="H75" i="17"/>
  <c r="Q75" i="17" s="1"/>
  <c r="S75" i="17" s="1"/>
  <c r="R77" i="17"/>
  <c r="BG16" i="17" s="1"/>
  <c r="H79" i="17"/>
  <c r="Q79" i="17" s="1"/>
  <c r="S79" i="17" s="1"/>
  <c r="R81" i="17"/>
  <c r="BG20" i="17" s="1"/>
  <c r="H83" i="17"/>
  <c r="Q83" i="17" s="1"/>
  <c r="S83" i="17" s="1"/>
  <c r="H90" i="17"/>
  <c r="Q90" i="17" s="1"/>
  <c r="S90" i="17" s="1"/>
  <c r="R92" i="17"/>
  <c r="BM17" i="17" s="1"/>
  <c r="H94" i="17"/>
  <c r="Q94" i="17" s="1"/>
  <c r="S94" i="17" s="1"/>
  <c r="BL21" i="17"/>
  <c r="R96" i="17"/>
  <c r="BM21" i="17" s="1"/>
  <c r="H98" i="17"/>
  <c r="Q98" i="17" s="1"/>
  <c r="S98" i="17" s="1"/>
  <c r="R103" i="17"/>
  <c r="BS14" i="17" s="1"/>
  <c r="H105" i="17"/>
  <c r="Q105" i="17" s="1"/>
  <c r="S105" i="17" s="1"/>
  <c r="R107" i="17"/>
  <c r="BS18" i="17" s="1"/>
  <c r="H109" i="17"/>
  <c r="Q109" i="17" s="1"/>
  <c r="S109" i="17" s="1"/>
  <c r="BR22" i="17"/>
  <c r="R111" i="17"/>
  <c r="BS22" i="17" s="1"/>
  <c r="H113" i="17"/>
  <c r="Q113" i="17" s="1"/>
  <c r="S113" i="17" s="1"/>
  <c r="R118" i="17"/>
  <c r="BY15" i="17" s="1"/>
  <c r="H120" i="17"/>
  <c r="Q120" i="17" s="1"/>
  <c r="S120" i="17" s="1"/>
  <c r="H124" i="17"/>
  <c r="Q124" i="17" s="1"/>
  <c r="S124" i="17" s="1"/>
  <c r="H131" i="17"/>
  <c r="Q131" i="17" s="1"/>
  <c r="S131" i="17" s="1"/>
  <c r="R133" i="17"/>
  <c r="CE16" i="17" s="1"/>
  <c r="H135" i="17"/>
  <c r="Q135" i="17" s="1"/>
  <c r="S135" i="17" s="1"/>
  <c r="H139" i="17"/>
  <c r="Q139" i="17" s="1"/>
  <c r="S139" i="17" s="1"/>
  <c r="H146" i="17"/>
  <c r="Q146" i="17" s="1"/>
  <c r="S146" i="17" s="1"/>
  <c r="R148" i="17"/>
  <c r="CK17" i="17" s="1"/>
  <c r="H150" i="17"/>
  <c r="Q150" i="17" s="1"/>
  <c r="S150" i="17" s="1"/>
  <c r="H154" i="17"/>
  <c r="Q154" i="17" s="1"/>
  <c r="S154" i="17" s="1"/>
  <c r="R159" i="17"/>
  <c r="CQ14" i="17" s="1"/>
  <c r="H161" i="17"/>
  <c r="Q161" i="17" s="1"/>
  <c r="S161" i="17" s="1"/>
  <c r="H165" i="17"/>
  <c r="Q165" i="17" s="1"/>
  <c r="S165" i="17" s="1"/>
  <c r="H169" i="17"/>
  <c r="Q169" i="17" s="1"/>
  <c r="S169" i="17" s="1"/>
  <c r="R6" i="18"/>
  <c r="AC15" i="18" s="1"/>
  <c r="AB19" i="18"/>
  <c r="R10" i="18"/>
  <c r="AC19" i="18" s="1"/>
  <c r="R14" i="18"/>
  <c r="AC23" i="18" s="1"/>
  <c r="AH16" i="18"/>
  <c r="R21" i="18"/>
  <c r="AI16" i="18" s="1"/>
  <c r="R25" i="18"/>
  <c r="AI20" i="18" s="1"/>
  <c r="H34" i="18"/>
  <c r="Q34" i="18" s="1"/>
  <c r="S34" i="18" s="1"/>
  <c r="R36" i="18"/>
  <c r="AO17" i="18" s="1"/>
  <c r="H38" i="18"/>
  <c r="Q38" i="18" s="1"/>
  <c r="S38" i="18" s="1"/>
  <c r="R47" i="18"/>
  <c r="AU14" i="18" s="1"/>
  <c r="H53" i="18"/>
  <c r="Q53" i="18" s="1"/>
  <c r="S53" i="18" s="1"/>
  <c r="H57" i="18"/>
  <c r="Q57" i="18" s="1"/>
  <c r="S57" i="18" s="1"/>
  <c r="R62" i="18"/>
  <c r="BA15" i="18" s="1"/>
  <c r="H68" i="18"/>
  <c r="Q68" i="18" s="1"/>
  <c r="S68" i="18" s="1"/>
  <c r="H75" i="18"/>
  <c r="Q75" i="18" s="1"/>
  <c r="S75" i="18" s="1"/>
  <c r="BF16" i="18"/>
  <c r="R77" i="18"/>
  <c r="BG16" i="18" s="1"/>
  <c r="H79" i="18"/>
  <c r="Q79" i="18" s="1"/>
  <c r="S79" i="18" s="1"/>
  <c r="H83" i="18"/>
  <c r="Q83" i="18" s="1"/>
  <c r="S83" i="18" s="1"/>
  <c r="H90" i="18"/>
  <c r="Q90" i="18" s="1"/>
  <c r="S90" i="18" s="1"/>
  <c r="H94" i="18"/>
  <c r="Q94" i="18" s="1"/>
  <c r="S94" i="18" s="1"/>
  <c r="H98" i="18"/>
  <c r="Q98" i="18" s="1"/>
  <c r="S98" i="18" s="1"/>
  <c r="R103" i="18"/>
  <c r="BS14" i="18" s="1"/>
  <c r="H109" i="18"/>
  <c r="Q109" i="18" s="1"/>
  <c r="S109" i="18" s="1"/>
  <c r="H113" i="18"/>
  <c r="Q113" i="18" s="1"/>
  <c r="S113" i="18" s="1"/>
  <c r="BX15" i="18"/>
  <c r="R118" i="18"/>
  <c r="BY15" i="18" s="1"/>
  <c r="H120" i="18"/>
  <c r="Q120" i="18" s="1"/>
  <c r="S120" i="18" s="1"/>
  <c r="H124" i="18"/>
  <c r="Q124" i="18" s="1"/>
  <c r="S124" i="18" s="1"/>
  <c r="R133" i="18"/>
  <c r="CE16" i="18" s="1"/>
  <c r="H135" i="18"/>
  <c r="Q135" i="18" s="1"/>
  <c r="S135" i="18" s="1"/>
  <c r="H139" i="18"/>
  <c r="Q139" i="18" s="1"/>
  <c r="S139" i="18" s="1"/>
  <c r="H146" i="18"/>
  <c r="Q146" i="18" s="1"/>
  <c r="S146" i="18" s="1"/>
  <c r="R148" i="18"/>
  <c r="CK17" i="18" s="1"/>
  <c r="H150" i="18"/>
  <c r="Q150" i="18" s="1"/>
  <c r="S150" i="18" s="1"/>
  <c r="H154" i="18"/>
  <c r="Q154" i="18" s="1"/>
  <c r="S154" i="18" s="1"/>
  <c r="R159" i="18"/>
  <c r="CQ14" i="18" s="1"/>
  <c r="H161" i="18"/>
  <c r="Q161" i="18" s="1"/>
  <c r="S161" i="18" s="1"/>
  <c r="H165" i="18"/>
  <c r="Q165" i="18" s="1"/>
  <c r="S165" i="18" s="1"/>
  <c r="H169" i="18"/>
  <c r="Q169" i="18" s="1"/>
  <c r="S169" i="18" s="1"/>
  <c r="R6" i="19"/>
  <c r="AC15" i="19" s="1"/>
  <c r="R10" i="19"/>
  <c r="AC19" i="19" s="1"/>
  <c r="AB23" i="19"/>
  <c r="R14" i="19"/>
  <c r="AC23" i="19" s="1"/>
  <c r="R21" i="19"/>
  <c r="AI16" i="19" s="1"/>
  <c r="AH20" i="19"/>
  <c r="R25" i="19"/>
  <c r="AI20" i="19" s="1"/>
  <c r="AN17" i="19"/>
  <c r="R36" i="19"/>
  <c r="AO17" i="19" s="1"/>
  <c r="R47" i="19"/>
  <c r="AU14" i="19" s="1"/>
  <c r="R62" i="19"/>
  <c r="BA15" i="19" s="1"/>
  <c r="BF16" i="19"/>
  <c r="R77" i="19"/>
  <c r="BG16" i="19" s="1"/>
  <c r="R103" i="19"/>
  <c r="BS14" i="19" s="1"/>
  <c r="R118" i="19"/>
  <c r="BY15" i="19" s="1"/>
  <c r="CD16" i="19"/>
  <c r="R133" i="19"/>
  <c r="CE16" i="19" s="1"/>
  <c r="CJ17" i="19"/>
  <c r="R148" i="19"/>
  <c r="CK17" i="19" s="1"/>
  <c r="R159" i="19"/>
  <c r="CQ14" i="19" s="1"/>
  <c r="R6" i="20"/>
  <c r="AC15" i="20" s="1"/>
  <c r="R10" i="20"/>
  <c r="AC19" i="20" s="1"/>
  <c r="AB23" i="20"/>
  <c r="R14" i="20"/>
  <c r="AC23" i="20" s="1"/>
  <c r="R21" i="20"/>
  <c r="AI16" i="20" s="1"/>
  <c r="R25" i="20"/>
  <c r="AI20" i="20" s="1"/>
  <c r="AN17" i="20"/>
  <c r="R36" i="20"/>
  <c r="AO17" i="20" s="1"/>
  <c r="R47" i="20"/>
  <c r="AU14" i="20" s="1"/>
  <c r="R51" i="20"/>
  <c r="AU18" i="20" s="1"/>
  <c r="R62" i="20"/>
  <c r="BA15" i="20" s="1"/>
  <c r="R77" i="20"/>
  <c r="BG16" i="20" s="1"/>
  <c r="R92" i="20"/>
  <c r="BM17" i="20" s="1"/>
  <c r="R103" i="20"/>
  <c r="BS14" i="20" s="1"/>
  <c r="BX15" i="20"/>
  <c r="R118" i="20"/>
  <c r="BY15" i="20" s="1"/>
  <c r="R133" i="20"/>
  <c r="CE16" i="20" s="1"/>
  <c r="R148" i="20"/>
  <c r="CK17" i="20" s="1"/>
  <c r="R159" i="20"/>
  <c r="CQ14" i="20" s="1"/>
  <c r="R6" i="21"/>
  <c r="AC15" i="21" s="1"/>
  <c r="R10" i="21"/>
  <c r="AC19" i="21" s="1"/>
  <c r="R14" i="21"/>
  <c r="AC23" i="21" s="1"/>
  <c r="R21" i="21"/>
  <c r="AI16" i="21" s="1"/>
  <c r="R25" i="21"/>
  <c r="AI20" i="21" s="1"/>
  <c r="R29" i="21"/>
  <c r="AI24" i="21" s="1"/>
  <c r="R36" i="21"/>
  <c r="AO17" i="21" s="1"/>
  <c r="R40" i="21"/>
  <c r="AO21" i="21" s="1"/>
  <c r="R47" i="21"/>
  <c r="AU14" i="21" s="1"/>
  <c r="R51" i="21"/>
  <c r="AU18" i="21" s="1"/>
  <c r="R55" i="21"/>
  <c r="AU22" i="21" s="1"/>
  <c r="R62" i="21"/>
  <c r="BA15" i="21" s="1"/>
  <c r="R66" i="21"/>
  <c r="BA19" i="21" s="1"/>
  <c r="R70" i="21"/>
  <c r="BA23" i="21" s="1"/>
  <c r="R77" i="21"/>
  <c r="BG16" i="21" s="1"/>
  <c r="R81" i="21"/>
  <c r="BG20" i="21" s="1"/>
  <c r="R85" i="21"/>
  <c r="BG24" i="21" s="1"/>
  <c r="R92" i="21"/>
  <c r="BM17" i="21" s="1"/>
  <c r="BL17" i="21"/>
  <c r="R96" i="21"/>
  <c r="BM21" i="21" s="1"/>
  <c r="H149" i="14"/>
  <c r="H10" i="21"/>
  <c r="Q10" i="21" s="1"/>
  <c r="S10" i="21" s="1"/>
  <c r="Y19" i="21" s="1"/>
  <c r="H21" i="21"/>
  <c r="Q21" i="21" s="1"/>
  <c r="S21" i="21" s="1"/>
  <c r="AE16" i="21" s="1"/>
  <c r="H25" i="21"/>
  <c r="Q25" i="21" s="1"/>
  <c r="S25" i="21" s="1"/>
  <c r="AE20" i="21" s="1"/>
  <c r="H36" i="21"/>
  <c r="Q36" i="21" s="1"/>
  <c r="S36" i="21" s="1"/>
  <c r="AK17" i="21" s="1"/>
  <c r="H40" i="21"/>
  <c r="Q40" i="21" s="1"/>
  <c r="S40" i="21" s="1"/>
  <c r="AK21" i="21" s="1"/>
  <c r="H47" i="21"/>
  <c r="Q47" i="21" s="1"/>
  <c r="S47" i="21" s="1"/>
  <c r="AQ14" i="21" s="1"/>
  <c r="H51" i="21"/>
  <c r="Q51" i="21" s="1"/>
  <c r="S51" i="21" s="1"/>
  <c r="AQ18" i="21" s="1"/>
  <c r="H62" i="21"/>
  <c r="Q62" i="21" s="1"/>
  <c r="S62" i="21" s="1"/>
  <c r="AW15" i="21" s="1"/>
  <c r="H77" i="21"/>
  <c r="Q77" i="21" s="1"/>
  <c r="S77" i="21" s="1"/>
  <c r="BC16" i="21" s="1"/>
  <c r="H85" i="21"/>
  <c r="Q85" i="21" s="1"/>
  <c r="S85" i="21" s="1"/>
  <c r="BC24" i="21" s="1"/>
  <c r="H92" i="21"/>
  <c r="Q92" i="21" s="1"/>
  <c r="S92" i="21" s="1"/>
  <c r="BI17" i="21" s="1"/>
  <c r="H96" i="21"/>
  <c r="Q96" i="21" s="1"/>
  <c r="S96" i="21" s="1"/>
  <c r="BI21" i="21" s="1"/>
  <c r="U15" i="21"/>
  <c r="AA24" i="21" s="1"/>
  <c r="T15" i="21"/>
  <c r="Z24" i="21" s="1"/>
  <c r="T48" i="21"/>
  <c r="AR15" i="21" s="1"/>
  <c r="U48" i="21"/>
  <c r="AS15" i="21" s="1"/>
  <c r="T50" i="21"/>
  <c r="AR17" i="21" s="1"/>
  <c r="U50" i="21"/>
  <c r="AS17" i="21" s="1"/>
  <c r="T52" i="21"/>
  <c r="AR19" i="21" s="1"/>
  <c r="U52" i="21"/>
  <c r="AS19" i="21" s="1"/>
  <c r="T71" i="21"/>
  <c r="AX24" i="21" s="1"/>
  <c r="U71" i="21"/>
  <c r="AY24" i="21" s="1"/>
  <c r="T76" i="21"/>
  <c r="BD15" i="21" s="1"/>
  <c r="U76" i="21"/>
  <c r="BE15" i="21" s="1"/>
  <c r="T78" i="21"/>
  <c r="BD17" i="21" s="1"/>
  <c r="U78" i="21"/>
  <c r="BE17" i="21" s="1"/>
  <c r="T80" i="21"/>
  <c r="BD19" i="21" s="1"/>
  <c r="U80" i="21"/>
  <c r="BE19" i="21" s="1"/>
  <c r="T82" i="21"/>
  <c r="BD21" i="21" s="1"/>
  <c r="U82" i="21"/>
  <c r="BE21" i="21" s="1"/>
  <c r="T89" i="21"/>
  <c r="BJ14" i="21" s="1"/>
  <c r="U89" i="21"/>
  <c r="BK14" i="21" s="1"/>
  <c r="T91" i="21"/>
  <c r="BJ16" i="21" s="1"/>
  <c r="U91" i="21"/>
  <c r="BK16" i="21" s="1"/>
  <c r="T93" i="21"/>
  <c r="BJ18" i="21" s="1"/>
  <c r="U93" i="21"/>
  <c r="BK18" i="21" s="1"/>
  <c r="T95" i="21"/>
  <c r="BJ20" i="21" s="1"/>
  <c r="U95" i="21"/>
  <c r="BK20" i="21" s="1"/>
  <c r="T99" i="21"/>
  <c r="BJ24" i="21" s="1"/>
  <c r="U99" i="21"/>
  <c r="BK24" i="21" s="1"/>
  <c r="Q120" i="21"/>
  <c r="S120" i="21" s="1"/>
  <c r="BU17" i="21" s="1"/>
  <c r="Q124" i="21"/>
  <c r="S124" i="21" s="1"/>
  <c r="BU21" i="21" s="1"/>
  <c r="T119" i="21"/>
  <c r="BV16" i="21" s="1"/>
  <c r="U119" i="21"/>
  <c r="BW16" i="21" s="1"/>
  <c r="T121" i="21"/>
  <c r="BV18" i="21" s="1"/>
  <c r="U121" i="21"/>
  <c r="BW18" i="21" s="1"/>
  <c r="T123" i="21"/>
  <c r="BV20" i="21" s="1"/>
  <c r="U123" i="21"/>
  <c r="BW20" i="21" s="1"/>
  <c r="T125" i="21"/>
  <c r="BV22" i="21" s="1"/>
  <c r="U125" i="21"/>
  <c r="BW22" i="21" s="1"/>
  <c r="H66" i="21"/>
  <c r="Q66" i="21" s="1"/>
  <c r="S66" i="21" s="1"/>
  <c r="AW19" i="21" s="1"/>
  <c r="H54" i="21"/>
  <c r="Q54" i="21" s="1"/>
  <c r="S54" i="21" s="1"/>
  <c r="AQ21" i="21" s="1"/>
  <c r="H43" i="21"/>
  <c r="Q43" i="21" s="1"/>
  <c r="S43" i="21" s="1"/>
  <c r="AK24" i="21" s="1"/>
  <c r="H20" i="21"/>
  <c r="Q20" i="21" s="1"/>
  <c r="S20" i="21" s="1"/>
  <c r="AE15" i="21" s="1"/>
  <c r="H6" i="21"/>
  <c r="Q6" i="21" s="1"/>
  <c r="S6" i="21" s="1"/>
  <c r="Y15" i="21" s="1"/>
  <c r="H159" i="20"/>
  <c r="Q159" i="20" s="1"/>
  <c r="S159" i="20" s="1"/>
  <c r="H147" i="20"/>
  <c r="Q147" i="20" s="1"/>
  <c r="S147" i="20" s="1"/>
  <c r="H119" i="20"/>
  <c r="Q119" i="20" s="1"/>
  <c r="S119" i="20" s="1"/>
  <c r="H117" i="20"/>
  <c r="Q117" i="20" s="1"/>
  <c r="S117" i="20" s="1"/>
  <c r="H92" i="20"/>
  <c r="Q92" i="20" s="1"/>
  <c r="S92" i="20" s="1"/>
  <c r="H166" i="20"/>
  <c r="Q166" i="20" s="1"/>
  <c r="S166" i="20" s="1"/>
  <c r="H152" i="20"/>
  <c r="Q152" i="20" s="1"/>
  <c r="S152" i="20" s="1"/>
  <c r="H138" i="20"/>
  <c r="Q138" i="20" s="1"/>
  <c r="S138" i="20" s="1"/>
  <c r="H136" i="20"/>
  <c r="Q136" i="20" s="1"/>
  <c r="S136" i="20" s="1"/>
  <c r="H140" i="20"/>
  <c r="Q140" i="20" s="1"/>
  <c r="S140" i="20" s="1"/>
  <c r="H121" i="20"/>
  <c r="Q121" i="20" s="1"/>
  <c r="S121" i="20" s="1"/>
  <c r="H125" i="20"/>
  <c r="Q125" i="20" s="1"/>
  <c r="S125" i="20" s="1"/>
  <c r="H108" i="20"/>
  <c r="Q108" i="20" s="1"/>
  <c r="S108" i="20" s="1"/>
  <c r="H112" i="20"/>
  <c r="Q112" i="20" s="1"/>
  <c r="S112" i="20" s="1"/>
  <c r="H95" i="20"/>
  <c r="Q95" i="20" s="1"/>
  <c r="S95" i="20" s="1"/>
  <c r="H99" i="20"/>
  <c r="Q99" i="20" s="1"/>
  <c r="S99" i="20" s="1"/>
  <c r="H81" i="20"/>
  <c r="Q81" i="20" s="1"/>
  <c r="S81" i="20" s="1"/>
  <c r="H85" i="20"/>
  <c r="Q85" i="20" s="1"/>
  <c r="S85" i="20" s="1"/>
  <c r="H65" i="20"/>
  <c r="Q65" i="20" s="1"/>
  <c r="S65" i="20" s="1"/>
  <c r="H69" i="20"/>
  <c r="Q69" i="20" s="1"/>
  <c r="S69" i="20" s="1"/>
  <c r="H54" i="20"/>
  <c r="Q54" i="20" s="1"/>
  <c r="S54" i="20" s="1"/>
  <c r="H51" i="20"/>
  <c r="Q51" i="20" s="1"/>
  <c r="S51" i="20" s="1"/>
  <c r="H47" i="20"/>
  <c r="Q47" i="20" s="1"/>
  <c r="S47" i="20" s="1"/>
  <c r="H43" i="20"/>
  <c r="Q43" i="20" s="1"/>
  <c r="S43" i="20" s="1"/>
  <c r="H40" i="20"/>
  <c r="Q40" i="20" s="1"/>
  <c r="S40" i="20" s="1"/>
  <c r="H29" i="20"/>
  <c r="Q29" i="20" s="1"/>
  <c r="S29" i="20" s="1"/>
  <c r="H28" i="20"/>
  <c r="Q28" i="20" s="1"/>
  <c r="S28" i="20" s="1"/>
  <c r="H25" i="20"/>
  <c r="Q25" i="20" s="1"/>
  <c r="S25" i="20" s="1"/>
  <c r="H24" i="20"/>
  <c r="Q24" i="20" s="1"/>
  <c r="S24" i="20" s="1"/>
  <c r="H10" i="20"/>
  <c r="Q10" i="20" s="1"/>
  <c r="S10" i="20" s="1"/>
  <c r="H9" i="20"/>
  <c r="Q9" i="20" s="1"/>
  <c r="S9" i="20" s="1"/>
  <c r="H6" i="20"/>
  <c r="Q6" i="20" s="1"/>
  <c r="S6" i="20" s="1"/>
  <c r="H5" i="20"/>
  <c r="Q5" i="20" s="1"/>
  <c r="S5" i="20" s="1"/>
  <c r="H147" i="19"/>
  <c r="Q147" i="19" s="1"/>
  <c r="S147" i="19" s="1"/>
  <c r="H118" i="19"/>
  <c r="Q118" i="19" s="1"/>
  <c r="S118" i="19" s="1"/>
  <c r="H106" i="19"/>
  <c r="Q106" i="19" s="1"/>
  <c r="S106" i="19" s="1"/>
  <c r="H166" i="19"/>
  <c r="Q166" i="19" s="1"/>
  <c r="S166" i="19" s="1"/>
  <c r="H151" i="19"/>
  <c r="Q151" i="19" s="1"/>
  <c r="S151" i="19" s="1"/>
  <c r="H155" i="19"/>
  <c r="Q155" i="19" s="1"/>
  <c r="S155" i="19" s="1"/>
  <c r="H137" i="19"/>
  <c r="Q137" i="19" s="1"/>
  <c r="S137" i="19" s="1"/>
  <c r="H141" i="19"/>
  <c r="Q141" i="19" s="1"/>
  <c r="S141" i="19" s="1"/>
  <c r="H121" i="19"/>
  <c r="Q121" i="19" s="1"/>
  <c r="S121" i="19" s="1"/>
  <c r="H125" i="19"/>
  <c r="Q125" i="19" s="1"/>
  <c r="S125" i="19" s="1"/>
  <c r="H108" i="19"/>
  <c r="Q108" i="19" s="1"/>
  <c r="S108" i="19" s="1"/>
  <c r="H112" i="19"/>
  <c r="Q112" i="19" s="1"/>
  <c r="S112" i="19" s="1"/>
  <c r="H95" i="19"/>
  <c r="Q95" i="19" s="1"/>
  <c r="S95" i="19" s="1"/>
  <c r="H99" i="19"/>
  <c r="Q99" i="19" s="1"/>
  <c r="S99" i="19" s="1"/>
  <c r="H82" i="19"/>
  <c r="Q82" i="19" s="1"/>
  <c r="S82" i="19" s="1"/>
  <c r="H66" i="19"/>
  <c r="Q66" i="19" s="1"/>
  <c r="S66" i="19" s="1"/>
  <c r="H70" i="19"/>
  <c r="Q70" i="19" s="1"/>
  <c r="S70" i="19" s="1"/>
  <c r="H51" i="19"/>
  <c r="Q51" i="19" s="1"/>
  <c r="S51" i="19" s="1"/>
  <c r="H55" i="19"/>
  <c r="Q55" i="19" s="1"/>
  <c r="S55" i="19" s="1"/>
  <c r="H39" i="19"/>
  <c r="Q39" i="19" s="1"/>
  <c r="S39" i="19" s="1"/>
  <c r="H24" i="19"/>
  <c r="Q24" i="19" s="1"/>
  <c r="S24" i="19" s="1"/>
  <c r="H12" i="19"/>
  <c r="Q12" i="19" s="1"/>
  <c r="S12" i="19" s="1"/>
  <c r="H8" i="19"/>
  <c r="Q8" i="19" s="1"/>
  <c r="S8" i="19" s="1"/>
  <c r="H6" i="19"/>
  <c r="Q6" i="19" s="1"/>
  <c r="S6" i="19" s="1"/>
  <c r="H159" i="18"/>
  <c r="Q159" i="18" s="1"/>
  <c r="S159" i="18" s="1"/>
  <c r="H133" i="18"/>
  <c r="Q133" i="18" s="1"/>
  <c r="S133" i="18" s="1"/>
  <c r="H131" i="18"/>
  <c r="Q131" i="18" s="1"/>
  <c r="S131" i="18" s="1"/>
  <c r="H105" i="18"/>
  <c r="Q105" i="18" s="1"/>
  <c r="S105" i="18" s="1"/>
  <c r="H92" i="18"/>
  <c r="Q92" i="18" s="1"/>
  <c r="S92" i="18" s="1"/>
  <c r="H163" i="18"/>
  <c r="Q163" i="18" s="1"/>
  <c r="S163" i="18" s="1"/>
  <c r="H167" i="18"/>
  <c r="Q167" i="18" s="1"/>
  <c r="S167" i="18" s="1"/>
  <c r="H149" i="18"/>
  <c r="Q149" i="18" s="1"/>
  <c r="S149" i="18" s="1"/>
  <c r="H153" i="18"/>
  <c r="Q153" i="18" s="1"/>
  <c r="S153" i="18" s="1"/>
  <c r="H122" i="18"/>
  <c r="Q122" i="18" s="1"/>
  <c r="S122" i="18" s="1"/>
  <c r="H126" i="18"/>
  <c r="Q126" i="18" s="1"/>
  <c r="S126" i="18" s="1"/>
  <c r="H107" i="18"/>
  <c r="Q107" i="18" s="1"/>
  <c r="S107" i="18" s="1"/>
  <c r="H111" i="18"/>
  <c r="Q111" i="18" s="1"/>
  <c r="S111" i="18" s="1"/>
  <c r="H96" i="18"/>
  <c r="Q96" i="18" s="1"/>
  <c r="S96" i="18" s="1"/>
  <c r="H64" i="18"/>
  <c r="Q64" i="18" s="1"/>
  <c r="S64" i="18" s="1"/>
  <c r="H55" i="18"/>
  <c r="Q55" i="18" s="1"/>
  <c r="S55" i="18" s="1"/>
  <c r="H49" i="18"/>
  <c r="Q49" i="18" s="1"/>
  <c r="S49" i="18" s="1"/>
  <c r="H42" i="18"/>
  <c r="Q42" i="18" s="1"/>
  <c r="S42" i="18" s="1"/>
  <c r="H40" i="18"/>
  <c r="Q40" i="18" s="1"/>
  <c r="S40" i="18" s="1"/>
  <c r="H36" i="18"/>
  <c r="Q36" i="18" s="1"/>
  <c r="S36" i="18" s="1"/>
  <c r="H27" i="18"/>
  <c r="H23" i="18"/>
  <c r="Q23" i="18" s="1"/>
  <c r="S23" i="18" s="1"/>
  <c r="H19" i="18"/>
  <c r="Q19" i="18" s="1"/>
  <c r="S19" i="18" s="1"/>
  <c r="H14" i="18"/>
  <c r="Q14" i="18" s="1"/>
  <c r="S14" i="18" s="1"/>
  <c r="H12" i="18"/>
  <c r="Q12" i="18" s="1"/>
  <c r="S12" i="18" s="1"/>
  <c r="H8" i="18"/>
  <c r="Q8" i="18" s="1"/>
  <c r="S8" i="18" s="1"/>
  <c r="H159" i="17"/>
  <c r="Q159" i="17" s="1"/>
  <c r="S159" i="17" s="1"/>
  <c r="H149" i="17"/>
  <c r="Q149" i="17" s="1"/>
  <c r="S149" i="17" s="1"/>
  <c r="H153" i="17"/>
  <c r="Q153" i="17" s="1"/>
  <c r="S153" i="17" s="1"/>
  <c r="H148" i="17"/>
  <c r="Q148" i="17" s="1"/>
  <c r="S148" i="17" s="1"/>
  <c r="H133" i="17"/>
  <c r="Q133" i="17" s="1"/>
  <c r="S133" i="17" s="1"/>
  <c r="H123" i="17"/>
  <c r="Q123" i="17" s="1"/>
  <c r="S123" i="17" s="1"/>
  <c r="H118" i="17"/>
  <c r="Q118" i="17" s="1"/>
  <c r="S118" i="17" s="1"/>
  <c r="H112" i="17"/>
  <c r="Q112" i="17" s="1"/>
  <c r="S112" i="17" s="1"/>
  <c r="H111" i="17"/>
  <c r="Q111" i="17" s="1"/>
  <c r="S111" i="17" s="1"/>
  <c r="H107" i="17"/>
  <c r="Q107" i="17" s="1"/>
  <c r="S107" i="17" s="1"/>
  <c r="H103" i="17"/>
  <c r="Q103" i="17" s="1"/>
  <c r="S103" i="17" s="1"/>
  <c r="H93" i="17"/>
  <c r="Q93" i="17" s="1"/>
  <c r="S93" i="17" s="1"/>
  <c r="H92" i="17"/>
  <c r="Q92" i="17" s="1"/>
  <c r="S92" i="17" s="1"/>
  <c r="H81" i="17"/>
  <c r="Q81" i="17" s="1"/>
  <c r="S81" i="17" s="1"/>
  <c r="H77" i="17"/>
  <c r="Q77" i="17" s="1"/>
  <c r="S77" i="17" s="1"/>
  <c r="H70" i="17"/>
  <c r="Q70" i="17" s="1"/>
  <c r="S70" i="17" s="1"/>
  <c r="H66" i="17"/>
  <c r="Q66" i="17" s="1"/>
  <c r="S66" i="17" s="1"/>
  <c r="H63" i="17"/>
  <c r="Q63" i="17" s="1"/>
  <c r="S63" i="17" s="1"/>
  <c r="H62" i="17"/>
  <c r="Q62" i="17" s="1"/>
  <c r="S62" i="17" s="1"/>
  <c r="H57" i="17"/>
  <c r="Q57" i="17" s="1"/>
  <c r="S57" i="17" s="1"/>
  <c r="H51" i="17"/>
  <c r="Q51" i="17" s="1"/>
  <c r="S51" i="17" s="1"/>
  <c r="H40" i="17"/>
  <c r="Q40" i="17" s="1"/>
  <c r="S40" i="17" s="1"/>
  <c r="H36" i="17"/>
  <c r="Q36" i="17" s="1"/>
  <c r="S36" i="17" s="1"/>
  <c r="H33" i="17"/>
  <c r="Q33" i="17" s="1"/>
  <c r="S33" i="17" s="1"/>
  <c r="H29" i="17"/>
  <c r="Q29" i="17" s="1"/>
  <c r="S29" i="17" s="1"/>
  <c r="H25" i="17"/>
  <c r="Q25" i="17" s="1"/>
  <c r="S25" i="17" s="1"/>
  <c r="H21" i="17"/>
  <c r="Q21" i="17" s="1"/>
  <c r="S21" i="17" s="1"/>
  <c r="H10" i="17"/>
  <c r="Q10" i="17" s="1"/>
  <c r="S10" i="17" s="1"/>
  <c r="H6" i="17"/>
  <c r="Q6" i="17" s="1"/>
  <c r="S6" i="17" s="1"/>
  <c r="H165" i="16"/>
  <c r="Q165" i="16" s="1"/>
  <c r="S165" i="16" s="1"/>
  <c r="H169" i="16"/>
  <c r="Q169" i="16" s="1"/>
  <c r="S169" i="16" s="1"/>
  <c r="H163" i="16"/>
  <c r="Q163" i="16" s="1"/>
  <c r="S163" i="16" s="1"/>
  <c r="H159" i="16"/>
  <c r="Q159" i="16" s="1"/>
  <c r="S159" i="16" s="1"/>
  <c r="H148" i="16"/>
  <c r="Q148" i="16" s="1"/>
  <c r="S148" i="16" s="1"/>
  <c r="H145" i="16"/>
  <c r="Q145" i="16" s="1"/>
  <c r="S145" i="16" s="1"/>
  <c r="H137" i="16"/>
  <c r="Q137" i="16" s="1"/>
  <c r="S137" i="16" s="1"/>
  <c r="H134" i="16"/>
  <c r="Q134" i="16" s="1"/>
  <c r="S134" i="16" s="1"/>
  <c r="H126" i="16"/>
  <c r="Q126" i="16" s="1"/>
  <c r="S126" i="16" s="1"/>
  <c r="H119" i="16"/>
  <c r="Q119" i="16" s="1"/>
  <c r="S119" i="16" s="1"/>
  <c r="H118" i="16"/>
  <c r="Q118" i="16" s="1"/>
  <c r="S118" i="16" s="1"/>
  <c r="H112" i="16"/>
  <c r="Q112" i="16" s="1"/>
  <c r="S112" i="16" s="1"/>
  <c r="H111" i="16"/>
  <c r="Q111" i="16" s="1"/>
  <c r="S111" i="16" s="1"/>
  <c r="H107" i="16"/>
  <c r="Q107" i="16" s="1"/>
  <c r="S107" i="16" s="1"/>
  <c r="H104" i="16"/>
  <c r="Q104" i="16" s="1"/>
  <c r="S104" i="16" s="1"/>
  <c r="H103" i="16"/>
  <c r="Q103" i="16" s="1"/>
  <c r="S103" i="16" s="1"/>
  <c r="H96" i="16"/>
  <c r="Q96" i="16" s="1"/>
  <c r="S96" i="16" s="1"/>
  <c r="H89" i="16"/>
  <c r="Q89" i="16" s="1"/>
  <c r="S89" i="16" s="1"/>
  <c r="H81" i="16"/>
  <c r="Q81" i="16" s="1"/>
  <c r="S81" i="16" s="1"/>
  <c r="H77" i="16"/>
  <c r="Q77" i="16" s="1"/>
  <c r="S77" i="16" s="1"/>
  <c r="H71" i="16"/>
  <c r="Q71" i="16" s="1"/>
  <c r="S71" i="16" s="1"/>
  <c r="H70" i="16"/>
  <c r="Q70" i="16" s="1"/>
  <c r="S70" i="16" s="1"/>
  <c r="H66" i="16"/>
  <c r="Q66" i="16" s="1"/>
  <c r="S66" i="16" s="1"/>
  <c r="H62" i="16"/>
  <c r="Q62" i="16" s="1"/>
  <c r="S62" i="16" s="1"/>
  <c r="H55" i="16"/>
  <c r="Q55" i="16" s="1"/>
  <c r="S55" i="16" s="1"/>
  <c r="H51" i="16"/>
  <c r="Q51" i="16" s="1"/>
  <c r="S51" i="16" s="1"/>
  <c r="H47" i="16"/>
  <c r="Q47" i="16" s="1"/>
  <c r="S47" i="16" s="1"/>
  <c r="H40" i="16"/>
  <c r="Q40" i="16" s="1"/>
  <c r="S40" i="16" s="1"/>
  <c r="H36" i="16"/>
  <c r="Q36" i="16" s="1"/>
  <c r="S36" i="16" s="1"/>
  <c r="H33" i="16"/>
  <c r="Q33" i="16" s="1"/>
  <c r="S33" i="16" s="1"/>
  <c r="H29" i="16"/>
  <c r="Q29" i="16" s="1"/>
  <c r="S29" i="16" s="1"/>
  <c r="H26" i="16"/>
  <c r="Q26" i="16" s="1"/>
  <c r="S26" i="16" s="1"/>
  <c r="H25" i="16"/>
  <c r="Q25" i="16" s="1"/>
  <c r="S25" i="16" s="1"/>
  <c r="H21" i="16"/>
  <c r="Q21" i="16" s="1"/>
  <c r="S21" i="16" s="1"/>
  <c r="H14" i="16"/>
  <c r="Q14" i="16" s="1"/>
  <c r="S14" i="16" s="1"/>
  <c r="H10" i="16"/>
  <c r="Q10" i="16" s="1"/>
  <c r="S10" i="16" s="1"/>
  <c r="H6" i="16"/>
  <c r="Q6" i="16" s="1"/>
  <c r="S6" i="16" s="1"/>
  <c r="H167" i="15"/>
  <c r="Q167" i="15" s="1"/>
  <c r="S167" i="15" s="1"/>
  <c r="H163" i="15"/>
  <c r="Q163" i="15" s="1"/>
  <c r="S163" i="15" s="1"/>
  <c r="H152" i="15"/>
  <c r="Q152" i="15" s="1"/>
  <c r="S152" i="15" s="1"/>
  <c r="H148" i="15"/>
  <c r="Q148" i="15" s="1"/>
  <c r="S148" i="15" s="1"/>
  <c r="H145" i="15"/>
  <c r="Q145" i="15" s="1"/>
  <c r="S145" i="15" s="1"/>
  <c r="H141" i="15"/>
  <c r="Q141" i="15" s="1"/>
  <c r="S141" i="15" s="1"/>
  <c r="H137" i="15"/>
  <c r="Q137" i="15" s="1"/>
  <c r="S137" i="15" s="1"/>
  <c r="H133" i="15"/>
  <c r="Q133" i="15" s="1"/>
  <c r="S133" i="15" s="1"/>
  <c r="H127" i="15"/>
  <c r="Q127" i="15" s="1"/>
  <c r="S127" i="15" s="1"/>
  <c r="H126" i="15"/>
  <c r="Q126" i="15" s="1"/>
  <c r="S126" i="15" s="1"/>
  <c r="H122" i="15"/>
  <c r="Q122" i="15" s="1"/>
  <c r="S122" i="15" s="1"/>
  <c r="H118" i="15"/>
  <c r="Q118" i="15" s="1"/>
  <c r="S118" i="15" s="1"/>
  <c r="H113" i="15"/>
  <c r="Q113" i="15" s="1"/>
  <c r="S113" i="15" s="1"/>
  <c r="H112" i="15"/>
  <c r="Q112" i="15" s="1"/>
  <c r="S112" i="15" s="1"/>
  <c r="H111" i="15"/>
  <c r="Q111" i="15" s="1"/>
  <c r="S111" i="15" s="1"/>
  <c r="H103" i="15"/>
  <c r="Q103" i="15" s="1"/>
  <c r="S103" i="15" s="1"/>
  <c r="H92" i="15"/>
  <c r="Q92" i="15" s="1"/>
  <c r="S92" i="15" s="1"/>
  <c r="H89" i="15"/>
  <c r="Q89" i="15" s="1"/>
  <c r="S89" i="15" s="1"/>
  <c r="H81" i="15"/>
  <c r="Q81" i="15" s="1"/>
  <c r="S81" i="15" s="1"/>
  <c r="H77" i="15"/>
  <c r="Q77" i="15" s="1"/>
  <c r="S77" i="15" s="1"/>
  <c r="H71" i="15"/>
  <c r="Q71" i="15" s="1"/>
  <c r="S71" i="15" s="1"/>
  <c r="H70" i="15"/>
  <c r="Q70" i="15" s="1"/>
  <c r="S70" i="15" s="1"/>
  <c r="H66" i="15"/>
  <c r="Q66" i="15" s="1"/>
  <c r="S66" i="15" s="1"/>
  <c r="H63" i="15"/>
  <c r="Q63" i="15" s="1"/>
  <c r="S63" i="15" s="1"/>
  <c r="H62" i="15"/>
  <c r="Q62" i="15" s="1"/>
  <c r="S62" i="15" s="1"/>
  <c r="H55" i="15"/>
  <c r="Q55" i="15" s="1"/>
  <c r="S55" i="15" s="1"/>
  <c r="H52" i="15"/>
  <c r="Q52" i="15" s="1"/>
  <c r="S52" i="15" s="1"/>
  <c r="H51" i="15"/>
  <c r="Q51" i="15" s="1"/>
  <c r="S51" i="15" s="1"/>
  <c r="H47" i="15"/>
  <c r="Q47" i="15" s="1"/>
  <c r="S47" i="15" s="1"/>
  <c r="H48" i="15"/>
  <c r="Q48" i="15" s="1"/>
  <c r="S48" i="15" s="1"/>
  <c r="H40" i="15"/>
  <c r="Q40" i="15" s="1"/>
  <c r="S40" i="15" s="1"/>
  <c r="H37" i="15"/>
  <c r="Q37" i="15" s="1"/>
  <c r="S37" i="15" s="1"/>
  <c r="H36" i="15"/>
  <c r="Q36" i="15" s="1"/>
  <c r="S36" i="15" s="1"/>
  <c r="H29" i="15"/>
  <c r="Q29" i="15" s="1"/>
  <c r="S29" i="15" s="1"/>
  <c r="H25" i="15"/>
  <c r="Q25" i="15" s="1"/>
  <c r="S25" i="15" s="1"/>
  <c r="H22" i="15"/>
  <c r="Q22" i="15" s="1"/>
  <c r="S22" i="15" s="1"/>
  <c r="H19" i="15"/>
  <c r="Q19" i="15" s="1"/>
  <c r="S19" i="15" s="1"/>
  <c r="H14" i="15"/>
  <c r="Q14" i="15" s="1"/>
  <c r="S14" i="15" s="1"/>
  <c r="H13" i="15"/>
  <c r="Q13" i="15" s="1"/>
  <c r="S13" i="15" s="1"/>
  <c r="H11" i="15"/>
  <c r="Q11" i="15" s="1"/>
  <c r="S11" i="15" s="1"/>
  <c r="H9" i="15"/>
  <c r="Q9" i="15" s="1"/>
  <c r="S9" i="15" s="1"/>
  <c r="H6" i="15"/>
  <c r="Q6" i="15" s="1"/>
  <c r="S6" i="15" s="1"/>
  <c r="H5" i="15"/>
  <c r="Q5" i="15" s="1"/>
  <c r="S5" i="15" s="1"/>
  <c r="H163" i="14"/>
  <c r="Q163" i="14" s="1"/>
  <c r="S163" i="14" s="1"/>
  <c r="H159" i="14"/>
  <c r="Q159" i="14" s="1"/>
  <c r="S159" i="14" s="1"/>
  <c r="H164" i="14"/>
  <c r="Q164" i="14" s="1"/>
  <c r="S164" i="14" s="1"/>
  <c r="H168" i="14"/>
  <c r="Q168" i="14" s="1"/>
  <c r="S168" i="14" s="1"/>
  <c r="H155" i="14"/>
  <c r="Q155" i="14" s="1"/>
  <c r="S155" i="14" s="1"/>
  <c r="H151" i="14"/>
  <c r="Q151" i="14" s="1"/>
  <c r="S151" i="14" s="1"/>
  <c r="H147" i="14"/>
  <c r="Q147" i="14" s="1"/>
  <c r="S147" i="14" s="1"/>
  <c r="H145" i="14"/>
  <c r="Q145" i="14" s="1"/>
  <c r="S145" i="14" s="1"/>
  <c r="H140" i="14"/>
  <c r="Q140" i="14" s="1"/>
  <c r="S140" i="14" s="1"/>
  <c r="H137" i="14"/>
  <c r="Q137" i="14" s="1"/>
  <c r="S137" i="14" s="1"/>
  <c r="H136" i="14"/>
  <c r="Q136" i="14" s="1"/>
  <c r="S136" i="14" s="1"/>
  <c r="H133" i="14"/>
  <c r="Q133" i="14" s="1"/>
  <c r="S133" i="14" s="1"/>
  <c r="H132" i="14"/>
  <c r="Q132" i="14" s="1"/>
  <c r="S132" i="14" s="1"/>
  <c r="H127" i="14"/>
  <c r="Q127" i="14" s="1"/>
  <c r="S127" i="14" s="1"/>
  <c r="H126" i="14"/>
  <c r="Q126" i="14" s="1"/>
  <c r="S126" i="14" s="1"/>
  <c r="H125" i="14"/>
  <c r="Q125" i="14" s="1"/>
  <c r="S125" i="14" s="1"/>
  <c r="H122" i="14"/>
  <c r="Q122" i="14" s="1"/>
  <c r="S122" i="14" s="1"/>
  <c r="H121" i="14"/>
  <c r="Q121" i="14" s="1"/>
  <c r="S121" i="14" s="1"/>
  <c r="H118" i="14"/>
  <c r="Q118" i="14" s="1"/>
  <c r="S118" i="14" s="1"/>
  <c r="H117" i="14"/>
  <c r="Q117" i="14" s="1"/>
  <c r="S117" i="14" s="1"/>
  <c r="H111" i="14"/>
  <c r="Q111" i="14" s="1"/>
  <c r="S111" i="14" s="1"/>
  <c r="H110" i="14"/>
  <c r="Q110" i="14" s="1"/>
  <c r="S110" i="14" s="1"/>
  <c r="H107" i="14"/>
  <c r="Q107" i="14" s="1"/>
  <c r="S107" i="14" s="1"/>
  <c r="H106" i="14"/>
  <c r="Q106" i="14" s="1"/>
  <c r="S106" i="14" s="1"/>
  <c r="H103" i="14"/>
  <c r="Q103" i="14" s="1"/>
  <c r="S103" i="14" s="1"/>
  <c r="H99" i="14"/>
  <c r="Q99" i="14" s="1"/>
  <c r="S99" i="14" s="1"/>
  <c r="H96" i="14"/>
  <c r="Q96" i="14" s="1"/>
  <c r="S96" i="14" s="1"/>
  <c r="H95" i="14"/>
  <c r="Q95" i="14" s="1"/>
  <c r="S95" i="14" s="1"/>
  <c r="H92" i="14"/>
  <c r="Q92" i="14" s="1"/>
  <c r="S92" i="14" s="1"/>
  <c r="H91" i="14"/>
  <c r="Q91" i="14" s="1"/>
  <c r="S91" i="14" s="1"/>
  <c r="H89" i="14"/>
  <c r="Q89" i="14" s="1"/>
  <c r="S89" i="14" s="1"/>
  <c r="H85" i="14"/>
  <c r="Q85" i="14" s="1"/>
  <c r="S85" i="14" s="1"/>
  <c r="H84" i="14"/>
  <c r="Q84" i="14" s="1"/>
  <c r="S84" i="14" s="1"/>
  <c r="H81" i="14"/>
  <c r="Q81" i="14" s="1"/>
  <c r="S81" i="14" s="1"/>
  <c r="H80" i="14"/>
  <c r="Q80" i="14" s="1"/>
  <c r="S80" i="14" s="1"/>
  <c r="H77" i="14"/>
  <c r="Q77" i="14" s="1"/>
  <c r="S77" i="14" s="1"/>
  <c r="H76" i="14"/>
  <c r="Q76" i="14" s="1"/>
  <c r="S76" i="14" s="1"/>
  <c r="H71" i="14"/>
  <c r="Q71" i="14" s="1"/>
  <c r="S71" i="14" s="1"/>
  <c r="H70" i="14"/>
  <c r="Q70" i="14" s="1"/>
  <c r="S70" i="14" s="1"/>
  <c r="H69" i="14"/>
  <c r="Q69" i="14" s="1"/>
  <c r="S69" i="14" s="1"/>
  <c r="H66" i="14"/>
  <c r="Q66" i="14" s="1"/>
  <c r="S66" i="14" s="1"/>
  <c r="H65" i="14"/>
  <c r="Q65" i="14" s="1"/>
  <c r="S65" i="14" s="1"/>
  <c r="H62" i="14"/>
  <c r="Q62" i="14" s="1"/>
  <c r="S62" i="14" s="1"/>
  <c r="H61" i="14"/>
  <c r="Q61" i="14" s="1"/>
  <c r="S61" i="14" s="1"/>
  <c r="H54" i="14"/>
  <c r="Q54" i="14" s="1"/>
  <c r="S54" i="14" s="1"/>
  <c r="H51" i="14"/>
  <c r="Q51" i="14" s="1"/>
  <c r="S51" i="14" s="1"/>
  <c r="H50" i="14"/>
  <c r="Q50" i="14" s="1"/>
  <c r="S50" i="14" s="1"/>
  <c r="H47" i="14"/>
  <c r="Q47" i="14" s="1"/>
  <c r="S47" i="14" s="1"/>
  <c r="H43" i="14"/>
  <c r="Q43" i="14" s="1"/>
  <c r="S43" i="14" s="1"/>
  <c r="H39" i="14"/>
  <c r="Q39" i="14" s="1"/>
  <c r="S39" i="14" s="1"/>
  <c r="H36" i="14"/>
  <c r="Q36" i="14" s="1"/>
  <c r="S36" i="14" s="1"/>
  <c r="H35" i="14"/>
  <c r="Q35" i="14" s="1"/>
  <c r="S35" i="14" s="1"/>
  <c r="H29" i="14"/>
  <c r="Q29" i="14" s="1"/>
  <c r="S29" i="14" s="1"/>
  <c r="H28" i="14"/>
  <c r="Q28" i="14" s="1"/>
  <c r="S28" i="14" s="1"/>
  <c r="H25" i="14"/>
  <c r="Q25" i="14" s="1"/>
  <c r="S25" i="14" s="1"/>
  <c r="H24" i="14"/>
  <c r="Q24" i="14" s="1"/>
  <c r="S24" i="14" s="1"/>
  <c r="H21" i="14"/>
  <c r="Q21" i="14" s="1"/>
  <c r="S21" i="14" s="1"/>
  <c r="H20" i="14"/>
  <c r="Q20" i="14" s="1"/>
  <c r="S20" i="14" s="1"/>
  <c r="H14" i="14"/>
  <c r="Q14" i="14" s="1"/>
  <c r="S14" i="14" s="1"/>
  <c r="H13" i="14"/>
  <c r="Q13" i="14" s="1"/>
  <c r="S13" i="14" s="1"/>
  <c r="H10" i="14"/>
  <c r="Q10" i="14" s="1"/>
  <c r="S10" i="14" s="1"/>
  <c r="H9" i="14"/>
  <c r="Q9" i="14" s="1"/>
  <c r="S9" i="14" s="1"/>
  <c r="H6" i="14"/>
  <c r="Q6" i="14" s="1"/>
  <c r="S6" i="14" s="1"/>
  <c r="H5" i="14"/>
  <c r="Q5" i="14" s="1"/>
  <c r="S5" i="14" s="1"/>
  <c r="H167" i="13"/>
  <c r="Q167" i="13" s="1"/>
  <c r="S167" i="13" s="1"/>
  <c r="H166" i="13"/>
  <c r="Q166" i="13" s="1"/>
  <c r="S166" i="13" s="1"/>
  <c r="H163" i="13"/>
  <c r="Q163" i="13" s="1"/>
  <c r="S163" i="13" s="1"/>
  <c r="H162" i="13"/>
  <c r="Q162" i="13" s="1"/>
  <c r="S162" i="13" s="1"/>
  <c r="H159" i="13"/>
  <c r="Q159" i="13" s="1"/>
  <c r="S159" i="13" s="1"/>
  <c r="H155" i="13"/>
  <c r="Q155" i="13" s="1"/>
  <c r="S155" i="13" s="1"/>
  <c r="H152" i="13"/>
  <c r="Q152" i="13" s="1"/>
  <c r="S152" i="13" s="1"/>
  <c r="H151" i="13"/>
  <c r="Q151" i="13" s="1"/>
  <c r="S151" i="13" s="1"/>
  <c r="H145" i="13"/>
  <c r="Q145" i="13" s="1"/>
  <c r="S145" i="13" s="1"/>
  <c r="H141" i="13"/>
  <c r="Q141" i="13" s="1"/>
  <c r="S141" i="13" s="1"/>
  <c r="H140" i="13"/>
  <c r="Q140" i="13" s="1"/>
  <c r="S140" i="13" s="1"/>
  <c r="H137" i="13"/>
  <c r="Q137" i="13" s="1"/>
  <c r="S137" i="13" s="1"/>
  <c r="H136" i="13"/>
  <c r="Q136" i="13" s="1"/>
  <c r="S136" i="13" s="1"/>
  <c r="H134" i="13"/>
  <c r="Q134" i="13" s="1"/>
  <c r="S134" i="13" s="1"/>
  <c r="H133" i="13"/>
  <c r="Q133" i="13" s="1"/>
  <c r="S133" i="13" s="1"/>
  <c r="H132" i="13"/>
  <c r="Q132" i="13" s="1"/>
  <c r="S132" i="13" s="1"/>
  <c r="H126" i="13"/>
  <c r="Q126" i="13" s="1"/>
  <c r="S126" i="13" s="1"/>
  <c r="H125" i="13"/>
  <c r="Q125" i="13" s="1"/>
  <c r="S125" i="13" s="1"/>
  <c r="H121" i="13"/>
  <c r="Q121" i="13" s="1"/>
  <c r="S121" i="13" s="1"/>
  <c r="H118" i="13"/>
  <c r="Q118" i="13" s="1"/>
  <c r="S118" i="13" s="1"/>
  <c r="H117" i="13"/>
  <c r="Q117" i="13" s="1"/>
  <c r="S117" i="13" s="1"/>
  <c r="H110" i="13"/>
  <c r="Q110" i="13" s="1"/>
  <c r="S110" i="13" s="1"/>
  <c r="H107" i="13"/>
  <c r="Q107" i="13" s="1"/>
  <c r="S107" i="13" s="1"/>
  <c r="H106" i="13"/>
  <c r="Q106" i="13" s="1"/>
  <c r="S106" i="13" s="1"/>
  <c r="H103" i="13"/>
  <c r="Q103" i="13" s="1"/>
  <c r="S103" i="13" s="1"/>
  <c r="H99" i="13"/>
  <c r="Q99" i="13" s="1"/>
  <c r="S99" i="13" s="1"/>
  <c r="H97" i="13"/>
  <c r="Q97" i="13" s="1"/>
  <c r="S97" i="13" s="1"/>
  <c r="H96" i="13"/>
  <c r="Q96" i="13" s="1"/>
  <c r="S96" i="13" s="1"/>
  <c r="H95" i="13"/>
  <c r="Q95" i="13" s="1"/>
  <c r="S95" i="13" s="1"/>
  <c r="H93" i="13"/>
  <c r="Q93" i="13" s="1"/>
  <c r="S93" i="13" s="1"/>
  <c r="H92" i="13"/>
  <c r="Q92" i="13" s="1"/>
  <c r="S92" i="13" s="1"/>
  <c r="H91" i="13"/>
  <c r="Q91" i="13" s="1"/>
  <c r="S91" i="13" s="1"/>
  <c r="H89" i="13"/>
  <c r="Q89" i="13" s="1"/>
  <c r="S89" i="13" s="1"/>
  <c r="H85" i="13"/>
  <c r="Q85" i="13" s="1"/>
  <c r="S85" i="13" s="1"/>
  <c r="H84" i="13"/>
  <c r="Q84" i="13" s="1"/>
  <c r="S84" i="13" s="1"/>
  <c r="H81" i="13"/>
  <c r="Q81" i="13" s="1"/>
  <c r="S81" i="13" s="1"/>
  <c r="H80" i="13"/>
  <c r="Q80" i="13" s="1"/>
  <c r="S80" i="13" s="1"/>
  <c r="H78" i="13"/>
  <c r="Q78" i="13" s="1"/>
  <c r="S78" i="13" s="1"/>
  <c r="H77" i="13"/>
  <c r="Q77" i="13" s="1"/>
  <c r="S77" i="13" s="1"/>
  <c r="H76" i="13"/>
  <c r="Q76" i="13" s="1"/>
  <c r="S76" i="13" s="1"/>
  <c r="H70" i="13"/>
  <c r="Q70" i="13" s="1"/>
  <c r="S70" i="13" s="1"/>
  <c r="H69" i="13"/>
  <c r="Q69" i="13" s="1"/>
  <c r="S69" i="13" s="1"/>
  <c r="H66" i="13"/>
  <c r="Q66" i="13" s="1"/>
  <c r="S66" i="13" s="1"/>
  <c r="H65" i="13"/>
  <c r="Q65" i="13" s="1"/>
  <c r="S65" i="13" s="1"/>
  <c r="H62" i="13"/>
  <c r="Q62" i="13" s="1"/>
  <c r="S62" i="13" s="1"/>
  <c r="H61" i="13"/>
  <c r="Q61" i="13" s="1"/>
  <c r="S61" i="13" s="1"/>
  <c r="H56" i="13"/>
  <c r="Q56" i="13" s="1"/>
  <c r="S56" i="13" s="1"/>
  <c r="H55" i="13"/>
  <c r="Q55" i="13" s="1"/>
  <c r="S55" i="13" s="1"/>
  <c r="H54" i="13"/>
  <c r="Q54" i="13" s="1"/>
  <c r="S54" i="13" s="1"/>
  <c r="H50" i="13"/>
  <c r="Q50" i="13" s="1"/>
  <c r="S50" i="13" s="1"/>
  <c r="H48" i="13"/>
  <c r="Q48" i="13" s="1"/>
  <c r="S48" i="13" s="1"/>
  <c r="H43" i="13"/>
  <c r="Q43" i="13" s="1"/>
  <c r="S43" i="13" s="1"/>
  <c r="H40" i="13"/>
  <c r="Q40" i="13" s="1"/>
  <c r="S40" i="13" s="1"/>
  <c r="H39" i="13"/>
  <c r="Q39" i="13" s="1"/>
  <c r="S39" i="13" s="1"/>
  <c r="H37" i="13"/>
  <c r="Q37" i="13" s="1"/>
  <c r="S37" i="13" s="1"/>
  <c r="H35" i="13"/>
  <c r="Q35" i="13" s="1"/>
  <c r="S35" i="13" s="1"/>
  <c r="H29" i="13"/>
  <c r="Q29" i="13" s="1"/>
  <c r="S29" i="13" s="1"/>
  <c r="H28" i="13"/>
  <c r="Q28" i="13" s="1"/>
  <c r="S28" i="13" s="1"/>
  <c r="H26" i="13"/>
  <c r="Q26" i="13" s="1"/>
  <c r="S26" i="13" s="1"/>
  <c r="H25" i="13"/>
  <c r="Q25" i="13" s="1"/>
  <c r="S25" i="13" s="1"/>
  <c r="H24" i="13"/>
  <c r="Q24" i="13" s="1"/>
  <c r="S24" i="13" s="1"/>
  <c r="H22" i="13"/>
  <c r="Q22" i="13" s="1"/>
  <c r="S22" i="13" s="1"/>
  <c r="H21" i="13"/>
  <c r="Q21" i="13" s="1"/>
  <c r="S21" i="13" s="1"/>
  <c r="H20" i="13"/>
  <c r="Q20" i="13" s="1"/>
  <c r="S20" i="13" s="1"/>
  <c r="H14" i="13"/>
  <c r="Q14" i="13" s="1"/>
  <c r="S14" i="13" s="1"/>
  <c r="H13" i="13"/>
  <c r="Q13" i="13" s="1"/>
  <c r="S13" i="13" s="1"/>
  <c r="H10" i="13"/>
  <c r="Q10" i="13" s="1"/>
  <c r="S10" i="13" s="1"/>
  <c r="H9" i="13"/>
  <c r="Q9" i="13" s="1"/>
  <c r="S9" i="13" s="1"/>
  <c r="H7" i="13"/>
  <c r="Q7" i="13" s="1"/>
  <c r="S7" i="13" s="1"/>
  <c r="H6" i="13"/>
  <c r="Q6" i="13" s="1"/>
  <c r="S6" i="13" s="1"/>
  <c r="H5" i="13"/>
  <c r="Q5" i="13" s="1"/>
  <c r="S5" i="13" s="1"/>
  <c r="H8" i="13"/>
  <c r="Q8" i="13" s="1"/>
  <c r="S8" i="13" s="1"/>
  <c r="H12" i="13"/>
  <c r="Q12" i="13" s="1"/>
  <c r="S12" i="13" s="1"/>
  <c r="H19" i="13"/>
  <c r="Q19" i="13" s="1"/>
  <c r="S19" i="13" s="1"/>
  <c r="H23" i="13"/>
  <c r="Q23" i="13" s="1"/>
  <c r="S23" i="13" s="1"/>
  <c r="H27" i="13"/>
  <c r="Q27" i="13" s="1"/>
  <c r="S27" i="13" s="1"/>
  <c r="H34" i="13"/>
  <c r="Q34" i="13" s="1"/>
  <c r="S34" i="13" s="1"/>
  <c r="H38" i="13"/>
  <c r="Q38" i="13" s="1"/>
  <c r="S38" i="13" s="1"/>
  <c r="H42" i="13"/>
  <c r="Q42" i="13" s="1"/>
  <c r="S42" i="13" s="1"/>
  <c r="H49" i="13"/>
  <c r="Q49" i="13" s="1"/>
  <c r="S49" i="13" s="1"/>
  <c r="H53" i="13"/>
  <c r="Q53" i="13" s="1"/>
  <c r="S53" i="13" s="1"/>
  <c r="H57" i="13"/>
  <c r="Q57" i="13" s="1"/>
  <c r="S57" i="13" s="1"/>
  <c r="H64" i="13"/>
  <c r="Q64" i="13" s="1"/>
  <c r="S64" i="13" s="1"/>
  <c r="H68" i="13"/>
  <c r="Q68" i="13" s="1"/>
  <c r="S68" i="13" s="1"/>
  <c r="H75" i="13"/>
  <c r="Q75" i="13" s="1"/>
  <c r="S75" i="13" s="1"/>
  <c r="H79" i="13"/>
  <c r="Q79" i="13" s="1"/>
  <c r="S79" i="13" s="1"/>
  <c r="H83" i="13"/>
  <c r="Q83" i="13" s="1"/>
  <c r="S83" i="13" s="1"/>
  <c r="H90" i="13"/>
  <c r="Q90" i="13" s="1"/>
  <c r="S90" i="13" s="1"/>
  <c r="H94" i="13"/>
  <c r="Q94" i="13" s="1"/>
  <c r="S94" i="13" s="1"/>
  <c r="H98" i="13"/>
  <c r="Q98" i="13" s="1"/>
  <c r="S98" i="13" s="1"/>
  <c r="H105" i="13"/>
  <c r="Q105" i="13" s="1"/>
  <c r="S105" i="13" s="1"/>
  <c r="H109" i="13"/>
  <c r="Q109" i="13" s="1"/>
  <c r="S109" i="13" s="1"/>
  <c r="H113" i="13"/>
  <c r="Q113" i="13" s="1"/>
  <c r="S113" i="13" s="1"/>
  <c r="H120" i="13"/>
  <c r="Q120" i="13" s="1"/>
  <c r="S120" i="13" s="1"/>
  <c r="H124" i="13"/>
  <c r="Q124" i="13" s="1"/>
  <c r="S124" i="13" s="1"/>
  <c r="H131" i="13"/>
  <c r="Q131" i="13" s="1"/>
  <c r="S131" i="13" s="1"/>
  <c r="H135" i="13"/>
  <c r="Q135" i="13" s="1"/>
  <c r="S135" i="13" s="1"/>
  <c r="H139" i="13"/>
  <c r="Q139" i="13" s="1"/>
  <c r="S139" i="13" s="1"/>
  <c r="H146" i="13"/>
  <c r="Q146" i="13" s="1"/>
  <c r="S146" i="13" s="1"/>
  <c r="H150" i="13"/>
  <c r="Q150" i="13" s="1"/>
  <c r="S150" i="13" s="1"/>
  <c r="H154" i="13"/>
  <c r="Q154" i="13" s="1"/>
  <c r="S154" i="13" s="1"/>
  <c r="H161" i="13"/>
  <c r="Q161" i="13" s="1"/>
  <c r="S161" i="13" s="1"/>
  <c r="H165" i="13"/>
  <c r="Q165" i="13" s="1"/>
  <c r="S165" i="13" s="1"/>
  <c r="H169" i="13"/>
  <c r="Q169" i="13" s="1"/>
  <c r="S169" i="13" s="1"/>
  <c r="H8" i="14"/>
  <c r="Q8" i="14" s="1"/>
  <c r="S8" i="14" s="1"/>
  <c r="H12" i="14"/>
  <c r="Q12" i="14" s="1"/>
  <c r="S12" i="14" s="1"/>
  <c r="H19" i="14"/>
  <c r="Q19" i="14" s="1"/>
  <c r="S19" i="14" s="1"/>
  <c r="H23" i="14"/>
  <c r="Q23" i="14" s="1"/>
  <c r="S23" i="14" s="1"/>
  <c r="H27" i="14"/>
  <c r="Q27" i="14" s="1"/>
  <c r="S27" i="14" s="1"/>
  <c r="H34" i="14"/>
  <c r="Q34" i="14" s="1"/>
  <c r="S34" i="14" s="1"/>
  <c r="H38" i="14"/>
  <c r="Q38" i="14" s="1"/>
  <c r="S38" i="14" s="1"/>
  <c r="H42" i="14"/>
  <c r="Q42" i="14" s="1"/>
  <c r="S42" i="14" s="1"/>
  <c r="H49" i="14"/>
  <c r="Q49" i="14" s="1"/>
  <c r="S49" i="14" s="1"/>
  <c r="H53" i="14"/>
  <c r="Q53" i="14" s="1"/>
  <c r="S53" i="14" s="1"/>
  <c r="H57" i="14"/>
  <c r="Q57" i="14" s="1"/>
  <c r="S57" i="14" s="1"/>
  <c r="H64" i="14"/>
  <c r="Q64" i="14" s="1"/>
  <c r="S64" i="14" s="1"/>
  <c r="H68" i="14"/>
  <c r="Q68" i="14" s="1"/>
  <c r="S68" i="14" s="1"/>
  <c r="H75" i="14"/>
  <c r="Q75" i="14" s="1"/>
  <c r="S75" i="14" s="1"/>
  <c r="H79" i="14"/>
  <c r="Q79" i="14" s="1"/>
  <c r="S79" i="14" s="1"/>
  <c r="H83" i="14"/>
  <c r="Q83" i="14" s="1"/>
  <c r="S83" i="14" s="1"/>
  <c r="H90" i="14"/>
  <c r="Q90" i="14" s="1"/>
  <c r="S90" i="14" s="1"/>
  <c r="H94" i="14"/>
  <c r="Q94" i="14" s="1"/>
  <c r="S94" i="14" s="1"/>
  <c r="H98" i="14"/>
  <c r="Q98" i="14" s="1"/>
  <c r="S98" i="14" s="1"/>
  <c r="H105" i="14"/>
  <c r="Q105" i="14" s="1"/>
  <c r="S105" i="14" s="1"/>
  <c r="H109" i="14"/>
  <c r="Q109" i="14" s="1"/>
  <c r="S109" i="14" s="1"/>
  <c r="H113" i="14"/>
  <c r="Q113" i="14" s="1"/>
  <c r="S113" i="14" s="1"/>
  <c r="H120" i="14"/>
  <c r="Q120" i="14" s="1"/>
  <c r="S120" i="14" s="1"/>
  <c r="H124" i="14"/>
  <c r="Q124" i="14" s="1"/>
  <c r="S124" i="14" s="1"/>
  <c r="H131" i="14"/>
  <c r="Q131" i="14" s="1"/>
  <c r="S131" i="14" s="1"/>
  <c r="H135" i="14"/>
  <c r="Q135" i="14" s="1"/>
  <c r="S135" i="14" s="1"/>
  <c r="H139" i="14"/>
  <c r="Q139" i="14" s="1"/>
  <c r="S139" i="14" s="1"/>
  <c r="H146" i="14"/>
  <c r="Q146" i="14" s="1"/>
  <c r="S146" i="14" s="1"/>
  <c r="H150" i="14"/>
  <c r="Q150" i="14" s="1"/>
  <c r="S150" i="14" s="1"/>
  <c r="H154" i="14"/>
  <c r="Q154" i="14" s="1"/>
  <c r="S154" i="14" s="1"/>
  <c r="H161" i="14"/>
  <c r="Q161" i="14" s="1"/>
  <c r="S161" i="14" s="1"/>
  <c r="H165" i="14"/>
  <c r="Q165" i="14" s="1"/>
  <c r="S165" i="14" s="1"/>
  <c r="H169" i="14"/>
  <c r="Q169" i="14" s="1"/>
  <c r="S169" i="14" s="1"/>
  <c r="H8" i="15"/>
  <c r="Q8" i="15" s="1"/>
  <c r="S8" i="15" s="1"/>
  <c r="H12" i="15"/>
  <c r="Q12" i="15" s="1"/>
  <c r="S12" i="15" s="1"/>
  <c r="H20" i="15"/>
  <c r="Q20" i="15" s="1"/>
  <c r="S20" i="15" s="1"/>
  <c r="H24" i="15"/>
  <c r="Q24" i="15" s="1"/>
  <c r="S24" i="15" s="1"/>
  <c r="H28" i="15"/>
  <c r="Q28" i="15" s="1"/>
  <c r="S28" i="15" s="1"/>
  <c r="H35" i="15"/>
  <c r="Q35" i="15" s="1"/>
  <c r="S35" i="15" s="1"/>
  <c r="H39" i="15"/>
  <c r="Q39" i="15" s="1"/>
  <c r="S39" i="15" s="1"/>
  <c r="H43" i="15"/>
  <c r="Q43" i="15" s="1"/>
  <c r="S43" i="15" s="1"/>
  <c r="H50" i="15"/>
  <c r="Q50" i="15" s="1"/>
  <c r="S50" i="15" s="1"/>
  <c r="H54" i="15"/>
  <c r="Q54" i="15" s="1"/>
  <c r="S54" i="15" s="1"/>
  <c r="H61" i="15"/>
  <c r="Q61" i="15" s="1"/>
  <c r="S61" i="15" s="1"/>
  <c r="H65" i="15"/>
  <c r="Q65" i="15" s="1"/>
  <c r="S65" i="15" s="1"/>
  <c r="H69" i="15"/>
  <c r="Q69" i="15" s="1"/>
  <c r="S69" i="15" s="1"/>
  <c r="H76" i="15"/>
  <c r="Q76" i="15" s="1"/>
  <c r="S76" i="15" s="1"/>
  <c r="H80" i="15"/>
  <c r="Q80" i="15" s="1"/>
  <c r="S80" i="15" s="1"/>
  <c r="H84" i="15"/>
  <c r="Q84" i="15" s="1"/>
  <c r="S84" i="15" s="1"/>
  <c r="H91" i="15"/>
  <c r="Q91" i="15" s="1"/>
  <c r="S91" i="15" s="1"/>
  <c r="H95" i="15"/>
  <c r="Q95" i="15" s="1"/>
  <c r="S95" i="15" s="1"/>
  <c r="H99" i="15"/>
  <c r="Q99" i="15" s="1"/>
  <c r="S99" i="15" s="1"/>
  <c r="H106" i="15"/>
  <c r="Q106" i="15" s="1"/>
  <c r="S106" i="15" s="1"/>
  <c r="H110" i="15"/>
  <c r="Q110" i="15" s="1"/>
  <c r="S110" i="15" s="1"/>
  <c r="H117" i="15"/>
  <c r="Q117" i="15" s="1"/>
  <c r="S117" i="15" s="1"/>
  <c r="H121" i="15"/>
  <c r="Q121" i="15" s="1"/>
  <c r="S121" i="15" s="1"/>
  <c r="H125" i="15"/>
  <c r="Q125" i="15" s="1"/>
  <c r="S125" i="15" s="1"/>
  <c r="H132" i="15"/>
  <c r="Q132" i="15" s="1"/>
  <c r="S132" i="15" s="1"/>
  <c r="H136" i="15"/>
  <c r="Q136" i="15" s="1"/>
  <c r="S136" i="15" s="1"/>
  <c r="H140" i="15"/>
  <c r="Q140" i="15" s="1"/>
  <c r="S140" i="15" s="1"/>
  <c r="H147" i="15"/>
  <c r="Q147" i="15" s="1"/>
  <c r="S147" i="15" s="1"/>
  <c r="H151" i="15"/>
  <c r="Q151" i="15" s="1"/>
  <c r="S151" i="15" s="1"/>
  <c r="H155" i="15"/>
  <c r="Q155" i="15" s="1"/>
  <c r="S155" i="15" s="1"/>
  <c r="H162" i="15"/>
  <c r="H166" i="15"/>
  <c r="Q166" i="15" s="1"/>
  <c r="S166" i="15" s="1"/>
  <c r="H5" i="16"/>
  <c r="Q5" i="16" s="1"/>
  <c r="S5" i="16" s="1"/>
  <c r="H9" i="16"/>
  <c r="Q9" i="16" s="1"/>
  <c r="S9" i="16" s="1"/>
  <c r="H13" i="16"/>
  <c r="Q13" i="16" s="1"/>
  <c r="S13" i="16" s="1"/>
  <c r="H20" i="16"/>
  <c r="Q20" i="16" s="1"/>
  <c r="S20" i="16" s="1"/>
  <c r="H24" i="16"/>
  <c r="Q24" i="16" s="1"/>
  <c r="S24" i="16" s="1"/>
  <c r="H28" i="16"/>
  <c r="Q28" i="16" s="1"/>
  <c r="S28" i="16" s="1"/>
  <c r="H35" i="16"/>
  <c r="Q35" i="16" s="1"/>
  <c r="S35" i="16" s="1"/>
  <c r="H39" i="16"/>
  <c r="Q39" i="16" s="1"/>
  <c r="S39" i="16" s="1"/>
  <c r="H43" i="16"/>
  <c r="Q43" i="16" s="1"/>
  <c r="S43" i="16" s="1"/>
  <c r="H50" i="16"/>
  <c r="Q50" i="16" s="1"/>
  <c r="S50" i="16" s="1"/>
  <c r="H54" i="16"/>
  <c r="Q54" i="16" s="1"/>
  <c r="S54" i="16" s="1"/>
  <c r="H61" i="16"/>
  <c r="Q61" i="16" s="1"/>
  <c r="S61" i="16" s="1"/>
  <c r="H65" i="16"/>
  <c r="Q65" i="16" s="1"/>
  <c r="S65" i="16" s="1"/>
  <c r="H69" i="16"/>
  <c r="Q69" i="16" s="1"/>
  <c r="S69" i="16" s="1"/>
  <c r="H76" i="16"/>
  <c r="Q76" i="16" s="1"/>
  <c r="S76" i="16" s="1"/>
  <c r="H80" i="16"/>
  <c r="Q80" i="16" s="1"/>
  <c r="S80" i="16" s="1"/>
  <c r="H84" i="16"/>
  <c r="Q84" i="16" s="1"/>
  <c r="S84" i="16" s="1"/>
  <c r="H91" i="16"/>
  <c r="Q91" i="16" s="1"/>
  <c r="S91" i="16" s="1"/>
  <c r="H95" i="16"/>
  <c r="Q95" i="16" s="1"/>
  <c r="S95" i="16" s="1"/>
  <c r="H99" i="16"/>
  <c r="Q99" i="16" s="1"/>
  <c r="S99" i="16" s="1"/>
  <c r="H106" i="16"/>
  <c r="Q106" i="16" s="1"/>
  <c r="S106" i="16" s="1"/>
  <c r="H110" i="16"/>
  <c r="Q110" i="16" s="1"/>
  <c r="S110" i="16" s="1"/>
  <c r="H117" i="16"/>
  <c r="Q117" i="16" s="1"/>
  <c r="S117" i="16" s="1"/>
  <c r="H121" i="16"/>
  <c r="Q121" i="16" s="1"/>
  <c r="S121" i="16" s="1"/>
  <c r="H125" i="16"/>
  <c r="Q125" i="16" s="1"/>
  <c r="S125" i="16" s="1"/>
  <c r="H132" i="16"/>
  <c r="Q132" i="16" s="1"/>
  <c r="S132" i="16" s="1"/>
  <c r="H136" i="16"/>
  <c r="Q136" i="16" s="1"/>
  <c r="S136" i="16" s="1"/>
  <c r="H140" i="16"/>
  <c r="Q140" i="16" s="1"/>
  <c r="S140" i="16" s="1"/>
  <c r="H147" i="16"/>
  <c r="Q147" i="16" s="1"/>
  <c r="S147" i="16" s="1"/>
  <c r="H151" i="16"/>
  <c r="Q151" i="16" s="1"/>
  <c r="S151" i="16" s="1"/>
  <c r="H155" i="16"/>
  <c r="Q155" i="16" s="1"/>
  <c r="S155" i="16" s="1"/>
  <c r="H162" i="16"/>
  <c r="Q162" i="16" s="1"/>
  <c r="S162" i="16" s="1"/>
  <c r="H166" i="16"/>
  <c r="Q166" i="16" s="1"/>
  <c r="S166" i="16" s="1"/>
  <c r="H5" i="17"/>
  <c r="Q5" i="17" s="1"/>
  <c r="S5" i="17" s="1"/>
  <c r="H9" i="17"/>
  <c r="Q9" i="17" s="1"/>
  <c r="S9" i="17" s="1"/>
  <c r="H13" i="17"/>
  <c r="Q13" i="17" s="1"/>
  <c r="S13" i="17" s="1"/>
  <c r="H20" i="17"/>
  <c r="Q20" i="17" s="1"/>
  <c r="S20" i="17" s="1"/>
  <c r="H24" i="17"/>
  <c r="Q24" i="17" s="1"/>
  <c r="S24" i="17" s="1"/>
  <c r="H28" i="17"/>
  <c r="Q28" i="17" s="1"/>
  <c r="S28" i="17" s="1"/>
  <c r="H35" i="17"/>
  <c r="Q35" i="17" s="1"/>
  <c r="S35" i="17" s="1"/>
  <c r="H39" i="17"/>
  <c r="Q39" i="17" s="1"/>
  <c r="S39" i="17" s="1"/>
  <c r="H43" i="17"/>
  <c r="Q43" i="17" s="1"/>
  <c r="S43" i="17" s="1"/>
  <c r="H50" i="17"/>
  <c r="Q50" i="17" s="1"/>
  <c r="S50" i="17" s="1"/>
  <c r="H54" i="17"/>
  <c r="Q54" i="17" s="1"/>
  <c r="S54" i="17" s="1"/>
  <c r="H61" i="17"/>
  <c r="Q61" i="17" s="1"/>
  <c r="S61" i="17" s="1"/>
  <c r="H65" i="17"/>
  <c r="Q65" i="17" s="1"/>
  <c r="S65" i="17" s="1"/>
  <c r="H69" i="17"/>
  <c r="Q69" i="17" s="1"/>
  <c r="S69" i="17" s="1"/>
  <c r="H76" i="17"/>
  <c r="Q76" i="17" s="1"/>
  <c r="S76" i="17" s="1"/>
  <c r="H80" i="17"/>
  <c r="Q80" i="17" s="1"/>
  <c r="S80" i="17" s="1"/>
  <c r="H84" i="17"/>
  <c r="Q84" i="17" s="1"/>
  <c r="S84" i="17" s="1"/>
  <c r="H91" i="17"/>
  <c r="Q91" i="17" s="1"/>
  <c r="S91" i="17" s="1"/>
  <c r="H95" i="17"/>
  <c r="Q95" i="17" s="1"/>
  <c r="S95" i="17" s="1"/>
  <c r="H99" i="17"/>
  <c r="Q99" i="17" s="1"/>
  <c r="S99" i="17" s="1"/>
  <c r="H106" i="17"/>
  <c r="Q106" i="17" s="1"/>
  <c r="S106" i="17" s="1"/>
  <c r="H110" i="17"/>
  <c r="Q110" i="17" s="1"/>
  <c r="S110" i="17" s="1"/>
  <c r="H117" i="17"/>
  <c r="Q117" i="17" s="1"/>
  <c r="S117" i="17" s="1"/>
  <c r="H121" i="17"/>
  <c r="Q121" i="17" s="1"/>
  <c r="S121" i="17" s="1"/>
  <c r="H125" i="17"/>
  <c r="Q125" i="17" s="1"/>
  <c r="S125" i="17" s="1"/>
  <c r="H132" i="17"/>
  <c r="Q132" i="17" s="1"/>
  <c r="S132" i="17" s="1"/>
  <c r="H136" i="17"/>
  <c r="Q136" i="17" s="1"/>
  <c r="S136" i="17" s="1"/>
  <c r="H140" i="17"/>
  <c r="Q140" i="17" s="1"/>
  <c r="S140" i="17" s="1"/>
  <c r="H147" i="17"/>
  <c r="Q147" i="17" s="1"/>
  <c r="S147" i="17" s="1"/>
  <c r="H151" i="17"/>
  <c r="Q151" i="17" s="1"/>
  <c r="S151" i="17" s="1"/>
  <c r="H155" i="17"/>
  <c r="Q155" i="17" s="1"/>
  <c r="S155" i="17" s="1"/>
  <c r="H162" i="17"/>
  <c r="Q162" i="17" s="1"/>
  <c r="S162" i="17" s="1"/>
  <c r="H166" i="17"/>
  <c r="Q166" i="17" s="1"/>
  <c r="S166" i="17" s="1"/>
  <c r="H5" i="18"/>
  <c r="Q5" i="18" s="1"/>
  <c r="S5" i="18" s="1"/>
  <c r="H9" i="18"/>
  <c r="Q9" i="18" s="1"/>
  <c r="S9" i="18" s="1"/>
  <c r="H13" i="18"/>
  <c r="Q13" i="18" s="1"/>
  <c r="S13" i="18" s="1"/>
  <c r="H20" i="18"/>
  <c r="Q20" i="18" s="1"/>
  <c r="S20" i="18" s="1"/>
  <c r="H24" i="18"/>
  <c r="Q24" i="18" s="1"/>
  <c r="S24" i="18" s="1"/>
  <c r="H28" i="18"/>
  <c r="Q28" i="18" s="1"/>
  <c r="S28" i="18" s="1"/>
  <c r="H35" i="18"/>
  <c r="Q35" i="18" s="1"/>
  <c r="S35" i="18" s="1"/>
  <c r="H39" i="18"/>
  <c r="Q39" i="18" s="1"/>
  <c r="S39" i="18" s="1"/>
  <c r="H43" i="18"/>
  <c r="Q43" i="18" s="1"/>
  <c r="S43" i="18" s="1"/>
  <c r="H50" i="18"/>
  <c r="Q50" i="18" s="1"/>
  <c r="S50" i="18" s="1"/>
  <c r="H54" i="18"/>
  <c r="Q54" i="18" s="1"/>
  <c r="S54" i="18" s="1"/>
  <c r="H61" i="18"/>
  <c r="Q61" i="18" s="1"/>
  <c r="S61" i="18" s="1"/>
  <c r="H65" i="18"/>
  <c r="Q65" i="18" s="1"/>
  <c r="S65" i="18" s="1"/>
  <c r="H69" i="18"/>
  <c r="Q69" i="18" s="1"/>
  <c r="S69" i="18" s="1"/>
  <c r="H76" i="18"/>
  <c r="Q76" i="18" s="1"/>
  <c r="S76" i="18" s="1"/>
  <c r="H80" i="18"/>
  <c r="Q80" i="18" s="1"/>
  <c r="S80" i="18" s="1"/>
  <c r="H84" i="18"/>
  <c r="Q84" i="18" s="1"/>
  <c r="S84" i="18" s="1"/>
  <c r="H91" i="18"/>
  <c r="Q91" i="18" s="1"/>
  <c r="S91" i="18" s="1"/>
  <c r="H95" i="18"/>
  <c r="Q95" i="18" s="1"/>
  <c r="S95" i="18" s="1"/>
  <c r="H99" i="18"/>
  <c r="Q99" i="18" s="1"/>
  <c r="S99" i="18" s="1"/>
  <c r="H106" i="18"/>
  <c r="Q106" i="18" s="1"/>
  <c r="S106" i="18" s="1"/>
  <c r="H110" i="18"/>
  <c r="Q110" i="18" s="1"/>
  <c r="S110" i="18" s="1"/>
  <c r="H117" i="18"/>
  <c r="Q117" i="18" s="1"/>
  <c r="S117" i="18" s="1"/>
  <c r="H121" i="18"/>
  <c r="Q121" i="18" s="1"/>
  <c r="S121" i="18" s="1"/>
  <c r="H125" i="18"/>
  <c r="Q125" i="18" s="1"/>
  <c r="S125" i="18" s="1"/>
  <c r="H132" i="18"/>
  <c r="Q132" i="18" s="1"/>
  <c r="S132" i="18" s="1"/>
  <c r="H136" i="18"/>
  <c r="Q136" i="18" s="1"/>
  <c r="S136" i="18" s="1"/>
  <c r="H140" i="18"/>
  <c r="Q140" i="18" s="1"/>
  <c r="S140" i="18" s="1"/>
  <c r="H147" i="18"/>
  <c r="Q147" i="18" s="1"/>
  <c r="S147" i="18" s="1"/>
  <c r="H151" i="18"/>
  <c r="Q151" i="18" s="1"/>
  <c r="S151" i="18" s="1"/>
  <c r="H155" i="18"/>
  <c r="Q155" i="18" s="1"/>
  <c r="S155" i="18" s="1"/>
  <c r="H162" i="18"/>
  <c r="Q162" i="18" s="1"/>
  <c r="S162" i="18" s="1"/>
  <c r="H166" i="18"/>
  <c r="Q166" i="18" s="1"/>
  <c r="S166" i="18" s="1"/>
  <c r="H5" i="19"/>
  <c r="Q5" i="19" s="1"/>
  <c r="S5" i="19" s="1"/>
  <c r="H9" i="19"/>
  <c r="Q9" i="19" s="1"/>
  <c r="S9" i="19" s="1"/>
  <c r="H13" i="19"/>
  <c r="Q13" i="19" s="1"/>
  <c r="S13" i="19" s="1"/>
  <c r="H19" i="19"/>
  <c r="Q19" i="19" s="1"/>
  <c r="S19" i="19" s="1"/>
  <c r="H23" i="19"/>
  <c r="Q23" i="19" s="1"/>
  <c r="S23" i="19" s="1"/>
  <c r="H27" i="19"/>
  <c r="Q27" i="19" s="1"/>
  <c r="S27" i="19" s="1"/>
  <c r="H34" i="19"/>
  <c r="Q34" i="19" s="1"/>
  <c r="S34" i="19" s="1"/>
  <c r="H38" i="19"/>
  <c r="Q38" i="19" s="1"/>
  <c r="S38" i="19" s="1"/>
  <c r="H42" i="19"/>
  <c r="Q42" i="19" s="1"/>
  <c r="S42" i="19" s="1"/>
  <c r="H49" i="19"/>
  <c r="Q49" i="19" s="1"/>
  <c r="S49" i="19" s="1"/>
  <c r="H53" i="19"/>
  <c r="Q53" i="19" s="1"/>
  <c r="S53" i="19" s="1"/>
  <c r="H57" i="19"/>
  <c r="Q57" i="19" s="1"/>
  <c r="S57" i="19" s="1"/>
  <c r="H64" i="19"/>
  <c r="Q64" i="19" s="1"/>
  <c r="S64" i="19" s="1"/>
  <c r="H68" i="19"/>
  <c r="Q68" i="19" s="1"/>
  <c r="S68" i="19" s="1"/>
  <c r="H75" i="19"/>
  <c r="Q75" i="19" s="1"/>
  <c r="S75" i="19" s="1"/>
  <c r="H79" i="19"/>
  <c r="Q79" i="19" s="1"/>
  <c r="S79" i="19" s="1"/>
  <c r="H83" i="19"/>
  <c r="Q83" i="19" s="1"/>
  <c r="S83" i="19" s="1"/>
  <c r="H90" i="19"/>
  <c r="Q90" i="19" s="1"/>
  <c r="S90" i="19" s="1"/>
  <c r="H94" i="19"/>
  <c r="Q94" i="19" s="1"/>
  <c r="S94" i="19" s="1"/>
  <c r="H98" i="19"/>
  <c r="Q98" i="19" s="1"/>
  <c r="S98" i="19" s="1"/>
  <c r="H105" i="19"/>
  <c r="Q105" i="19" s="1"/>
  <c r="S105" i="19" s="1"/>
  <c r="H109" i="19"/>
  <c r="Q109" i="19" s="1"/>
  <c r="S109" i="19" s="1"/>
  <c r="H113" i="19"/>
  <c r="Q113" i="19" s="1"/>
  <c r="S113" i="19" s="1"/>
  <c r="H120" i="19"/>
  <c r="Q120" i="19" s="1"/>
  <c r="S120" i="19" s="1"/>
  <c r="H124" i="19"/>
  <c r="Q124" i="19" s="1"/>
  <c r="S124" i="19" s="1"/>
  <c r="H131" i="19"/>
  <c r="Q131" i="19" s="1"/>
  <c r="S131" i="19" s="1"/>
  <c r="H135" i="19"/>
  <c r="Q135" i="19" s="1"/>
  <c r="S135" i="19" s="1"/>
  <c r="H139" i="19"/>
  <c r="Q139" i="19" s="1"/>
  <c r="S139" i="19" s="1"/>
  <c r="H146" i="19"/>
  <c r="Q146" i="19" s="1"/>
  <c r="S146" i="19" s="1"/>
  <c r="H150" i="19"/>
  <c r="Q150" i="19" s="1"/>
  <c r="S150" i="19" s="1"/>
  <c r="H154" i="19"/>
  <c r="Q154" i="19" s="1"/>
  <c r="S154" i="19" s="1"/>
  <c r="H161" i="19"/>
  <c r="Q161" i="19" s="1"/>
  <c r="S161" i="19" s="1"/>
  <c r="H165" i="19"/>
  <c r="Q165" i="19" s="1"/>
  <c r="S165" i="19" s="1"/>
  <c r="H169" i="19"/>
  <c r="Q169" i="19" s="1"/>
  <c r="S169" i="19" s="1"/>
  <c r="H8" i="20"/>
  <c r="Q8" i="20" s="1"/>
  <c r="S8" i="20" s="1"/>
  <c r="H12" i="20"/>
  <c r="Q12" i="20" s="1"/>
  <c r="S12" i="20" s="1"/>
  <c r="H19" i="20"/>
  <c r="Q19" i="20" s="1"/>
  <c r="S19" i="20" s="1"/>
  <c r="H23" i="20"/>
  <c r="Q23" i="20" s="1"/>
  <c r="S23" i="20" s="1"/>
  <c r="H27" i="20"/>
  <c r="Q27" i="20" s="1"/>
  <c r="S27" i="20" s="1"/>
  <c r="H34" i="20"/>
  <c r="Q34" i="20" s="1"/>
  <c r="S34" i="20" s="1"/>
  <c r="H38" i="20"/>
  <c r="Q38" i="20" s="1"/>
  <c r="S38" i="20" s="1"/>
  <c r="H42" i="20"/>
  <c r="Q42" i="20" s="1"/>
  <c r="S42" i="20" s="1"/>
  <c r="H49" i="20"/>
  <c r="Q49" i="20" s="1"/>
  <c r="S49" i="20" s="1"/>
  <c r="H53" i="20"/>
  <c r="Q53" i="20" s="1"/>
  <c r="S53" i="20" s="1"/>
  <c r="H57" i="20"/>
  <c r="Q57" i="20" s="1"/>
  <c r="S57" i="20" s="1"/>
  <c r="H64" i="20"/>
  <c r="Q64" i="20" s="1"/>
  <c r="S64" i="20" s="1"/>
  <c r="H68" i="20"/>
  <c r="Q68" i="20" s="1"/>
  <c r="S68" i="20" s="1"/>
  <c r="H75" i="20"/>
  <c r="Q75" i="20" s="1"/>
  <c r="S75" i="20" s="1"/>
  <c r="H79" i="20"/>
  <c r="Q79" i="20" s="1"/>
  <c r="S79" i="20" s="1"/>
  <c r="H83" i="20"/>
  <c r="Q83" i="20" s="1"/>
  <c r="S83" i="20" s="1"/>
  <c r="H90" i="20"/>
  <c r="Q90" i="20" s="1"/>
  <c r="S90" i="20" s="1"/>
  <c r="H94" i="20"/>
  <c r="Q94" i="20" s="1"/>
  <c r="S94" i="20" s="1"/>
  <c r="H98" i="20"/>
  <c r="Q98" i="20" s="1"/>
  <c r="S98" i="20" s="1"/>
  <c r="H105" i="20"/>
  <c r="Q105" i="20" s="1"/>
  <c r="S105" i="20" s="1"/>
  <c r="H109" i="20"/>
  <c r="Q109" i="20" s="1"/>
  <c r="S109" i="20" s="1"/>
  <c r="H113" i="20"/>
  <c r="Q113" i="20" s="1"/>
  <c r="S113" i="20" s="1"/>
  <c r="H120" i="20"/>
  <c r="Q120" i="20" s="1"/>
  <c r="S120" i="20" s="1"/>
  <c r="H124" i="20"/>
  <c r="Q124" i="20" s="1"/>
  <c r="S124" i="20" s="1"/>
  <c r="H131" i="20"/>
  <c r="Q131" i="20" s="1"/>
  <c r="S131" i="20" s="1"/>
  <c r="H135" i="20"/>
  <c r="Q135" i="20" s="1"/>
  <c r="S135" i="20" s="1"/>
  <c r="H139" i="20"/>
  <c r="Q139" i="20" s="1"/>
  <c r="S139" i="20" s="1"/>
  <c r="H146" i="20"/>
  <c r="Q146" i="20" s="1"/>
  <c r="S146" i="20" s="1"/>
  <c r="H150" i="20"/>
  <c r="Q150" i="20" s="1"/>
  <c r="S150" i="20" s="1"/>
  <c r="H154" i="20"/>
  <c r="Q154" i="20" s="1"/>
  <c r="S154" i="20" s="1"/>
  <c r="H161" i="20"/>
  <c r="Q161" i="20" s="1"/>
  <c r="S161" i="20" s="1"/>
  <c r="H165" i="20"/>
  <c r="Q165" i="20" s="1"/>
  <c r="S165" i="20" s="1"/>
  <c r="H169" i="20"/>
  <c r="Q169" i="20" s="1"/>
  <c r="S169" i="20" s="1"/>
  <c r="H8" i="21"/>
  <c r="Q8" i="21" s="1"/>
  <c r="S8" i="21" s="1"/>
  <c r="Y17" i="21" s="1"/>
  <c r="H12" i="21"/>
  <c r="Q12" i="21" s="1"/>
  <c r="S12" i="21" s="1"/>
  <c r="Y21" i="21" s="1"/>
  <c r="H19" i="21"/>
  <c r="Q19" i="21" s="1"/>
  <c r="S19" i="21" s="1"/>
  <c r="AE14" i="21" s="1"/>
  <c r="H23" i="21"/>
  <c r="Q23" i="21" s="1"/>
  <c r="S23" i="21" s="1"/>
  <c r="AE18" i="21" s="1"/>
  <c r="H27" i="21"/>
  <c r="Q27" i="21" s="1"/>
  <c r="S27" i="21" s="1"/>
  <c r="AE22" i="21" s="1"/>
  <c r="H34" i="21"/>
  <c r="Q34" i="21" s="1"/>
  <c r="S34" i="21" s="1"/>
  <c r="AK15" i="21" s="1"/>
  <c r="H38" i="21"/>
  <c r="Q38" i="21" s="1"/>
  <c r="S38" i="21" s="1"/>
  <c r="AK19" i="21" s="1"/>
  <c r="H49" i="21"/>
  <c r="Q49" i="21" s="1"/>
  <c r="S49" i="21" s="1"/>
  <c r="AQ16" i="21" s="1"/>
  <c r="H53" i="21"/>
  <c r="Q53" i="21" s="1"/>
  <c r="S53" i="21" s="1"/>
  <c r="AQ20" i="21" s="1"/>
  <c r="H57" i="21"/>
  <c r="Q57" i="21" s="1"/>
  <c r="S57" i="21" s="1"/>
  <c r="AQ24" i="21" s="1"/>
  <c r="H64" i="21"/>
  <c r="Q64" i="21" s="1"/>
  <c r="S64" i="21" s="1"/>
  <c r="AW17" i="21" s="1"/>
  <c r="H68" i="21"/>
  <c r="Q68" i="21" s="1"/>
  <c r="S68" i="21" s="1"/>
  <c r="AW21" i="21" s="1"/>
  <c r="H75" i="21"/>
  <c r="Q75" i="21" s="1"/>
  <c r="S75" i="21" s="1"/>
  <c r="BC14" i="21" s="1"/>
  <c r="H79" i="21"/>
  <c r="Q79" i="21" s="1"/>
  <c r="S79" i="21" s="1"/>
  <c r="BC18" i="21" s="1"/>
  <c r="H90" i="21"/>
  <c r="Q90" i="21" s="1"/>
  <c r="S90" i="21" s="1"/>
  <c r="BI15" i="21" s="1"/>
  <c r="H94" i="21"/>
  <c r="Q94" i="21" s="1"/>
  <c r="S94" i="21" s="1"/>
  <c r="BI19" i="21" s="1"/>
  <c r="Q122" i="21"/>
  <c r="S122" i="21" s="1"/>
  <c r="BU19" i="21" s="1"/>
  <c r="Q126" i="21"/>
  <c r="S126" i="21" s="1"/>
  <c r="BU23" i="21" s="1"/>
  <c r="H61" i="19"/>
  <c r="Q61" i="19" s="1"/>
  <c r="S61" i="19" s="1"/>
  <c r="H110" i="19"/>
  <c r="Q110" i="19" s="1"/>
  <c r="S110" i="19" s="1"/>
  <c r="H117" i="19"/>
  <c r="Q117" i="19" s="1"/>
  <c r="S117" i="19" s="1"/>
  <c r="H162" i="19"/>
  <c r="Q162" i="19" s="1"/>
  <c r="S162" i="19" s="1"/>
  <c r="H35" i="20"/>
  <c r="Q35" i="20" s="1"/>
  <c r="S35" i="20" s="1"/>
  <c r="H132" i="20"/>
  <c r="Q132" i="20" s="1"/>
  <c r="S132" i="20" s="1"/>
  <c r="H151" i="20"/>
  <c r="Q151" i="20" s="1"/>
  <c r="S151" i="20" s="1"/>
  <c r="Q127" i="21"/>
  <c r="S127" i="21" s="1"/>
  <c r="H98" i="21"/>
  <c r="Q98" i="21" s="1"/>
  <c r="S98" i="21" s="1"/>
  <c r="BI23" i="21" s="1"/>
  <c r="H97" i="21"/>
  <c r="Q97" i="21" s="1"/>
  <c r="S97" i="21" s="1"/>
  <c r="BI22" i="21" s="1"/>
  <c r="H81" i="21"/>
  <c r="Q81" i="21" s="1"/>
  <c r="S81" i="21" s="1"/>
  <c r="BC20" i="21" s="1"/>
  <c r="H83" i="21"/>
  <c r="Q83" i="21" s="1"/>
  <c r="S83" i="21" s="1"/>
  <c r="BC22" i="21" s="1"/>
  <c r="H84" i="21"/>
  <c r="Q84" i="21" s="1"/>
  <c r="S84" i="21" s="1"/>
  <c r="BC23" i="21" s="1"/>
  <c r="H70" i="21"/>
  <c r="Q70" i="21" s="1"/>
  <c r="S70" i="21" s="1"/>
  <c r="AW23" i="21" s="1"/>
  <c r="H61" i="21"/>
  <c r="Q61" i="21" s="1"/>
  <c r="S61" i="21" s="1"/>
  <c r="AW14" i="21" s="1"/>
  <c r="H63" i="21"/>
  <c r="Q63" i="21" s="1"/>
  <c r="S63" i="21" s="1"/>
  <c r="AW16" i="21" s="1"/>
  <c r="H65" i="21"/>
  <c r="Q65" i="21" s="1"/>
  <c r="S65" i="21" s="1"/>
  <c r="AW18" i="21" s="1"/>
  <c r="H67" i="21"/>
  <c r="Q67" i="21" s="1"/>
  <c r="S67" i="21" s="1"/>
  <c r="AW20" i="21" s="1"/>
  <c r="H69" i="21"/>
  <c r="Q69" i="21" s="1"/>
  <c r="S69" i="21" s="1"/>
  <c r="AW22" i="21" s="1"/>
  <c r="H55" i="21"/>
  <c r="Q55" i="21" s="1"/>
  <c r="S55" i="21" s="1"/>
  <c r="AQ22" i="21" s="1"/>
  <c r="H56" i="21"/>
  <c r="Q56" i="21" s="1"/>
  <c r="S56" i="21" s="1"/>
  <c r="AQ23" i="21" s="1"/>
  <c r="H42" i="21"/>
  <c r="Q42" i="21" s="1"/>
  <c r="S42" i="21" s="1"/>
  <c r="AK23" i="21" s="1"/>
  <c r="H33" i="21"/>
  <c r="Q33" i="21" s="1"/>
  <c r="S33" i="21" s="1"/>
  <c r="AK14" i="21" s="1"/>
  <c r="H35" i="21"/>
  <c r="Q35" i="21" s="1"/>
  <c r="S35" i="21" s="1"/>
  <c r="AK16" i="21" s="1"/>
  <c r="H37" i="21"/>
  <c r="Q37" i="21" s="1"/>
  <c r="S37" i="21" s="1"/>
  <c r="AK18" i="21" s="1"/>
  <c r="H39" i="21"/>
  <c r="Q39" i="21" s="1"/>
  <c r="S39" i="21" s="1"/>
  <c r="AK20" i="21" s="1"/>
  <c r="H41" i="21"/>
  <c r="Q41" i="21" s="1"/>
  <c r="S41" i="21" s="1"/>
  <c r="AK22" i="21" s="1"/>
  <c r="H22" i="21"/>
  <c r="Q22" i="21" s="1"/>
  <c r="S22" i="21" s="1"/>
  <c r="AE17" i="21" s="1"/>
  <c r="H14" i="21"/>
  <c r="Q14" i="21" s="1"/>
  <c r="S14" i="21" s="1"/>
  <c r="Y23" i="21" s="1"/>
  <c r="H5" i="21"/>
  <c r="Q5" i="21" s="1"/>
  <c r="S5" i="21" s="1"/>
  <c r="Y14" i="21" s="1"/>
  <c r="H7" i="21"/>
  <c r="Q7" i="21" s="1"/>
  <c r="S7" i="21" s="1"/>
  <c r="Y16" i="21" s="1"/>
  <c r="H9" i="21"/>
  <c r="Q9" i="21" s="1"/>
  <c r="S9" i="21" s="1"/>
  <c r="Y18" i="21" s="1"/>
  <c r="H11" i="21"/>
  <c r="Q11" i="21" s="1"/>
  <c r="S11" i="21" s="1"/>
  <c r="Y20" i="21" s="1"/>
  <c r="H13" i="21"/>
  <c r="Q13" i="21" s="1"/>
  <c r="S13" i="21" s="1"/>
  <c r="Y22" i="21" s="1"/>
  <c r="H29" i="21"/>
  <c r="Q29" i="21" s="1"/>
  <c r="S29" i="21" s="1"/>
  <c r="AE24" i="21" s="1"/>
  <c r="H24" i="21"/>
  <c r="Q24" i="21" s="1"/>
  <c r="S24" i="21" s="1"/>
  <c r="AE19" i="21" s="1"/>
  <c r="H26" i="21"/>
  <c r="Q26" i="21" s="1"/>
  <c r="S26" i="21" s="1"/>
  <c r="AE21" i="21" s="1"/>
  <c r="H28" i="21"/>
  <c r="Q28" i="21" s="1"/>
  <c r="S28" i="21" s="1"/>
  <c r="AE23" i="21" s="1"/>
  <c r="H64" i="17"/>
  <c r="Q64" i="17" s="1"/>
  <c r="S64" i="17" s="1"/>
  <c r="CD20" i="15" l="1"/>
  <c r="BX15" i="13"/>
  <c r="AZ21" i="16"/>
  <c r="AB22" i="13"/>
  <c r="AB14" i="15"/>
  <c r="AT22" i="14"/>
  <c r="AT14" i="13"/>
  <c r="AB23" i="13"/>
  <c r="AB20" i="21"/>
  <c r="CJ16" i="16"/>
  <c r="AZ21" i="15"/>
  <c r="BL15" i="14"/>
  <c r="BX22" i="14"/>
  <c r="CJ17" i="18"/>
  <c r="BL17" i="15"/>
  <c r="CJ17" i="13"/>
  <c r="BR22" i="13"/>
  <c r="AB22" i="17"/>
  <c r="BX21" i="14"/>
  <c r="AH19" i="16"/>
  <c r="AZ15" i="20"/>
  <c r="AT22" i="17"/>
  <c r="BX19" i="14"/>
  <c r="BR17" i="14"/>
  <c r="BF20" i="15"/>
  <c r="CJ17" i="15"/>
  <c r="BF16" i="14"/>
  <c r="CD14" i="18"/>
  <c r="AB15" i="20"/>
  <c r="AT22" i="13"/>
  <c r="AB15" i="18"/>
  <c r="BR14" i="16"/>
  <c r="AH17" i="21"/>
  <c r="AN16" i="17"/>
  <c r="CP16" i="18"/>
  <c r="AT18" i="21"/>
  <c r="AB19" i="16"/>
  <c r="CJ17" i="14"/>
  <c r="BL21" i="13"/>
  <c r="AT21" i="16"/>
  <c r="AZ21" i="17"/>
  <c r="AN19" i="17"/>
  <c r="AH18" i="15"/>
  <c r="AB17" i="13"/>
  <c r="AB14" i="20"/>
  <c r="AH15" i="17"/>
  <c r="BF23" i="16"/>
  <c r="AB15" i="19"/>
  <c r="AB15" i="17"/>
  <c r="AZ19" i="15"/>
  <c r="BR22" i="14"/>
  <c r="AB15" i="13"/>
  <c r="AH19" i="14"/>
  <c r="BX22" i="16"/>
  <c r="AB18" i="13"/>
  <c r="CP16" i="20"/>
  <c r="BL19" i="16"/>
  <c r="AH22" i="14"/>
  <c r="CP16" i="13"/>
  <c r="AH22" i="13"/>
  <c r="BL17" i="20"/>
  <c r="CP14" i="17"/>
  <c r="CD16" i="17"/>
  <c r="BF16" i="17"/>
  <c r="AN17" i="17"/>
  <c r="AZ15" i="16"/>
  <c r="CJ21" i="15"/>
  <c r="BR22" i="15"/>
  <c r="CD16" i="14"/>
  <c r="AT14" i="14"/>
  <c r="BF24" i="13"/>
  <c r="AH20" i="13"/>
  <c r="BF15" i="18"/>
  <c r="CJ15" i="17"/>
  <c r="AH22" i="17"/>
  <c r="CP16" i="16"/>
  <c r="BF18" i="15"/>
  <c r="AN23" i="15"/>
  <c r="AH19" i="18"/>
  <c r="AB14" i="18"/>
  <c r="BX14" i="13"/>
  <c r="BF19" i="13"/>
  <c r="AH20" i="20"/>
  <c r="AH16" i="19"/>
  <c r="AN17" i="18"/>
  <c r="AB23" i="17"/>
  <c r="AN21" i="16"/>
  <c r="AZ15" i="15"/>
  <c r="AH20" i="15"/>
  <c r="BR14" i="14"/>
  <c r="CD20" i="13"/>
  <c r="AN22" i="21"/>
  <c r="CP17" i="13"/>
  <c r="AN19" i="20"/>
  <c r="AH14" i="19"/>
  <c r="AN15" i="18"/>
  <c r="CJ19" i="13"/>
  <c r="BL20" i="14"/>
  <c r="AZ15" i="21"/>
  <c r="CJ17" i="20"/>
  <c r="BR18" i="17"/>
  <c r="BL17" i="17"/>
  <c r="CP14" i="16"/>
  <c r="BR22" i="16"/>
  <c r="AN21" i="15"/>
  <c r="CP18" i="14"/>
  <c r="AZ19" i="14"/>
  <c r="BX14" i="19"/>
  <c r="AZ18" i="13"/>
  <c r="AZ16" i="21"/>
  <c r="CJ15" i="19"/>
  <c r="BR20" i="17"/>
  <c r="BF18" i="17"/>
  <c r="BR20" i="14"/>
  <c r="AH14" i="13"/>
  <c r="AH19" i="20"/>
  <c r="AB22" i="16"/>
  <c r="BL16" i="15"/>
  <c r="BR18" i="15"/>
  <c r="CJ15" i="18"/>
  <c r="BR20" i="16"/>
  <c r="AB21" i="16"/>
  <c r="AB17" i="14"/>
  <c r="AT21" i="14"/>
  <c r="AN16" i="14"/>
  <c r="AT14" i="19"/>
  <c r="AH20" i="18"/>
  <c r="AZ19" i="17"/>
  <c r="AH20" i="17"/>
  <c r="BL17" i="16"/>
  <c r="BL17" i="14"/>
  <c r="BX23" i="13"/>
  <c r="AN14" i="21"/>
  <c r="CD18" i="17"/>
  <c r="BF18" i="16"/>
  <c r="AN23" i="16"/>
  <c r="CD18" i="14"/>
  <c r="AZ21" i="14"/>
  <c r="AN16" i="16"/>
  <c r="AT17" i="15"/>
  <c r="CJ20" i="13"/>
  <c r="AH23" i="13"/>
  <c r="T169" i="20"/>
  <c r="U169" i="20"/>
  <c r="BI15" i="20"/>
  <c r="T90" i="20"/>
  <c r="BJ15" i="20" s="1"/>
  <c r="U90" i="20"/>
  <c r="BK15" i="20" s="1"/>
  <c r="Y17" i="20"/>
  <c r="T8" i="20"/>
  <c r="Z17" i="20" s="1"/>
  <c r="U8" i="20"/>
  <c r="AA17" i="20" s="1"/>
  <c r="BC14" i="19"/>
  <c r="U75" i="19"/>
  <c r="BE14" i="19" s="1"/>
  <c r="T75" i="19"/>
  <c r="BD14" i="19" s="1"/>
  <c r="CM17" i="18"/>
  <c r="T162" i="18"/>
  <c r="CN17" i="18" s="1"/>
  <c r="U162" i="18"/>
  <c r="CO17" i="18" s="1"/>
  <c r="U99" i="18"/>
  <c r="T99" i="18"/>
  <c r="AE15" i="18"/>
  <c r="T20" i="18"/>
  <c r="AF15" i="18" s="1"/>
  <c r="U20" i="18"/>
  <c r="AG15" i="18" s="1"/>
  <c r="BO17" i="17"/>
  <c r="T106" i="17"/>
  <c r="BP17" i="17" s="1"/>
  <c r="U106" i="17"/>
  <c r="BQ17" i="17" s="1"/>
  <c r="AE19" i="17"/>
  <c r="T24" i="17"/>
  <c r="AF19" i="17" s="1"/>
  <c r="U24" i="17"/>
  <c r="AG19" i="17" s="1"/>
  <c r="CA15" i="16"/>
  <c r="U132" i="16"/>
  <c r="CC15" i="16" s="1"/>
  <c r="T132" i="16"/>
  <c r="CB15" i="16" s="1"/>
  <c r="AQ17" i="16"/>
  <c r="U50" i="16"/>
  <c r="AS17" i="16" s="1"/>
  <c r="T50" i="16"/>
  <c r="AR17" i="16" s="1"/>
  <c r="CA19" i="15"/>
  <c r="U136" i="15"/>
  <c r="CC19" i="15" s="1"/>
  <c r="T136" i="15"/>
  <c r="CB19" i="15" s="1"/>
  <c r="BI20" i="15"/>
  <c r="T95" i="15"/>
  <c r="BJ20" i="15" s="1"/>
  <c r="U95" i="15"/>
  <c r="BK20" i="15" s="1"/>
  <c r="Y21" i="15"/>
  <c r="T12" i="15"/>
  <c r="Z21" i="15" s="1"/>
  <c r="U12" i="15"/>
  <c r="AA21" i="15" s="1"/>
  <c r="BI23" i="14"/>
  <c r="U98" i="14"/>
  <c r="BK23" i="14" s="1"/>
  <c r="T98" i="14"/>
  <c r="BJ23" i="14" s="1"/>
  <c r="AE14" i="14"/>
  <c r="U19" i="14"/>
  <c r="AG14" i="14" s="1"/>
  <c r="T19" i="14"/>
  <c r="AF14" i="14" s="1"/>
  <c r="BO16" i="13"/>
  <c r="U105" i="13"/>
  <c r="BQ16" i="13" s="1"/>
  <c r="T105" i="13"/>
  <c r="BP16" i="13" s="1"/>
  <c r="AE18" i="13"/>
  <c r="T23" i="13"/>
  <c r="AF18" i="13" s="1"/>
  <c r="U23" i="13"/>
  <c r="AG18" i="13" s="1"/>
  <c r="AE21" i="13"/>
  <c r="U26" i="13"/>
  <c r="AG21" i="13" s="1"/>
  <c r="T26" i="13"/>
  <c r="AF21" i="13" s="1"/>
  <c r="AW19" i="13"/>
  <c r="T66" i="13"/>
  <c r="AX19" i="13" s="1"/>
  <c r="U66" i="13"/>
  <c r="AY19" i="13" s="1"/>
  <c r="BI17" i="13"/>
  <c r="T92" i="13"/>
  <c r="BJ17" i="13" s="1"/>
  <c r="U92" i="13"/>
  <c r="BK17" i="13" s="1"/>
  <c r="CA16" i="13"/>
  <c r="T133" i="13"/>
  <c r="CB16" i="13" s="1"/>
  <c r="U133" i="13"/>
  <c r="CC16" i="13" s="1"/>
  <c r="Y15" i="14"/>
  <c r="U6" i="14"/>
  <c r="AA15" i="14" s="1"/>
  <c r="T6" i="14"/>
  <c r="Z15" i="14" s="1"/>
  <c r="AK17" i="14"/>
  <c r="U36" i="14"/>
  <c r="AM17" i="14" s="1"/>
  <c r="T36" i="14"/>
  <c r="AL17" i="14" s="1"/>
  <c r="BC19" i="14"/>
  <c r="U80" i="14"/>
  <c r="BE19" i="14" s="1"/>
  <c r="T80" i="14"/>
  <c r="BD19" i="14" s="1"/>
  <c r="BU15" i="14"/>
  <c r="U118" i="14"/>
  <c r="BW15" i="14" s="1"/>
  <c r="T118" i="14"/>
  <c r="BV15" i="14" s="1"/>
  <c r="CG16" i="14"/>
  <c r="U147" i="14"/>
  <c r="CI16" i="14" s="1"/>
  <c r="T147" i="14"/>
  <c r="CH16" i="14" s="1"/>
  <c r="AE24" i="15"/>
  <c r="U29" i="15"/>
  <c r="AG24" i="15" s="1"/>
  <c r="T29" i="15"/>
  <c r="AF24" i="15" s="1"/>
  <c r="BI14" i="15"/>
  <c r="U89" i="15"/>
  <c r="BK14" i="15" s="1"/>
  <c r="T89" i="15"/>
  <c r="BJ14" i="15" s="1"/>
  <c r="CM18" i="15"/>
  <c r="U163" i="15"/>
  <c r="CO18" i="15" s="1"/>
  <c r="T163" i="15"/>
  <c r="CN18" i="15" s="1"/>
  <c r="AQ14" i="16"/>
  <c r="U47" i="16"/>
  <c r="AS14" i="16" s="1"/>
  <c r="T47" i="16"/>
  <c r="AR14" i="16" s="1"/>
  <c r="BU15" i="16"/>
  <c r="U118" i="16"/>
  <c r="BW15" i="16" s="1"/>
  <c r="T118" i="16"/>
  <c r="BV15" i="16" s="1"/>
  <c r="AK14" i="17"/>
  <c r="U33" i="17"/>
  <c r="AM14" i="17" s="1"/>
  <c r="T33" i="17"/>
  <c r="AL14" i="17" s="1"/>
  <c r="BI18" i="17"/>
  <c r="T93" i="17"/>
  <c r="BJ18" i="17" s="1"/>
  <c r="U93" i="17"/>
  <c r="BK18" i="17" s="1"/>
  <c r="Y17" i="18"/>
  <c r="T8" i="18"/>
  <c r="Z17" i="18" s="1"/>
  <c r="U8" i="18"/>
  <c r="AA17" i="18" s="1"/>
  <c r="U122" i="18"/>
  <c r="T122" i="18"/>
  <c r="U51" i="19"/>
  <c r="T51" i="19"/>
  <c r="U155" i="19"/>
  <c r="T155" i="19"/>
  <c r="AQ14" i="20"/>
  <c r="T47" i="20"/>
  <c r="AR14" i="20" s="1"/>
  <c r="U47" i="20"/>
  <c r="AS14" i="20" s="1"/>
  <c r="T152" i="20"/>
  <c r="U152" i="20"/>
  <c r="BX15" i="19"/>
  <c r="T94" i="18"/>
  <c r="U94" i="18"/>
  <c r="CJ17" i="17"/>
  <c r="AE14" i="17"/>
  <c r="U19" i="17"/>
  <c r="AG14" i="17" s="1"/>
  <c r="T19" i="17"/>
  <c r="AF14" i="17" s="1"/>
  <c r="BC14" i="16"/>
  <c r="U75" i="16"/>
  <c r="BE14" i="16" s="1"/>
  <c r="T75" i="16"/>
  <c r="BD14" i="16" s="1"/>
  <c r="AE18" i="16"/>
  <c r="U23" i="16"/>
  <c r="AG18" i="16" s="1"/>
  <c r="T23" i="16"/>
  <c r="AF18" i="16" s="1"/>
  <c r="CA14" i="15"/>
  <c r="U131" i="15"/>
  <c r="CC14" i="15" s="1"/>
  <c r="T131" i="15"/>
  <c r="CB14" i="15" s="1"/>
  <c r="BC14" i="15"/>
  <c r="U75" i="15"/>
  <c r="BE14" i="15" s="1"/>
  <c r="T75" i="15"/>
  <c r="BD14" i="15" s="1"/>
  <c r="AH20" i="14"/>
  <c r="CJ21" i="13"/>
  <c r="BF16" i="13"/>
  <c r="T122" i="20"/>
  <c r="U122" i="20"/>
  <c r="BC16" i="20"/>
  <c r="T77" i="20"/>
  <c r="BD16" i="20" s="1"/>
  <c r="U77" i="20"/>
  <c r="BE16" i="20" s="1"/>
  <c r="T167" i="19"/>
  <c r="U167" i="19"/>
  <c r="AW15" i="19"/>
  <c r="T62" i="19"/>
  <c r="AX15" i="19" s="1"/>
  <c r="U62" i="19"/>
  <c r="AY15" i="19" s="1"/>
  <c r="Y19" i="19"/>
  <c r="T10" i="19"/>
  <c r="Z19" i="19" s="1"/>
  <c r="U10" i="19"/>
  <c r="AA19" i="19" s="1"/>
  <c r="AW15" i="18"/>
  <c r="T62" i="18"/>
  <c r="AX15" i="18" s="1"/>
  <c r="U62" i="18"/>
  <c r="AY15" i="18" s="1"/>
  <c r="T122" i="17"/>
  <c r="U122" i="17"/>
  <c r="U141" i="16"/>
  <c r="T141" i="16"/>
  <c r="AN15" i="16"/>
  <c r="AT20" i="15"/>
  <c r="AN15" i="15"/>
  <c r="AK17" i="13"/>
  <c r="U36" i="13"/>
  <c r="AM17" i="13" s="1"/>
  <c r="T36" i="13"/>
  <c r="AL17" i="13" s="1"/>
  <c r="T165" i="20"/>
  <c r="U165" i="20"/>
  <c r="BO16" i="20"/>
  <c r="U105" i="20"/>
  <c r="BQ16" i="20" s="1"/>
  <c r="T105" i="20"/>
  <c r="BP16" i="20" s="1"/>
  <c r="AE18" i="20"/>
  <c r="T23" i="20"/>
  <c r="AF18" i="20" s="1"/>
  <c r="U23" i="20"/>
  <c r="AG18" i="20" s="1"/>
  <c r="U109" i="19"/>
  <c r="T109" i="19"/>
  <c r="AE22" i="19"/>
  <c r="T27" i="19"/>
  <c r="AF22" i="19" s="1"/>
  <c r="U27" i="19"/>
  <c r="AG22" i="19" s="1"/>
  <c r="T136" i="18"/>
  <c r="U136" i="18"/>
  <c r="U54" i="18"/>
  <c r="T54" i="18"/>
  <c r="U140" i="17"/>
  <c r="T140" i="17"/>
  <c r="AW14" i="17"/>
  <c r="U61" i="17"/>
  <c r="AY14" i="17" s="1"/>
  <c r="T61" i="17"/>
  <c r="AX14" i="17" s="1"/>
  <c r="U166" i="16"/>
  <c r="T166" i="16"/>
  <c r="BC23" i="16"/>
  <c r="U84" i="16"/>
  <c r="BE23" i="16" s="1"/>
  <c r="T84" i="16"/>
  <c r="BD23" i="16" s="1"/>
  <c r="Y14" i="16"/>
  <c r="T5" i="16"/>
  <c r="Z14" i="16" s="1"/>
  <c r="U5" i="16"/>
  <c r="AA14" i="16" s="1"/>
  <c r="AW22" i="15"/>
  <c r="T69" i="15"/>
  <c r="AX22" i="15" s="1"/>
  <c r="U69" i="15"/>
  <c r="AY22" i="15" s="1"/>
  <c r="T154" i="14"/>
  <c r="U154" i="14"/>
  <c r="BC14" i="14"/>
  <c r="T75" i="14"/>
  <c r="BD14" i="14" s="1"/>
  <c r="U75" i="14"/>
  <c r="BE14" i="14" s="1"/>
  <c r="Y21" i="14"/>
  <c r="U12" i="14"/>
  <c r="AA21" i="14" s="1"/>
  <c r="T12" i="14"/>
  <c r="Z21" i="14" s="1"/>
  <c r="BI23" i="13"/>
  <c r="T98" i="13"/>
  <c r="BJ23" i="13" s="1"/>
  <c r="U98" i="13"/>
  <c r="BK23" i="13" s="1"/>
  <c r="AE14" i="13"/>
  <c r="T19" i="13"/>
  <c r="AF14" i="13" s="1"/>
  <c r="U19" i="13"/>
  <c r="AG14" i="13" s="1"/>
  <c r="AE17" i="13"/>
  <c r="U22" i="13"/>
  <c r="AG17" i="13" s="1"/>
  <c r="T22" i="13"/>
  <c r="AF17" i="13" s="1"/>
  <c r="AE23" i="13"/>
  <c r="U28" i="13"/>
  <c r="AG23" i="13" s="1"/>
  <c r="T28" i="13"/>
  <c r="AF23" i="13" s="1"/>
  <c r="AQ17" i="13"/>
  <c r="U50" i="13"/>
  <c r="AS17" i="13" s="1"/>
  <c r="T50" i="13"/>
  <c r="AR17" i="13" s="1"/>
  <c r="AW22" i="13"/>
  <c r="U69" i="13"/>
  <c r="AY22" i="13" s="1"/>
  <c r="T69" i="13"/>
  <c r="AX22" i="13" s="1"/>
  <c r="BC17" i="13"/>
  <c r="U78" i="13"/>
  <c r="BE17" i="13" s="1"/>
  <c r="T78" i="13"/>
  <c r="BD17" i="13" s="1"/>
  <c r="BC24" i="13"/>
  <c r="T85" i="13"/>
  <c r="BD24" i="13" s="1"/>
  <c r="U85" i="13"/>
  <c r="BE24" i="13" s="1"/>
  <c r="BI18" i="13"/>
  <c r="T93" i="13"/>
  <c r="BJ18" i="13" s="1"/>
  <c r="U93" i="13"/>
  <c r="BK18" i="13" s="1"/>
  <c r="BI24" i="13"/>
  <c r="T99" i="13"/>
  <c r="BJ24" i="13" s="1"/>
  <c r="U99" i="13"/>
  <c r="BK24" i="13" s="1"/>
  <c r="BO21" i="13"/>
  <c r="U110" i="13"/>
  <c r="BQ21" i="13" s="1"/>
  <c r="T110" i="13"/>
  <c r="BP21" i="13" s="1"/>
  <c r="BU22" i="13"/>
  <c r="T125" i="13"/>
  <c r="BV22" i="13" s="1"/>
  <c r="U125" i="13"/>
  <c r="BW22" i="13" s="1"/>
  <c r="CA17" i="13"/>
  <c r="T134" i="13"/>
  <c r="CB17" i="13" s="1"/>
  <c r="U134" i="13"/>
  <c r="CC17" i="13" s="1"/>
  <c r="T141" i="13"/>
  <c r="U141" i="13"/>
  <c r="U155" i="13"/>
  <c r="T155" i="13"/>
  <c r="CM21" i="13"/>
  <c r="U166" i="13"/>
  <c r="CO21" i="13" s="1"/>
  <c r="T166" i="13"/>
  <c r="CN21" i="13" s="1"/>
  <c r="Y18" i="14"/>
  <c r="T9" i="14"/>
  <c r="Z18" i="14" s="1"/>
  <c r="U9" i="14"/>
  <c r="AA18" i="14" s="1"/>
  <c r="AE15" i="14"/>
  <c r="U20" i="14"/>
  <c r="AG15" i="14" s="1"/>
  <c r="T20" i="14"/>
  <c r="AF15" i="14" s="1"/>
  <c r="AE23" i="14"/>
  <c r="T28" i="14"/>
  <c r="AF23" i="14" s="1"/>
  <c r="U28" i="14"/>
  <c r="AG23" i="14" s="1"/>
  <c r="AK20" i="14"/>
  <c r="U39" i="14"/>
  <c r="AM20" i="14" s="1"/>
  <c r="T39" i="14"/>
  <c r="AL20" i="14" s="1"/>
  <c r="AQ18" i="14"/>
  <c r="U51" i="14"/>
  <c r="AS18" i="14" s="1"/>
  <c r="T51" i="14"/>
  <c r="AR18" i="14" s="1"/>
  <c r="AW18" i="14"/>
  <c r="T65" i="14"/>
  <c r="AX18" i="14" s="1"/>
  <c r="U65" i="14"/>
  <c r="AY18" i="14" s="1"/>
  <c r="U71" i="14"/>
  <c r="T71" i="14"/>
  <c r="BC20" i="14"/>
  <c r="T81" i="14"/>
  <c r="BD20" i="14" s="1"/>
  <c r="U81" i="14"/>
  <c r="BE20" i="14" s="1"/>
  <c r="BI16" i="14"/>
  <c r="U91" i="14"/>
  <c r="BK16" i="14" s="1"/>
  <c r="T91" i="14"/>
  <c r="BJ16" i="14" s="1"/>
  <c r="T99" i="14"/>
  <c r="U99" i="14"/>
  <c r="BO21" i="14"/>
  <c r="T110" i="14"/>
  <c r="BP21" i="14" s="1"/>
  <c r="U110" i="14"/>
  <c r="BQ21" i="14" s="1"/>
  <c r="BU18" i="14"/>
  <c r="T121" i="14"/>
  <c r="BV18" i="14" s="1"/>
  <c r="U121" i="14"/>
  <c r="BW18" i="14" s="1"/>
  <c r="U127" i="14"/>
  <c r="T127" i="14"/>
  <c r="CA20" i="14"/>
  <c r="T137" i="14"/>
  <c r="CB20" i="14" s="1"/>
  <c r="U137" i="14"/>
  <c r="CC20" i="14" s="1"/>
  <c r="U151" i="14"/>
  <c r="T151" i="14"/>
  <c r="CM14" i="14"/>
  <c r="T159" i="14"/>
  <c r="CN14" i="14" s="1"/>
  <c r="U159" i="14"/>
  <c r="CO14" i="14" s="1"/>
  <c r="Y18" i="15"/>
  <c r="T9" i="15"/>
  <c r="Z18" i="15" s="1"/>
  <c r="U9" i="15"/>
  <c r="AA18" i="15" s="1"/>
  <c r="AE14" i="15"/>
  <c r="U19" i="15"/>
  <c r="AG14" i="15" s="1"/>
  <c r="T19" i="15"/>
  <c r="AF14" i="15" s="1"/>
  <c r="AK17" i="15"/>
  <c r="U36" i="15"/>
  <c r="AM17" i="15" s="1"/>
  <c r="T36" i="15"/>
  <c r="AL17" i="15" s="1"/>
  <c r="AQ14" i="15"/>
  <c r="T47" i="15"/>
  <c r="AR14" i="15" s="1"/>
  <c r="U47" i="15"/>
  <c r="AS14" i="15" s="1"/>
  <c r="AW15" i="15"/>
  <c r="U62" i="15"/>
  <c r="AY15" i="15" s="1"/>
  <c r="T62" i="15"/>
  <c r="AX15" i="15" s="1"/>
  <c r="T71" i="15"/>
  <c r="U71" i="15"/>
  <c r="BI17" i="15"/>
  <c r="U92" i="15"/>
  <c r="BK17" i="15" s="1"/>
  <c r="T92" i="15"/>
  <c r="BJ17" i="15" s="1"/>
  <c r="U113" i="15"/>
  <c r="T113" i="15"/>
  <c r="U127" i="15"/>
  <c r="T127" i="15"/>
  <c r="CG14" i="15"/>
  <c r="T145" i="15"/>
  <c r="CH14" i="15" s="1"/>
  <c r="U145" i="15"/>
  <c r="CI14" i="15" s="1"/>
  <c r="T167" i="15"/>
  <c r="U167" i="15"/>
  <c r="AE16" i="16"/>
  <c r="U21" i="16"/>
  <c r="AG16" i="16" s="1"/>
  <c r="T21" i="16"/>
  <c r="AF16" i="16" s="1"/>
  <c r="AK14" i="16"/>
  <c r="T33" i="16"/>
  <c r="AL14" i="16" s="1"/>
  <c r="U33" i="16"/>
  <c r="AM14" i="16" s="1"/>
  <c r="AQ18" i="16"/>
  <c r="T51" i="16"/>
  <c r="AR18" i="16" s="1"/>
  <c r="U51" i="16"/>
  <c r="AS18" i="16" s="1"/>
  <c r="AW23" i="16"/>
  <c r="T70" i="16"/>
  <c r="AX23" i="16" s="1"/>
  <c r="U70" i="16"/>
  <c r="AY23" i="16" s="1"/>
  <c r="BI14" i="16"/>
  <c r="T89" i="16"/>
  <c r="BJ14" i="16" s="1"/>
  <c r="U89" i="16"/>
  <c r="BK14" i="16" s="1"/>
  <c r="BO18" i="16"/>
  <c r="T107" i="16"/>
  <c r="BP18" i="16" s="1"/>
  <c r="U107" i="16"/>
  <c r="BQ18" i="16" s="1"/>
  <c r="BU16" i="16"/>
  <c r="T119" i="16"/>
  <c r="BV16" i="16" s="1"/>
  <c r="U119" i="16"/>
  <c r="BW16" i="16" s="1"/>
  <c r="CG14" i="16"/>
  <c r="T145" i="16"/>
  <c r="CH14" i="16" s="1"/>
  <c r="U145" i="16"/>
  <c r="CI14" i="16" s="1"/>
  <c r="U169" i="16"/>
  <c r="T169" i="16"/>
  <c r="AE16" i="17"/>
  <c r="U21" i="17"/>
  <c r="AG16" i="17" s="1"/>
  <c r="T21" i="17"/>
  <c r="AF16" i="17" s="1"/>
  <c r="AK17" i="17"/>
  <c r="T36" i="17"/>
  <c r="AL17" i="17" s="1"/>
  <c r="U36" i="17"/>
  <c r="AM17" i="17" s="1"/>
  <c r="AW15" i="17"/>
  <c r="U62" i="17"/>
  <c r="AY15" i="17" s="1"/>
  <c r="T62" i="17"/>
  <c r="AX15" i="17" s="1"/>
  <c r="BC16" i="17"/>
  <c r="T77" i="17"/>
  <c r="BD16" i="17" s="1"/>
  <c r="U77" i="17"/>
  <c r="BE16" i="17" s="1"/>
  <c r="BO14" i="17"/>
  <c r="U103" i="17"/>
  <c r="BQ14" i="17" s="1"/>
  <c r="T103" i="17"/>
  <c r="BP14" i="17" s="1"/>
  <c r="BU15" i="17"/>
  <c r="U118" i="17"/>
  <c r="BW15" i="17" s="1"/>
  <c r="T118" i="17"/>
  <c r="BV15" i="17" s="1"/>
  <c r="T153" i="17"/>
  <c r="U153" i="17"/>
  <c r="Y21" i="18"/>
  <c r="T12" i="18"/>
  <c r="Z21" i="18" s="1"/>
  <c r="U12" i="18"/>
  <c r="AA21" i="18" s="1"/>
  <c r="AQ16" i="18"/>
  <c r="T49" i="18"/>
  <c r="AR16" i="18" s="1"/>
  <c r="U49" i="18"/>
  <c r="AS16" i="18" s="1"/>
  <c r="U111" i="18"/>
  <c r="T111" i="18"/>
  <c r="T153" i="18"/>
  <c r="U153" i="18"/>
  <c r="T92" i="18"/>
  <c r="U92" i="18"/>
  <c r="CM14" i="18"/>
  <c r="T159" i="18"/>
  <c r="CN14" i="18" s="1"/>
  <c r="U159" i="18"/>
  <c r="CO14" i="18" s="1"/>
  <c r="AE19" i="19"/>
  <c r="U24" i="19"/>
  <c r="AG19" i="19" s="1"/>
  <c r="T24" i="19"/>
  <c r="AF19" i="19" s="1"/>
  <c r="U70" i="19"/>
  <c r="T70" i="19"/>
  <c r="T95" i="19"/>
  <c r="U95" i="19"/>
  <c r="T121" i="19"/>
  <c r="U121" i="19"/>
  <c r="U151" i="19"/>
  <c r="T151" i="19"/>
  <c r="CG16" i="19"/>
  <c r="T147" i="19"/>
  <c r="CH16" i="19" s="1"/>
  <c r="U147" i="19"/>
  <c r="CI16" i="19" s="1"/>
  <c r="Y19" i="20"/>
  <c r="T10" i="20"/>
  <c r="Z19" i="20" s="1"/>
  <c r="U10" i="20"/>
  <c r="AA19" i="20" s="1"/>
  <c r="U29" i="20"/>
  <c r="T29" i="20"/>
  <c r="AQ18" i="20"/>
  <c r="T51" i="20"/>
  <c r="AR18" i="20" s="1"/>
  <c r="U51" i="20"/>
  <c r="AS18" i="20" s="1"/>
  <c r="T85" i="20"/>
  <c r="U85" i="20"/>
  <c r="T112" i="20"/>
  <c r="U112" i="20"/>
  <c r="U140" i="20"/>
  <c r="T140" i="20"/>
  <c r="T166" i="20"/>
  <c r="U166" i="20"/>
  <c r="CG16" i="20"/>
  <c r="U147" i="20"/>
  <c r="CI16" i="20" s="1"/>
  <c r="T147" i="20"/>
  <c r="CH16" i="20" s="1"/>
  <c r="BF20" i="21"/>
  <c r="AZ23" i="21"/>
  <c r="AN21" i="21"/>
  <c r="AH24" i="21"/>
  <c r="AH16" i="21"/>
  <c r="AB19" i="21"/>
  <c r="U169" i="18"/>
  <c r="T169" i="18"/>
  <c r="CP14" i="18"/>
  <c r="BI15" i="18"/>
  <c r="T90" i="18"/>
  <c r="BJ15" i="18" s="1"/>
  <c r="U90" i="18"/>
  <c r="BK15" i="18" s="1"/>
  <c r="AZ15" i="18"/>
  <c r="AT14" i="18"/>
  <c r="AK15" i="18"/>
  <c r="T34" i="18"/>
  <c r="AL15" i="18" s="1"/>
  <c r="U34" i="18"/>
  <c r="AM15" i="18" s="1"/>
  <c r="U165" i="17"/>
  <c r="T165" i="17"/>
  <c r="T154" i="17"/>
  <c r="U154" i="17"/>
  <c r="CG15" i="17"/>
  <c r="T146" i="17"/>
  <c r="CH15" i="17" s="1"/>
  <c r="U146" i="17"/>
  <c r="CI15" i="17" s="1"/>
  <c r="BO16" i="17"/>
  <c r="T105" i="17"/>
  <c r="BP16" i="17" s="1"/>
  <c r="U105" i="17"/>
  <c r="BQ16" i="17" s="1"/>
  <c r="BF20" i="17"/>
  <c r="BC14" i="17"/>
  <c r="T75" i="17"/>
  <c r="BD14" i="17" s="1"/>
  <c r="U75" i="17"/>
  <c r="BE14" i="17" s="1"/>
  <c r="AQ20" i="17"/>
  <c r="T53" i="17"/>
  <c r="AR20" i="17" s="1"/>
  <c r="U53" i="17"/>
  <c r="AS20" i="17" s="1"/>
  <c r="AN21" i="17"/>
  <c r="AK15" i="17"/>
  <c r="T34" i="17"/>
  <c r="AL15" i="17" s="1"/>
  <c r="U34" i="17"/>
  <c r="AM15" i="17" s="1"/>
  <c r="AE18" i="17"/>
  <c r="U23" i="17"/>
  <c r="AG18" i="17" s="1"/>
  <c r="T23" i="17"/>
  <c r="AF18" i="17" s="1"/>
  <c r="AB19" i="17"/>
  <c r="CJ17" i="16"/>
  <c r="BX15" i="16"/>
  <c r="BO20" i="16"/>
  <c r="T109" i="16"/>
  <c r="BP20" i="16" s="1"/>
  <c r="U109" i="16"/>
  <c r="BQ20" i="16" s="1"/>
  <c r="BL21" i="16"/>
  <c r="BI15" i="16"/>
  <c r="T90" i="16"/>
  <c r="BJ15" i="16" s="1"/>
  <c r="U90" i="16"/>
  <c r="BK15" i="16" s="1"/>
  <c r="BC18" i="16"/>
  <c r="T79" i="16"/>
  <c r="BD18" i="16" s="1"/>
  <c r="U79" i="16"/>
  <c r="BE18" i="16" s="1"/>
  <c r="AZ19" i="16"/>
  <c r="T57" i="16"/>
  <c r="U57" i="16"/>
  <c r="AT14" i="16"/>
  <c r="AK19" i="16"/>
  <c r="T38" i="16"/>
  <c r="AL19" i="16" s="1"/>
  <c r="U38" i="16"/>
  <c r="AM19" i="16" s="1"/>
  <c r="AE22" i="16"/>
  <c r="T27" i="16"/>
  <c r="AF22" i="16" s="1"/>
  <c r="U27" i="16"/>
  <c r="AG22" i="16" s="1"/>
  <c r="AB23" i="16"/>
  <c r="Y17" i="16"/>
  <c r="T8" i="16"/>
  <c r="Z17" i="16" s="1"/>
  <c r="U8" i="16"/>
  <c r="AA17" i="16" s="1"/>
  <c r="T165" i="15"/>
  <c r="U165" i="15"/>
  <c r="CG15" i="15"/>
  <c r="T146" i="15"/>
  <c r="CH15" i="15" s="1"/>
  <c r="U146" i="15"/>
  <c r="CI15" i="15" s="1"/>
  <c r="CA18" i="15"/>
  <c r="T135" i="15"/>
  <c r="CB18" i="15" s="1"/>
  <c r="U135" i="15"/>
  <c r="CC18" i="15" s="1"/>
  <c r="BU21" i="15"/>
  <c r="U124" i="15"/>
  <c r="BW21" i="15" s="1"/>
  <c r="T124" i="15"/>
  <c r="BV21" i="15" s="1"/>
  <c r="BO20" i="15"/>
  <c r="U109" i="15"/>
  <c r="BQ20" i="15" s="1"/>
  <c r="T109" i="15"/>
  <c r="BP20" i="15" s="1"/>
  <c r="BI15" i="15"/>
  <c r="U90" i="15"/>
  <c r="BK15" i="15" s="1"/>
  <c r="T90" i="15"/>
  <c r="BJ15" i="15" s="1"/>
  <c r="BC18" i="15"/>
  <c r="T79" i="15"/>
  <c r="BD18" i="15" s="1"/>
  <c r="U79" i="15"/>
  <c r="BE18" i="15" s="1"/>
  <c r="T57" i="15"/>
  <c r="U57" i="15"/>
  <c r="AT14" i="15"/>
  <c r="AK19" i="15"/>
  <c r="T38" i="15"/>
  <c r="AL19" i="15" s="1"/>
  <c r="U38" i="15"/>
  <c r="AM19" i="15" s="1"/>
  <c r="BX14" i="18"/>
  <c r="BF19" i="17"/>
  <c r="CD15" i="16"/>
  <c r="BX14" i="16"/>
  <c r="BF19" i="16"/>
  <c r="AZ22" i="16"/>
  <c r="CD15" i="15"/>
  <c r="BX14" i="15"/>
  <c r="CD15" i="14"/>
  <c r="BF19" i="14"/>
  <c r="AB14" i="14"/>
  <c r="BR17" i="13"/>
  <c r="AT17" i="13"/>
  <c r="AZ16" i="17"/>
  <c r="CD17" i="16"/>
  <c r="BX16" i="16"/>
  <c r="BR15" i="16"/>
  <c r="AH21" i="16"/>
  <c r="CJ14" i="15"/>
  <c r="AT15" i="15"/>
  <c r="AN18" i="15"/>
  <c r="BL18" i="13"/>
  <c r="AH17" i="13"/>
  <c r="CJ16" i="20"/>
  <c r="AZ14" i="19"/>
  <c r="CJ16" i="17"/>
  <c r="BX14" i="17"/>
  <c r="AZ18" i="17"/>
  <c r="AB14" i="17"/>
  <c r="AN20" i="16"/>
  <c r="AB14" i="16"/>
  <c r="BF15" i="15"/>
  <c r="AZ14" i="15"/>
  <c r="AN16" i="15"/>
  <c r="BF23" i="14"/>
  <c r="AN24" i="14"/>
  <c r="BL20" i="13"/>
  <c r="BF23" i="13"/>
  <c r="AN24" i="13"/>
  <c r="BL19" i="21"/>
  <c r="BF22" i="21"/>
  <c r="BF14" i="21"/>
  <c r="AZ17" i="21"/>
  <c r="AT20" i="21"/>
  <c r="AN23" i="21"/>
  <c r="AN15" i="21"/>
  <c r="AH18" i="21"/>
  <c r="AB21" i="21"/>
  <c r="T167" i="20"/>
  <c r="U167" i="20"/>
  <c r="CG17" i="20"/>
  <c r="T148" i="20"/>
  <c r="CH17" i="20" s="1"/>
  <c r="U148" i="20"/>
  <c r="CI17" i="20" s="1"/>
  <c r="U137" i="20"/>
  <c r="T137" i="20"/>
  <c r="U107" i="20"/>
  <c r="T107" i="20"/>
  <c r="T96" i="20"/>
  <c r="U96" i="20"/>
  <c r="AK17" i="20"/>
  <c r="T36" i="20"/>
  <c r="AL17" i="20" s="1"/>
  <c r="U36" i="20"/>
  <c r="AM17" i="20" s="1"/>
  <c r="AH22" i="20"/>
  <c r="AB21" i="20"/>
  <c r="U163" i="19"/>
  <c r="T163" i="19"/>
  <c r="T152" i="19"/>
  <c r="U152" i="19"/>
  <c r="CD14" i="19"/>
  <c r="U107" i="19"/>
  <c r="T107" i="19"/>
  <c r="U96" i="19"/>
  <c r="T96" i="19"/>
  <c r="U85" i="19"/>
  <c r="T85" i="19"/>
  <c r="BF14" i="19"/>
  <c r="AK17" i="19"/>
  <c r="T36" i="19"/>
  <c r="AL17" i="19" s="1"/>
  <c r="U36" i="19"/>
  <c r="AM17" i="19" s="1"/>
  <c r="AH18" i="19"/>
  <c r="Y23" i="19"/>
  <c r="U14" i="19"/>
  <c r="AA23" i="19" s="1"/>
  <c r="T14" i="19"/>
  <c r="Z23" i="19" s="1"/>
  <c r="T152" i="18"/>
  <c r="U152" i="18"/>
  <c r="U141" i="18"/>
  <c r="T141" i="18"/>
  <c r="BU15" i="18"/>
  <c r="U118" i="18"/>
  <c r="BW15" i="18" s="1"/>
  <c r="T118" i="18"/>
  <c r="BV15" i="18" s="1"/>
  <c r="BC16" i="18"/>
  <c r="T77" i="18"/>
  <c r="BD16" i="18" s="1"/>
  <c r="U77" i="18"/>
  <c r="BE16" i="18" s="1"/>
  <c r="T66" i="18"/>
  <c r="U66" i="18"/>
  <c r="T51" i="18"/>
  <c r="U51" i="18"/>
  <c r="T29" i="18"/>
  <c r="U29" i="18"/>
  <c r="AE16" i="18"/>
  <c r="T21" i="18"/>
  <c r="AF16" i="18" s="1"/>
  <c r="U21" i="18"/>
  <c r="AG16" i="18" s="1"/>
  <c r="AB21" i="18"/>
  <c r="Y15" i="18"/>
  <c r="T6" i="18"/>
  <c r="Z15" i="18" s="1"/>
  <c r="U6" i="18"/>
  <c r="AA15" i="18" s="1"/>
  <c r="CP16" i="17"/>
  <c r="U141" i="17"/>
  <c r="T141" i="17"/>
  <c r="BL19" i="17"/>
  <c r="AT20" i="17"/>
  <c r="Y23" i="17"/>
  <c r="U14" i="17"/>
  <c r="AA23" i="17" s="1"/>
  <c r="T14" i="17"/>
  <c r="Z23" i="17" s="1"/>
  <c r="AB17" i="17"/>
  <c r="T152" i="16"/>
  <c r="U152" i="16"/>
  <c r="CD14" i="16"/>
  <c r="BI17" i="16"/>
  <c r="U92" i="16"/>
  <c r="BK17" i="16" s="1"/>
  <c r="T92" i="16"/>
  <c r="BJ17" i="16" s="1"/>
  <c r="CM14" i="15"/>
  <c r="T159" i="15"/>
  <c r="CN14" i="15" s="1"/>
  <c r="U159" i="15"/>
  <c r="CO14" i="15" s="1"/>
  <c r="CJ15" i="15"/>
  <c r="CD18" i="15"/>
  <c r="BX21" i="15"/>
  <c r="BR20" i="15"/>
  <c r="BL19" i="15"/>
  <c r="AE16" i="15"/>
  <c r="U21" i="15"/>
  <c r="AG16" i="15" s="1"/>
  <c r="T21" i="15"/>
  <c r="AF16" i="15" s="1"/>
  <c r="AB21" i="15"/>
  <c r="T167" i="14"/>
  <c r="U167" i="14"/>
  <c r="CG17" i="14"/>
  <c r="T148" i="14"/>
  <c r="CH17" i="14" s="1"/>
  <c r="U148" i="14"/>
  <c r="CI17" i="14" s="1"/>
  <c r="AT20" i="14"/>
  <c r="AN23" i="14"/>
  <c r="CG17" i="13"/>
  <c r="U148" i="13"/>
  <c r="CI17" i="13" s="1"/>
  <c r="T148" i="13"/>
  <c r="CH17" i="13" s="1"/>
  <c r="CD22" i="13"/>
  <c r="CD14" i="13"/>
  <c r="BR20" i="13"/>
  <c r="BL23" i="13"/>
  <c r="BL15" i="13"/>
  <c r="BF18" i="13"/>
  <c r="AZ21" i="13"/>
  <c r="AT24" i="13"/>
  <c r="AN23" i="13"/>
  <c r="AZ22" i="21"/>
  <c r="AZ14" i="21"/>
  <c r="AN20" i="21"/>
  <c r="AH23" i="21"/>
  <c r="AH15" i="21"/>
  <c r="AB18" i="21"/>
  <c r="BX14" i="20"/>
  <c r="AH19" i="19"/>
  <c r="CD15" i="18"/>
  <c r="BR17" i="17"/>
  <c r="BX18" i="16"/>
  <c r="BR17" i="16"/>
  <c r="AZ18" i="16"/>
  <c r="AB18" i="16"/>
  <c r="CJ16" i="15"/>
  <c r="AH19" i="15"/>
  <c r="AB22" i="15"/>
  <c r="BF15" i="14"/>
  <c r="AH15" i="14"/>
  <c r="CD23" i="13"/>
  <c r="CD15" i="13"/>
  <c r="AT21" i="13"/>
  <c r="CA15" i="20"/>
  <c r="T132" i="20"/>
  <c r="CB15" i="20" s="1"/>
  <c r="U132" i="20"/>
  <c r="CC15" i="20" s="1"/>
  <c r="U150" i="20"/>
  <c r="T150" i="20"/>
  <c r="T68" i="20"/>
  <c r="U68" i="20"/>
  <c r="T154" i="19"/>
  <c r="U154" i="19"/>
  <c r="U94" i="19"/>
  <c r="T94" i="19"/>
  <c r="Y22" i="19"/>
  <c r="U13" i="19"/>
  <c r="AA22" i="19" s="1"/>
  <c r="T13" i="19"/>
  <c r="Z22" i="19" s="1"/>
  <c r="T121" i="18"/>
  <c r="U121" i="18"/>
  <c r="AK20" i="18"/>
  <c r="U39" i="18"/>
  <c r="AM20" i="18" s="1"/>
  <c r="T39" i="18"/>
  <c r="AL20" i="18" s="1"/>
  <c r="U125" i="17"/>
  <c r="T125" i="17"/>
  <c r="U43" i="17"/>
  <c r="T43" i="17"/>
  <c r="U151" i="16"/>
  <c r="T151" i="16"/>
  <c r="AW22" i="16"/>
  <c r="U69" i="16"/>
  <c r="AY22" i="16" s="1"/>
  <c r="T69" i="16"/>
  <c r="AX22" i="16" s="1"/>
  <c r="Y18" i="16"/>
  <c r="U9" i="16"/>
  <c r="AA18" i="16" s="1"/>
  <c r="T9" i="16"/>
  <c r="Z18" i="16" s="1"/>
  <c r="BC15" i="15"/>
  <c r="T76" i="15"/>
  <c r="BD15" i="15" s="1"/>
  <c r="U76" i="15"/>
  <c r="BE15" i="15" s="1"/>
  <c r="CM16" i="14"/>
  <c r="T161" i="14"/>
  <c r="CN16" i="14" s="1"/>
  <c r="U161" i="14"/>
  <c r="CO16" i="14" s="1"/>
  <c r="BC18" i="14"/>
  <c r="T79" i="14"/>
  <c r="BD18" i="14" s="1"/>
  <c r="U79" i="14"/>
  <c r="BE18" i="14" s="1"/>
  <c r="AK19" i="14"/>
  <c r="U38" i="14"/>
  <c r="AM19" i="14" s="1"/>
  <c r="T38" i="14"/>
  <c r="AL19" i="14" s="1"/>
  <c r="BU21" i="13"/>
  <c r="U124" i="13"/>
  <c r="BW21" i="13" s="1"/>
  <c r="T124" i="13"/>
  <c r="BV21" i="13" s="1"/>
  <c r="AK23" i="13"/>
  <c r="U42" i="13"/>
  <c r="AM23" i="13" s="1"/>
  <c r="T42" i="13"/>
  <c r="AL23" i="13" s="1"/>
  <c r="AE16" i="13"/>
  <c r="U21" i="13"/>
  <c r="AG16" i="13" s="1"/>
  <c r="T21" i="13"/>
  <c r="AF16" i="13" s="1"/>
  <c r="AQ23" i="13"/>
  <c r="U56" i="13"/>
  <c r="AS23" i="13" s="1"/>
  <c r="T56" i="13"/>
  <c r="AR23" i="13" s="1"/>
  <c r="BC23" i="13"/>
  <c r="T84" i="13"/>
  <c r="BD23" i="13" s="1"/>
  <c r="U84" i="13"/>
  <c r="BE23" i="13" s="1"/>
  <c r="BU18" i="13"/>
  <c r="T121" i="13"/>
  <c r="BV18" i="13" s="1"/>
  <c r="U121" i="13"/>
  <c r="BW18" i="13" s="1"/>
  <c r="CM18" i="13"/>
  <c r="T163" i="13"/>
  <c r="CN18" i="13" s="1"/>
  <c r="U163" i="13"/>
  <c r="CO18" i="13" s="1"/>
  <c r="AE20" i="14"/>
  <c r="U25" i="14"/>
  <c r="AG20" i="14" s="1"/>
  <c r="T25" i="14"/>
  <c r="AF20" i="14" s="1"/>
  <c r="AW23" i="14"/>
  <c r="U70" i="14"/>
  <c r="AY23" i="14" s="1"/>
  <c r="T70" i="14"/>
  <c r="AX23" i="14" s="1"/>
  <c r="BO18" i="14"/>
  <c r="U107" i="14"/>
  <c r="BQ18" i="14" s="1"/>
  <c r="T107" i="14"/>
  <c r="BP18" i="14" s="1"/>
  <c r="CA19" i="14"/>
  <c r="T136" i="14"/>
  <c r="CB19" i="14" s="1"/>
  <c r="U136" i="14"/>
  <c r="CC19" i="14" s="1"/>
  <c r="Y23" i="15"/>
  <c r="U14" i="15"/>
  <c r="AA23" i="15" s="1"/>
  <c r="T14" i="15"/>
  <c r="Z23" i="15" s="1"/>
  <c r="AW23" i="15"/>
  <c r="U70" i="15"/>
  <c r="AY23" i="15" s="1"/>
  <c r="T70" i="15"/>
  <c r="AX23" i="15" s="1"/>
  <c r="U141" i="15"/>
  <c r="T141" i="15"/>
  <c r="T29" i="16"/>
  <c r="U29" i="16"/>
  <c r="BO15" i="16"/>
  <c r="T104" i="16"/>
  <c r="BP15" i="16" s="1"/>
  <c r="U104" i="16"/>
  <c r="BQ15" i="16" s="1"/>
  <c r="Y19" i="17"/>
  <c r="U10" i="17"/>
  <c r="AA19" i="17" s="1"/>
  <c r="T10" i="17"/>
  <c r="Z19" i="17" s="1"/>
  <c r="T112" i="17"/>
  <c r="U112" i="17"/>
  <c r="AE18" i="18"/>
  <c r="T23" i="18"/>
  <c r="AF18" i="18" s="1"/>
  <c r="U23" i="18"/>
  <c r="AG18" i="18" s="1"/>
  <c r="U163" i="18"/>
  <c r="T163" i="18"/>
  <c r="T99" i="19"/>
  <c r="U99" i="19"/>
  <c r="Y18" i="20"/>
  <c r="T9" i="20"/>
  <c r="Z18" i="20" s="1"/>
  <c r="U9" i="20"/>
  <c r="AA18" i="20" s="1"/>
  <c r="U65" i="20"/>
  <c r="T65" i="20"/>
  <c r="BU16" i="20"/>
  <c r="U119" i="20"/>
  <c r="BW16" i="20" s="1"/>
  <c r="T119" i="20"/>
  <c r="BV16" i="20" s="1"/>
  <c r="U120" i="18"/>
  <c r="T120" i="18"/>
  <c r="T169" i="17"/>
  <c r="U169" i="17"/>
  <c r="AQ16" i="17"/>
  <c r="U49" i="17"/>
  <c r="AS16" i="17" s="1"/>
  <c r="T49" i="17"/>
  <c r="AR16" i="17" s="1"/>
  <c r="BU21" i="16"/>
  <c r="U124" i="16"/>
  <c r="BW21" i="16" s="1"/>
  <c r="T124" i="16"/>
  <c r="BV21" i="16" s="1"/>
  <c r="BF20" i="16"/>
  <c r="CM16" i="15"/>
  <c r="U161" i="15"/>
  <c r="CO16" i="15" s="1"/>
  <c r="T161" i="15"/>
  <c r="CN16" i="15" s="1"/>
  <c r="BO16" i="15"/>
  <c r="U105" i="15"/>
  <c r="BQ16" i="15" s="1"/>
  <c r="T105" i="15"/>
  <c r="BP16" i="15" s="1"/>
  <c r="AQ20" i="15"/>
  <c r="U53" i="15"/>
  <c r="AS20" i="15" s="1"/>
  <c r="T53" i="15"/>
  <c r="AR20" i="15" s="1"/>
  <c r="AB15" i="14"/>
  <c r="BL20" i="15"/>
  <c r="CP17" i="18"/>
  <c r="AH15" i="18"/>
  <c r="CD19" i="15"/>
  <c r="U111" i="20"/>
  <c r="T111" i="20"/>
  <c r="T66" i="20"/>
  <c r="U66" i="20"/>
  <c r="T111" i="19"/>
  <c r="U111" i="19"/>
  <c r="T40" i="19"/>
  <c r="U40" i="19"/>
  <c r="T70" i="18"/>
  <c r="U70" i="18"/>
  <c r="AQ14" i="17"/>
  <c r="U47" i="17"/>
  <c r="AS14" i="17" s="1"/>
  <c r="T47" i="17"/>
  <c r="AR14" i="17" s="1"/>
  <c r="BU19" i="16"/>
  <c r="U122" i="16"/>
  <c r="BW19" i="16" s="1"/>
  <c r="T122" i="16"/>
  <c r="BV19" i="16" s="1"/>
  <c r="AH18" i="16"/>
  <c r="CP16" i="15"/>
  <c r="BR16" i="15"/>
  <c r="U152" i="14"/>
  <c r="T152" i="14"/>
  <c r="CG15" i="20"/>
  <c r="T146" i="20"/>
  <c r="CH15" i="20" s="1"/>
  <c r="U146" i="20"/>
  <c r="CI15" i="20" s="1"/>
  <c r="T83" i="20"/>
  <c r="U83" i="20"/>
  <c r="T169" i="19"/>
  <c r="U169" i="19"/>
  <c r="BI15" i="19"/>
  <c r="U90" i="19"/>
  <c r="BK15" i="19" s="1"/>
  <c r="T90" i="19"/>
  <c r="BJ15" i="19" s="1"/>
  <c r="Y18" i="19"/>
  <c r="U9" i="19"/>
  <c r="AA18" i="19" s="1"/>
  <c r="T9" i="19"/>
  <c r="Z18" i="19" s="1"/>
  <c r="BU14" i="18"/>
  <c r="T117" i="18"/>
  <c r="BV14" i="18" s="1"/>
  <c r="U117" i="18"/>
  <c r="BW14" i="18" s="1"/>
  <c r="AK16" i="18"/>
  <c r="U35" i="18"/>
  <c r="AM16" i="18" s="1"/>
  <c r="T35" i="18"/>
  <c r="AL16" i="18" s="1"/>
  <c r="T121" i="17"/>
  <c r="U121" i="17"/>
  <c r="AK20" i="17"/>
  <c r="T39" i="17"/>
  <c r="AL20" i="17" s="1"/>
  <c r="U39" i="17"/>
  <c r="AM20" i="17" s="1"/>
  <c r="CG16" i="16"/>
  <c r="U147" i="16"/>
  <c r="CI16" i="16" s="1"/>
  <c r="T147" i="16"/>
  <c r="CH16" i="16" s="1"/>
  <c r="AW18" i="16"/>
  <c r="T65" i="16"/>
  <c r="AX18" i="16" s="1"/>
  <c r="U65" i="16"/>
  <c r="AY18" i="16" s="1"/>
  <c r="CG20" i="15"/>
  <c r="U151" i="15"/>
  <c r="CI20" i="15" s="1"/>
  <c r="T151" i="15"/>
  <c r="CH20" i="15" s="1"/>
  <c r="BI16" i="15"/>
  <c r="T91" i="15"/>
  <c r="BJ16" i="15" s="1"/>
  <c r="U91" i="15"/>
  <c r="BK16" i="15" s="1"/>
  <c r="AE23" i="15"/>
  <c r="T28" i="15"/>
  <c r="AF23" i="15" s="1"/>
  <c r="U28" i="15"/>
  <c r="AG23" i="15" s="1"/>
  <c r="T113" i="14"/>
  <c r="U113" i="14"/>
  <c r="AK15" i="14"/>
  <c r="T34" i="14"/>
  <c r="AL15" i="14" s="1"/>
  <c r="U34" i="14"/>
  <c r="AM15" i="14" s="1"/>
  <c r="BU17" i="13"/>
  <c r="T120" i="13"/>
  <c r="BV17" i="13" s="1"/>
  <c r="U120" i="13"/>
  <c r="BW17" i="13" s="1"/>
  <c r="AQ24" i="13"/>
  <c r="T57" i="13"/>
  <c r="AR24" i="13" s="1"/>
  <c r="U57" i="13"/>
  <c r="AS24" i="13" s="1"/>
  <c r="Y22" i="13"/>
  <c r="T13" i="13"/>
  <c r="Z22" i="13" s="1"/>
  <c r="U13" i="13"/>
  <c r="AA22" i="13" s="1"/>
  <c r="AW14" i="13"/>
  <c r="U61" i="13"/>
  <c r="AY14" i="13" s="1"/>
  <c r="T61" i="13"/>
  <c r="AX14" i="13" s="1"/>
  <c r="CM17" i="19"/>
  <c r="U162" i="19"/>
  <c r="CO17" i="19" s="1"/>
  <c r="T162" i="19"/>
  <c r="CN17" i="19" s="1"/>
  <c r="CM16" i="20"/>
  <c r="T161" i="20"/>
  <c r="CN16" i="20" s="1"/>
  <c r="U161" i="20"/>
  <c r="CO16" i="20" s="1"/>
  <c r="U98" i="20"/>
  <c r="T98" i="20"/>
  <c r="AK19" i="20"/>
  <c r="U38" i="20"/>
  <c r="AM19" i="20" s="1"/>
  <c r="T38" i="20"/>
  <c r="AL19" i="20" s="1"/>
  <c r="CG15" i="19"/>
  <c r="U146" i="19"/>
  <c r="CI15" i="19" s="1"/>
  <c r="T146" i="19"/>
  <c r="CH15" i="19" s="1"/>
  <c r="AW17" i="19"/>
  <c r="U64" i="19"/>
  <c r="AY17" i="19" s="1"/>
  <c r="T64" i="19"/>
  <c r="AX17" i="19" s="1"/>
  <c r="Y14" i="19"/>
  <c r="U5" i="19"/>
  <c r="AA14" i="19" s="1"/>
  <c r="T5" i="19"/>
  <c r="Z14" i="19" s="1"/>
  <c r="T110" i="18"/>
  <c r="U110" i="18"/>
  <c r="AQ17" i="18"/>
  <c r="U50" i="18"/>
  <c r="AS17" i="18" s="1"/>
  <c r="T50" i="18"/>
  <c r="AR17" i="18" s="1"/>
  <c r="T155" i="17"/>
  <c r="U155" i="17"/>
  <c r="BI20" i="17"/>
  <c r="U95" i="17"/>
  <c r="BK20" i="17" s="1"/>
  <c r="T95" i="17"/>
  <c r="BJ20" i="17" s="1"/>
  <c r="AK16" i="17"/>
  <c r="T35" i="17"/>
  <c r="AL16" i="17" s="1"/>
  <c r="U35" i="17"/>
  <c r="AM16" i="17" s="1"/>
  <c r="U140" i="16"/>
  <c r="T140" i="16"/>
  <c r="BC19" i="16"/>
  <c r="U80" i="16"/>
  <c r="BE19" i="16" s="1"/>
  <c r="T80" i="16"/>
  <c r="BD19" i="16" s="1"/>
  <c r="AE15" i="16"/>
  <c r="T20" i="16"/>
  <c r="AF15" i="16" s="1"/>
  <c r="U20" i="16"/>
  <c r="AG15" i="16" s="1"/>
  <c r="BU22" i="15"/>
  <c r="T125" i="15"/>
  <c r="BV22" i="15" s="1"/>
  <c r="U125" i="15"/>
  <c r="BW22" i="15" s="1"/>
  <c r="AW18" i="15"/>
  <c r="U65" i="15"/>
  <c r="AY18" i="15" s="1"/>
  <c r="T65" i="15"/>
  <c r="AX18" i="15" s="1"/>
  <c r="T169" i="14"/>
  <c r="U169" i="14"/>
  <c r="BO20" i="14"/>
  <c r="U109" i="14"/>
  <c r="BQ20" i="14" s="1"/>
  <c r="T109" i="14"/>
  <c r="BP20" i="14" s="1"/>
  <c r="AQ16" i="14"/>
  <c r="U49" i="14"/>
  <c r="AS16" i="14" s="1"/>
  <c r="T49" i="14"/>
  <c r="AR16" i="14" s="1"/>
  <c r="CG23" i="13"/>
  <c r="U154" i="13"/>
  <c r="CI23" i="13" s="1"/>
  <c r="T154" i="13"/>
  <c r="CH23" i="13" s="1"/>
  <c r="BI19" i="13"/>
  <c r="T94" i="13"/>
  <c r="BJ19" i="13" s="1"/>
  <c r="U94" i="13"/>
  <c r="BK19" i="13" s="1"/>
  <c r="AK15" i="13"/>
  <c r="U34" i="13"/>
  <c r="AM15" i="13" s="1"/>
  <c r="T34" i="13"/>
  <c r="AL15" i="13" s="1"/>
  <c r="Y23" i="13"/>
  <c r="U14" i="13"/>
  <c r="AA23" i="13" s="1"/>
  <c r="T14" i="13"/>
  <c r="Z23" i="13" s="1"/>
  <c r="AK21" i="13"/>
  <c r="U40" i="13"/>
  <c r="AM21" i="13" s="1"/>
  <c r="T40" i="13"/>
  <c r="AL21" i="13" s="1"/>
  <c r="AW23" i="13"/>
  <c r="U70" i="13"/>
  <c r="AY23" i="13" s="1"/>
  <c r="T70" i="13"/>
  <c r="AX23" i="13" s="1"/>
  <c r="BI20" i="13"/>
  <c r="T95" i="13"/>
  <c r="BJ20" i="13" s="1"/>
  <c r="U95" i="13"/>
  <c r="BK20" i="13" s="1"/>
  <c r="BU23" i="13"/>
  <c r="T126" i="13"/>
  <c r="BV23" i="13" s="1"/>
  <c r="U126" i="13"/>
  <c r="BW23" i="13" s="1"/>
  <c r="CM14" i="13"/>
  <c r="U159" i="13"/>
  <c r="CO14" i="13" s="1"/>
  <c r="T159" i="13"/>
  <c r="CN14" i="13" s="1"/>
  <c r="AE16" i="14"/>
  <c r="U21" i="14"/>
  <c r="AG16" i="14" s="1"/>
  <c r="T21" i="14"/>
  <c r="AF16" i="14" s="1"/>
  <c r="AQ21" i="14"/>
  <c r="U54" i="14"/>
  <c r="AS21" i="14" s="1"/>
  <c r="T54" i="14"/>
  <c r="AR21" i="14" s="1"/>
  <c r="BC23" i="14"/>
  <c r="U84" i="14"/>
  <c r="BE23" i="14" s="1"/>
  <c r="T84" i="14"/>
  <c r="BD23" i="14" s="1"/>
  <c r="BO22" i="14"/>
  <c r="U111" i="14"/>
  <c r="BQ22" i="14" s="1"/>
  <c r="T111" i="14"/>
  <c r="BP22" i="14" s="1"/>
  <c r="U140" i="14"/>
  <c r="T140" i="14"/>
  <c r="Y20" i="15"/>
  <c r="T11" i="15"/>
  <c r="Z20" i="15" s="1"/>
  <c r="U11" i="15"/>
  <c r="AA20" i="15" s="1"/>
  <c r="AQ18" i="15"/>
  <c r="U51" i="15"/>
  <c r="AS18" i="15" s="1"/>
  <c r="T51" i="15"/>
  <c r="AR18" i="15" s="1"/>
  <c r="BU15" i="15"/>
  <c r="U118" i="15"/>
  <c r="BW15" i="15" s="1"/>
  <c r="T118" i="15"/>
  <c r="BV15" i="15" s="1"/>
  <c r="Y15" i="16"/>
  <c r="T6" i="16"/>
  <c r="Z15" i="16" s="1"/>
  <c r="U6" i="16"/>
  <c r="AA15" i="16" s="1"/>
  <c r="AQ22" i="16"/>
  <c r="T55" i="16"/>
  <c r="AR22" i="16" s="1"/>
  <c r="U55" i="16"/>
  <c r="AS22" i="16" s="1"/>
  <c r="BO22" i="16"/>
  <c r="U111" i="16"/>
  <c r="BQ22" i="16" s="1"/>
  <c r="T111" i="16"/>
  <c r="BP22" i="16" s="1"/>
  <c r="T165" i="16"/>
  <c r="U165" i="16"/>
  <c r="AW16" i="17"/>
  <c r="U63" i="17"/>
  <c r="AY16" i="17" s="1"/>
  <c r="T63" i="17"/>
  <c r="AX16" i="17" s="1"/>
  <c r="T123" i="17"/>
  <c r="U123" i="17"/>
  <c r="Y23" i="18"/>
  <c r="U14" i="18"/>
  <c r="AA23" i="18" s="1"/>
  <c r="T14" i="18"/>
  <c r="Z23" i="18" s="1"/>
  <c r="U55" i="18"/>
  <c r="T55" i="18"/>
  <c r="T107" i="18"/>
  <c r="U107" i="18"/>
  <c r="T149" i="18"/>
  <c r="U149" i="18"/>
  <c r="Y15" i="19"/>
  <c r="U6" i="19"/>
  <c r="AA15" i="19" s="1"/>
  <c r="T6" i="19"/>
  <c r="Z15" i="19" s="1"/>
  <c r="U39" i="19"/>
  <c r="T39" i="19"/>
  <c r="U66" i="19"/>
  <c r="T66" i="19"/>
  <c r="T112" i="19"/>
  <c r="U112" i="19"/>
  <c r="T141" i="19"/>
  <c r="U141" i="19"/>
  <c r="T166" i="19"/>
  <c r="U166" i="19"/>
  <c r="Y14" i="20"/>
  <c r="U5" i="20"/>
  <c r="AA14" i="20" s="1"/>
  <c r="T5" i="20"/>
  <c r="Z14" i="20" s="1"/>
  <c r="AE19" i="20"/>
  <c r="U24" i="20"/>
  <c r="AG19" i="20" s="1"/>
  <c r="T24" i="20"/>
  <c r="AF19" i="20" s="1"/>
  <c r="U40" i="20"/>
  <c r="T40" i="20"/>
  <c r="U54" i="20"/>
  <c r="T54" i="20"/>
  <c r="U81" i="20"/>
  <c r="T81" i="20"/>
  <c r="T108" i="20"/>
  <c r="U108" i="20"/>
  <c r="U136" i="20"/>
  <c r="T136" i="20"/>
  <c r="BI17" i="20"/>
  <c r="T92" i="20"/>
  <c r="BJ17" i="20" s="1"/>
  <c r="U92" i="20"/>
  <c r="BK17" i="20" s="1"/>
  <c r="CM14" i="20"/>
  <c r="T159" i="20"/>
  <c r="CN14" i="20" s="1"/>
  <c r="U159" i="20"/>
  <c r="CO14" i="20" s="1"/>
  <c r="CP14" i="20"/>
  <c r="CD16" i="20"/>
  <c r="BR14" i="20"/>
  <c r="BF16" i="20"/>
  <c r="AT18" i="20"/>
  <c r="AH16" i="20"/>
  <c r="AB19" i="20"/>
  <c r="CP14" i="19"/>
  <c r="BR14" i="19"/>
  <c r="AZ15" i="19"/>
  <c r="AB19" i="19"/>
  <c r="U165" i="18"/>
  <c r="T165" i="18"/>
  <c r="T154" i="18"/>
  <c r="U154" i="18"/>
  <c r="CG15" i="18"/>
  <c r="U146" i="18"/>
  <c r="CI15" i="18" s="1"/>
  <c r="T146" i="18"/>
  <c r="CH15" i="18" s="1"/>
  <c r="CD16" i="18"/>
  <c r="BR14" i="18"/>
  <c r="T83" i="18"/>
  <c r="U83" i="18"/>
  <c r="BC14" i="18"/>
  <c r="T75" i="18"/>
  <c r="BD14" i="18" s="1"/>
  <c r="U75" i="18"/>
  <c r="BE14" i="18" s="1"/>
  <c r="T57" i="18"/>
  <c r="U57" i="18"/>
  <c r="AK19" i="18"/>
  <c r="T38" i="18"/>
  <c r="AL19" i="18" s="1"/>
  <c r="U38" i="18"/>
  <c r="AM19" i="18" s="1"/>
  <c r="CM16" i="17"/>
  <c r="T161" i="17"/>
  <c r="CN16" i="17" s="1"/>
  <c r="U161" i="17"/>
  <c r="CO16" i="17" s="1"/>
  <c r="U150" i="17"/>
  <c r="T150" i="17"/>
  <c r="T139" i="17"/>
  <c r="U139" i="17"/>
  <c r="CA14" i="17"/>
  <c r="U131" i="17"/>
  <c r="CC14" i="17" s="1"/>
  <c r="T131" i="17"/>
  <c r="CB14" i="17" s="1"/>
  <c r="BX15" i="17"/>
  <c r="BO20" i="17"/>
  <c r="U109" i="17"/>
  <c r="BQ20" i="17" s="1"/>
  <c r="T109" i="17"/>
  <c r="BP20" i="17" s="1"/>
  <c r="BI15" i="17"/>
  <c r="U90" i="17"/>
  <c r="BK15" i="17" s="1"/>
  <c r="T90" i="17"/>
  <c r="BJ15" i="17" s="1"/>
  <c r="BC18" i="17"/>
  <c r="T79" i="17"/>
  <c r="BD18" i="17" s="1"/>
  <c r="U79" i="17"/>
  <c r="BE18" i="17" s="1"/>
  <c r="AW21" i="17"/>
  <c r="U68" i="17"/>
  <c r="AY21" i="17" s="1"/>
  <c r="T68" i="17"/>
  <c r="AX21" i="17" s="1"/>
  <c r="AZ15" i="17"/>
  <c r="AT14" i="17"/>
  <c r="AK19" i="17"/>
  <c r="U38" i="17"/>
  <c r="AM19" i="17" s="1"/>
  <c r="T38" i="17"/>
  <c r="AL19" i="17" s="1"/>
  <c r="AE22" i="17"/>
  <c r="U27" i="17"/>
  <c r="AG22" i="17" s="1"/>
  <c r="T27" i="17"/>
  <c r="AF22" i="17" s="1"/>
  <c r="Y17" i="17"/>
  <c r="U8" i="17"/>
  <c r="AA17" i="17" s="1"/>
  <c r="T8" i="17"/>
  <c r="Z17" i="17" s="1"/>
  <c r="CP18" i="16"/>
  <c r="T154" i="16"/>
  <c r="U154" i="16"/>
  <c r="CG15" i="16"/>
  <c r="T146" i="16"/>
  <c r="CH15" i="16" s="1"/>
  <c r="U146" i="16"/>
  <c r="CI15" i="16" s="1"/>
  <c r="BX19" i="16"/>
  <c r="U113" i="16"/>
  <c r="T113" i="16"/>
  <c r="BI19" i="16"/>
  <c r="U94" i="16"/>
  <c r="BK19" i="16" s="1"/>
  <c r="T94" i="16"/>
  <c r="BJ19" i="16" s="1"/>
  <c r="BC22" i="16"/>
  <c r="T83" i="16"/>
  <c r="BD22" i="16" s="1"/>
  <c r="U83" i="16"/>
  <c r="BE22" i="16" s="1"/>
  <c r="AZ23" i="16"/>
  <c r="AW17" i="16"/>
  <c r="T64" i="16"/>
  <c r="AX17" i="16" s="1"/>
  <c r="U64" i="16"/>
  <c r="AY17" i="16" s="1"/>
  <c r="AT18" i="16"/>
  <c r="AK23" i="16"/>
  <c r="T42" i="16"/>
  <c r="AL23" i="16" s="1"/>
  <c r="U42" i="16"/>
  <c r="AM23" i="16" s="1"/>
  <c r="AH16" i="16"/>
  <c r="Y21" i="16"/>
  <c r="U12" i="16"/>
  <c r="AA21" i="16" s="1"/>
  <c r="T12" i="16"/>
  <c r="Z21" i="16" s="1"/>
  <c r="CG19" i="15"/>
  <c r="T150" i="15"/>
  <c r="CH19" i="15" s="1"/>
  <c r="U150" i="15"/>
  <c r="CI19" i="15" s="1"/>
  <c r="CA22" i="15"/>
  <c r="U139" i="15"/>
  <c r="CC22" i="15" s="1"/>
  <c r="T139" i="15"/>
  <c r="CB22" i="15" s="1"/>
  <c r="BX15" i="15"/>
  <c r="BR14" i="15"/>
  <c r="BI19" i="15"/>
  <c r="T94" i="15"/>
  <c r="BJ19" i="15" s="1"/>
  <c r="U94" i="15"/>
  <c r="BK19" i="15" s="1"/>
  <c r="BC22" i="15"/>
  <c r="T83" i="15"/>
  <c r="BD22" i="15" s="1"/>
  <c r="U83" i="15"/>
  <c r="BE22" i="15" s="1"/>
  <c r="AZ23" i="15"/>
  <c r="AW17" i="15"/>
  <c r="U64" i="15"/>
  <c r="AY17" i="15" s="1"/>
  <c r="T64" i="15"/>
  <c r="AX17" i="15" s="1"/>
  <c r="AT18" i="15"/>
  <c r="AK23" i="15"/>
  <c r="U42" i="15"/>
  <c r="AM23" i="15" s="1"/>
  <c r="T42" i="15"/>
  <c r="AL23" i="15" s="1"/>
  <c r="AH24" i="15"/>
  <c r="AE18" i="15"/>
  <c r="U23" i="15"/>
  <c r="AG18" i="15" s="1"/>
  <c r="T23" i="15"/>
  <c r="AF18" i="15" s="1"/>
  <c r="AB23" i="15"/>
  <c r="AB15" i="15"/>
  <c r="CP14" i="14"/>
  <c r="CD20" i="14"/>
  <c r="BX23" i="14"/>
  <c r="BX15" i="14"/>
  <c r="BR18" i="14"/>
  <c r="BL21" i="14"/>
  <c r="BF20" i="14"/>
  <c r="AZ23" i="14"/>
  <c r="AZ15" i="14"/>
  <c r="AT18" i="14"/>
  <c r="AH24" i="14"/>
  <c r="AH16" i="14"/>
  <c r="AB19" i="14"/>
  <c r="CP22" i="13"/>
  <c r="CP14" i="13"/>
  <c r="CD16" i="13"/>
  <c r="BX19" i="13"/>
  <c r="BR14" i="13"/>
  <c r="BL17" i="13"/>
  <c r="BF20" i="13"/>
  <c r="AZ23" i="13"/>
  <c r="AZ15" i="13"/>
  <c r="AT18" i="13"/>
  <c r="AN21" i="13"/>
  <c r="AH24" i="13"/>
  <c r="AH16" i="13"/>
  <c r="AB19" i="13"/>
  <c r="AH23" i="18"/>
  <c r="AZ14" i="17"/>
  <c r="AB18" i="17"/>
  <c r="AT17" i="16"/>
  <c r="AZ14" i="14"/>
  <c r="AZ22" i="13"/>
  <c r="AH19" i="13"/>
  <c r="BL22" i="21"/>
  <c r="AZ20" i="21"/>
  <c r="AT23" i="21"/>
  <c r="AN18" i="21"/>
  <c r="AH21" i="21"/>
  <c r="AB16" i="21"/>
  <c r="BX16" i="20"/>
  <c r="CJ14" i="14"/>
  <c r="BL14" i="14"/>
  <c r="BL16" i="18"/>
  <c r="AT17" i="18"/>
  <c r="AB18" i="18"/>
  <c r="BL16" i="17"/>
  <c r="AH23" i="17"/>
  <c r="CD19" i="16"/>
  <c r="AZ14" i="16"/>
  <c r="AZ18" i="14"/>
  <c r="AH23" i="14"/>
  <c r="BX18" i="13"/>
  <c r="AB14" i="13"/>
  <c r="U163" i="20"/>
  <c r="T163" i="20"/>
  <c r="CD14" i="20"/>
  <c r="BX17" i="20"/>
  <c r="BF14" i="20"/>
  <c r="AZ17" i="20"/>
  <c r="AT16" i="20"/>
  <c r="AH14" i="20"/>
  <c r="CG17" i="19"/>
  <c r="T148" i="19"/>
  <c r="CH17" i="19" s="1"/>
  <c r="U148" i="19"/>
  <c r="CI17" i="19" s="1"/>
  <c r="CD18" i="19"/>
  <c r="U126" i="19"/>
  <c r="T126" i="19"/>
  <c r="U92" i="19"/>
  <c r="T92" i="19"/>
  <c r="T81" i="19"/>
  <c r="U81" i="19"/>
  <c r="AT16" i="19"/>
  <c r="AH22" i="19"/>
  <c r="AE16" i="19"/>
  <c r="U21" i="19"/>
  <c r="AG16" i="19" s="1"/>
  <c r="T21" i="19"/>
  <c r="AF16" i="19" s="1"/>
  <c r="AB17" i="19"/>
  <c r="CG17" i="18"/>
  <c r="U148" i="18"/>
  <c r="CI17" i="18" s="1"/>
  <c r="T148" i="18"/>
  <c r="CH17" i="18" s="1"/>
  <c r="U137" i="18"/>
  <c r="T137" i="18"/>
  <c r="BL15" i="18"/>
  <c r="AN19" i="18"/>
  <c r="AE20" i="18"/>
  <c r="U25" i="18"/>
  <c r="AG20" i="18" s="1"/>
  <c r="T25" i="18"/>
  <c r="AF20" i="18" s="1"/>
  <c r="Y19" i="18"/>
  <c r="T10" i="18"/>
  <c r="Z19" i="18" s="1"/>
  <c r="U10" i="18"/>
  <c r="AA19" i="18" s="1"/>
  <c r="T167" i="17"/>
  <c r="U167" i="17"/>
  <c r="T152" i="17"/>
  <c r="U152" i="17"/>
  <c r="T137" i="17"/>
  <c r="U137" i="17"/>
  <c r="CD14" i="17"/>
  <c r="BX17" i="17"/>
  <c r="BR16" i="17"/>
  <c r="BF22" i="17"/>
  <c r="BF14" i="17"/>
  <c r="AZ17" i="17"/>
  <c r="AN23" i="17"/>
  <c r="AN15" i="17"/>
  <c r="AH18" i="17"/>
  <c r="T167" i="16"/>
  <c r="U167" i="16"/>
  <c r="CD18" i="16"/>
  <c r="BX17" i="16"/>
  <c r="BR16" i="16"/>
  <c r="BF22" i="16"/>
  <c r="BF14" i="16"/>
  <c r="AZ17" i="16"/>
  <c r="AT16" i="16"/>
  <c r="AN19" i="16"/>
  <c r="AH22" i="16"/>
  <c r="AH14" i="16"/>
  <c r="AB17" i="16"/>
  <c r="BO18" i="15"/>
  <c r="U107" i="15"/>
  <c r="BQ18" i="15" s="1"/>
  <c r="T107" i="15"/>
  <c r="BP18" i="15" s="1"/>
  <c r="BL23" i="15"/>
  <c r="BF22" i="15"/>
  <c r="BF14" i="15"/>
  <c r="AZ17" i="15"/>
  <c r="AT16" i="15"/>
  <c r="AN19" i="15"/>
  <c r="AH22" i="15"/>
  <c r="Y19" i="15"/>
  <c r="T10" i="15"/>
  <c r="Z19" i="15" s="1"/>
  <c r="U10" i="15"/>
  <c r="AA19" i="15" s="1"/>
  <c r="CD22" i="14"/>
  <c r="CD14" i="14"/>
  <c r="BX17" i="14"/>
  <c r="BR16" i="14"/>
  <c r="BL19" i="14"/>
  <c r="BF22" i="14"/>
  <c r="BF14" i="14"/>
  <c r="AZ17" i="14"/>
  <c r="AK21" i="14"/>
  <c r="U40" i="14"/>
  <c r="AM21" i="14" s="1"/>
  <c r="T40" i="14"/>
  <c r="AL21" i="14" s="1"/>
  <c r="AN15" i="14"/>
  <c r="AH18" i="14"/>
  <c r="AB21" i="14"/>
  <c r="CP20" i="13"/>
  <c r="CJ23" i="13"/>
  <c r="BX17" i="13"/>
  <c r="AT16" i="13"/>
  <c r="AN15" i="13"/>
  <c r="AH18" i="13"/>
  <c r="AB21" i="13"/>
  <c r="AN16" i="20"/>
  <c r="CP17" i="19"/>
  <c r="AB18" i="19"/>
  <c r="BL20" i="17"/>
  <c r="AT17" i="17"/>
  <c r="BL16" i="16"/>
  <c r="AH23" i="16"/>
  <c r="AH15" i="16"/>
  <c r="BX22" i="15"/>
  <c r="BF23" i="15"/>
  <c r="BX18" i="14"/>
  <c r="AB18" i="14"/>
  <c r="BF15" i="13"/>
  <c r="AN16" i="13"/>
  <c r="AH15" i="13"/>
  <c r="T110" i="19"/>
  <c r="U110" i="19"/>
  <c r="CA14" i="20"/>
  <c r="T131" i="20"/>
  <c r="CB14" i="20" s="1"/>
  <c r="U131" i="20"/>
  <c r="CC14" i="20" s="1"/>
  <c r="T109" i="20"/>
  <c r="U109" i="20"/>
  <c r="AQ16" i="20"/>
  <c r="T49" i="20"/>
  <c r="AR16" i="20" s="1"/>
  <c r="U49" i="20"/>
  <c r="AS16" i="20" s="1"/>
  <c r="AE22" i="20"/>
  <c r="U27" i="20"/>
  <c r="AG22" i="20" s="1"/>
  <c r="T27" i="20"/>
  <c r="AF22" i="20" s="1"/>
  <c r="CA18" i="19"/>
  <c r="T135" i="19"/>
  <c r="CB18" i="19" s="1"/>
  <c r="U135" i="19"/>
  <c r="CC18" i="19" s="1"/>
  <c r="U113" i="19"/>
  <c r="T113" i="19"/>
  <c r="U53" i="19"/>
  <c r="T53" i="19"/>
  <c r="AK15" i="19"/>
  <c r="U34" i="19"/>
  <c r="AM15" i="19" s="1"/>
  <c r="T34" i="19"/>
  <c r="AL15" i="19" s="1"/>
  <c r="T140" i="18"/>
  <c r="U140" i="18"/>
  <c r="U80" i="18"/>
  <c r="T80" i="18"/>
  <c r="AW14" i="18"/>
  <c r="U61" i="18"/>
  <c r="AY14" i="18" s="1"/>
  <c r="T61" i="18"/>
  <c r="AX14" i="18" s="1"/>
  <c r="U166" i="17"/>
  <c r="T166" i="17"/>
  <c r="CG16" i="17"/>
  <c r="U147" i="17"/>
  <c r="CI16" i="17" s="1"/>
  <c r="T147" i="17"/>
  <c r="CH16" i="17" s="1"/>
  <c r="T84" i="17"/>
  <c r="U84" i="17"/>
  <c r="AW18" i="17"/>
  <c r="T65" i="17"/>
  <c r="AX18" i="17" s="1"/>
  <c r="U65" i="17"/>
  <c r="AY18" i="17" s="1"/>
  <c r="Y14" i="17"/>
  <c r="U5" i="17"/>
  <c r="AA14" i="17" s="1"/>
  <c r="T5" i="17"/>
  <c r="Z14" i="17" s="1"/>
  <c r="BO21" i="16"/>
  <c r="T110" i="16"/>
  <c r="BP21" i="16" s="1"/>
  <c r="U110" i="16"/>
  <c r="BQ21" i="16" s="1"/>
  <c r="BI16" i="16"/>
  <c r="T91" i="16"/>
  <c r="BJ16" i="16" s="1"/>
  <c r="U91" i="16"/>
  <c r="BK16" i="16" s="1"/>
  <c r="AE23" i="16"/>
  <c r="U28" i="16"/>
  <c r="AG23" i="16" s="1"/>
  <c r="T28" i="16"/>
  <c r="AF23" i="16" s="1"/>
  <c r="U155" i="15"/>
  <c r="T155" i="15"/>
  <c r="BU14" i="15"/>
  <c r="T117" i="15"/>
  <c r="BV14" i="15" s="1"/>
  <c r="U117" i="15"/>
  <c r="BW14" i="15" s="1"/>
  <c r="AQ21" i="15"/>
  <c r="T54" i="15"/>
  <c r="AR21" i="15" s="1"/>
  <c r="U54" i="15"/>
  <c r="AS21" i="15" s="1"/>
  <c r="AK16" i="15"/>
  <c r="U35" i="15"/>
  <c r="AM16" i="15" s="1"/>
  <c r="T35" i="15"/>
  <c r="AL16" i="15" s="1"/>
  <c r="CA22" i="14"/>
  <c r="T139" i="14"/>
  <c r="CB22" i="14" s="1"/>
  <c r="U139" i="14"/>
  <c r="CC22" i="14" s="1"/>
  <c r="BU17" i="14"/>
  <c r="T120" i="14"/>
  <c r="BV17" i="14" s="1"/>
  <c r="U120" i="14"/>
  <c r="BW17" i="14" s="1"/>
  <c r="T57" i="14"/>
  <c r="U57" i="14"/>
  <c r="CM20" i="13"/>
  <c r="U165" i="13"/>
  <c r="CO20" i="13" s="1"/>
  <c r="T165" i="13"/>
  <c r="CN20" i="13" s="1"/>
  <c r="CG15" i="13"/>
  <c r="T146" i="13"/>
  <c r="CH15" i="13" s="1"/>
  <c r="U146" i="13"/>
  <c r="CI15" i="13" s="1"/>
  <c r="BC22" i="13"/>
  <c r="U83" i="13"/>
  <c r="BE22" i="13" s="1"/>
  <c r="T83" i="13"/>
  <c r="BD22" i="13" s="1"/>
  <c r="AW17" i="13"/>
  <c r="T64" i="13"/>
  <c r="AX17" i="13" s="1"/>
  <c r="U64" i="13"/>
  <c r="AY17" i="13" s="1"/>
  <c r="Y14" i="13"/>
  <c r="T5" i="13"/>
  <c r="Z14" i="13" s="1"/>
  <c r="U5" i="13"/>
  <c r="AA14" i="13" s="1"/>
  <c r="Y19" i="13"/>
  <c r="U10" i="13"/>
  <c r="AA19" i="13" s="1"/>
  <c r="T10" i="13"/>
  <c r="Z19" i="13" s="1"/>
  <c r="AK18" i="13"/>
  <c r="U37" i="13"/>
  <c r="AM18" i="13" s="1"/>
  <c r="T37" i="13"/>
  <c r="AL18" i="13" s="1"/>
  <c r="AQ15" i="13"/>
  <c r="U48" i="13"/>
  <c r="AS15" i="13" s="1"/>
  <c r="T48" i="13"/>
  <c r="AR15" i="13" s="1"/>
  <c r="BC16" i="13"/>
  <c r="T77" i="13"/>
  <c r="BD16" i="13" s="1"/>
  <c r="U77" i="13"/>
  <c r="BE16" i="13" s="1"/>
  <c r="BI22" i="13"/>
  <c r="T97" i="13"/>
  <c r="BJ22" i="13" s="1"/>
  <c r="U97" i="13"/>
  <c r="BK22" i="13" s="1"/>
  <c r="BO18" i="13"/>
  <c r="U107" i="13"/>
  <c r="BQ18" i="13" s="1"/>
  <c r="T107" i="13"/>
  <c r="BP18" i="13" s="1"/>
  <c r="CA23" i="13"/>
  <c r="T140" i="13"/>
  <c r="CB23" i="13" s="1"/>
  <c r="U140" i="13"/>
  <c r="CC23" i="13" s="1"/>
  <c r="CG21" i="13"/>
  <c r="T152" i="13"/>
  <c r="CH21" i="13" s="1"/>
  <c r="U152" i="13"/>
  <c r="CI21" i="13" s="1"/>
  <c r="Y23" i="14"/>
  <c r="U14" i="14"/>
  <c r="AA23" i="14" s="1"/>
  <c r="T14" i="14"/>
  <c r="Z23" i="14" s="1"/>
  <c r="AQ17" i="14"/>
  <c r="U50" i="14"/>
  <c r="AS17" i="14" s="1"/>
  <c r="T50" i="14"/>
  <c r="AR17" i="14" s="1"/>
  <c r="AW15" i="14"/>
  <c r="T62" i="14"/>
  <c r="AX15" i="14" s="1"/>
  <c r="U62" i="14"/>
  <c r="AY15" i="14" s="1"/>
  <c r="BI14" i="14"/>
  <c r="T89" i="14"/>
  <c r="BJ14" i="14" s="1"/>
  <c r="U89" i="14"/>
  <c r="BK14" i="14" s="1"/>
  <c r="BI21" i="14"/>
  <c r="U96" i="14"/>
  <c r="BK21" i="14" s="1"/>
  <c r="T96" i="14"/>
  <c r="BJ21" i="14" s="1"/>
  <c r="BU23" i="14"/>
  <c r="U126" i="14"/>
  <c r="BW23" i="14" s="1"/>
  <c r="T126" i="14"/>
  <c r="BV23" i="14" s="1"/>
  <c r="U164" i="14"/>
  <c r="T164" i="14"/>
  <c r="Y15" i="15"/>
  <c r="U6" i="15"/>
  <c r="AA15" i="15" s="1"/>
  <c r="T6" i="15"/>
  <c r="Z15" i="15" s="1"/>
  <c r="AQ15" i="15"/>
  <c r="T48" i="15"/>
  <c r="AR15" i="15" s="1"/>
  <c r="U48" i="15"/>
  <c r="AS15" i="15" s="1"/>
  <c r="AQ22" i="15"/>
  <c r="U55" i="15"/>
  <c r="AS22" i="15" s="1"/>
  <c r="T55" i="15"/>
  <c r="AR22" i="15" s="1"/>
  <c r="T112" i="15"/>
  <c r="U112" i="15"/>
  <c r="U126" i="15"/>
  <c r="T126" i="15"/>
  <c r="Y23" i="16"/>
  <c r="T14" i="16"/>
  <c r="Z23" i="16" s="1"/>
  <c r="U14" i="16"/>
  <c r="AA23" i="16" s="1"/>
  <c r="AW19" i="16"/>
  <c r="U66" i="16"/>
  <c r="AY19" i="16" s="1"/>
  <c r="T66" i="16"/>
  <c r="AX19" i="16" s="1"/>
  <c r="BC20" i="16"/>
  <c r="T81" i="16"/>
  <c r="BD20" i="16" s="1"/>
  <c r="U81" i="16"/>
  <c r="BE20" i="16" s="1"/>
  <c r="T137" i="16"/>
  <c r="U137" i="16"/>
  <c r="CM18" i="16"/>
  <c r="U163" i="16"/>
  <c r="CO18" i="16" s="1"/>
  <c r="T163" i="16"/>
  <c r="CN18" i="16" s="1"/>
  <c r="T57" i="17"/>
  <c r="U57" i="17"/>
  <c r="T70" i="17"/>
  <c r="U70" i="17"/>
  <c r="CG17" i="17"/>
  <c r="T148" i="17"/>
  <c r="CH17" i="17" s="1"/>
  <c r="U148" i="17"/>
  <c r="CI17" i="17" s="1"/>
  <c r="U42" i="18"/>
  <c r="T42" i="18"/>
  <c r="U96" i="18"/>
  <c r="T96" i="18"/>
  <c r="CA16" i="18"/>
  <c r="U133" i="18"/>
  <c r="CC16" i="18" s="1"/>
  <c r="T133" i="18"/>
  <c r="CB16" i="18" s="1"/>
  <c r="Y21" i="19"/>
  <c r="T12" i="19"/>
  <c r="Z21" i="19" s="1"/>
  <c r="U12" i="19"/>
  <c r="AA21" i="19" s="1"/>
  <c r="T125" i="19"/>
  <c r="U125" i="19"/>
  <c r="BU15" i="19"/>
  <c r="U118" i="19"/>
  <c r="BW15" i="19" s="1"/>
  <c r="T118" i="19"/>
  <c r="BV15" i="19" s="1"/>
  <c r="AE23" i="20"/>
  <c r="U28" i="20"/>
  <c r="AG23" i="20" s="1"/>
  <c r="T28" i="20"/>
  <c r="AF23" i="20" s="1"/>
  <c r="U95" i="20"/>
  <c r="T95" i="20"/>
  <c r="T121" i="20"/>
  <c r="U121" i="20"/>
  <c r="AT14" i="20"/>
  <c r="U135" i="18"/>
  <c r="T135" i="18"/>
  <c r="U109" i="18"/>
  <c r="T109" i="18"/>
  <c r="BU17" i="17"/>
  <c r="U120" i="17"/>
  <c r="BW17" i="17" s="1"/>
  <c r="T120" i="17"/>
  <c r="BV17" i="17" s="1"/>
  <c r="T98" i="17"/>
  <c r="U98" i="17"/>
  <c r="CA18" i="16"/>
  <c r="T135" i="16"/>
  <c r="CB18" i="16" s="1"/>
  <c r="U135" i="16"/>
  <c r="CC18" i="16" s="1"/>
  <c r="BO16" i="16"/>
  <c r="U105" i="16"/>
  <c r="BQ16" i="16" s="1"/>
  <c r="T105" i="16"/>
  <c r="BP16" i="16" s="1"/>
  <c r="AQ20" i="16"/>
  <c r="U53" i="16"/>
  <c r="AS20" i="16" s="1"/>
  <c r="T53" i="16"/>
  <c r="AR20" i="16" s="1"/>
  <c r="AK15" i="16"/>
  <c r="U34" i="16"/>
  <c r="AM15" i="16" s="1"/>
  <c r="T34" i="16"/>
  <c r="AL15" i="16" s="1"/>
  <c r="T169" i="15"/>
  <c r="U169" i="15"/>
  <c r="BU17" i="15"/>
  <c r="T120" i="15"/>
  <c r="BV17" i="15" s="1"/>
  <c r="U120" i="15"/>
  <c r="BW17" i="15" s="1"/>
  <c r="AK15" i="15"/>
  <c r="U34" i="15"/>
  <c r="AM15" i="15" s="1"/>
  <c r="T34" i="15"/>
  <c r="AL15" i="15" s="1"/>
  <c r="AN17" i="14"/>
  <c r="AB23" i="14"/>
  <c r="CP18" i="13"/>
  <c r="BR18" i="13"/>
  <c r="AZ19" i="13"/>
  <c r="AB22" i="19"/>
  <c r="AZ14" i="18"/>
  <c r="AH19" i="17"/>
  <c r="T141" i="20"/>
  <c r="U141" i="20"/>
  <c r="CA16" i="20"/>
  <c r="T133" i="20"/>
  <c r="CB16" i="20" s="1"/>
  <c r="U133" i="20"/>
  <c r="CC16" i="20" s="1"/>
  <c r="BO14" i="20"/>
  <c r="T103" i="20"/>
  <c r="BP14" i="20" s="1"/>
  <c r="U103" i="20"/>
  <c r="BQ14" i="20" s="1"/>
  <c r="T55" i="20"/>
  <c r="U55" i="20"/>
  <c r="AE16" i="20"/>
  <c r="T21" i="20"/>
  <c r="AF16" i="20" s="1"/>
  <c r="U21" i="20"/>
  <c r="AG16" i="20" s="1"/>
  <c r="CM14" i="19"/>
  <c r="T159" i="19"/>
  <c r="CN14" i="19" s="1"/>
  <c r="U159" i="19"/>
  <c r="CO14" i="19" s="1"/>
  <c r="BO14" i="19"/>
  <c r="T103" i="19"/>
  <c r="BP14" i="19" s="1"/>
  <c r="U103" i="19"/>
  <c r="BQ14" i="19" s="1"/>
  <c r="T29" i="19"/>
  <c r="U29" i="19"/>
  <c r="BO14" i="18"/>
  <c r="U103" i="18"/>
  <c r="BQ14" i="18" s="1"/>
  <c r="T103" i="18"/>
  <c r="BP14" i="18" s="1"/>
  <c r="T81" i="18"/>
  <c r="U81" i="18"/>
  <c r="AQ14" i="18"/>
  <c r="T47" i="18"/>
  <c r="AR14" i="18" s="1"/>
  <c r="U47" i="18"/>
  <c r="AS14" i="18" s="1"/>
  <c r="AH18" i="18"/>
  <c r="AB17" i="18"/>
  <c r="T85" i="17"/>
  <c r="U85" i="17"/>
  <c r="AH14" i="17"/>
  <c r="U85" i="16"/>
  <c r="T85" i="16"/>
  <c r="AT20" i="16"/>
  <c r="U85" i="15"/>
  <c r="T85" i="15"/>
  <c r="T141" i="14"/>
  <c r="U141" i="14"/>
  <c r="BL23" i="14"/>
  <c r="BF18" i="14"/>
  <c r="AN19" i="14"/>
  <c r="AH14" i="14"/>
  <c r="BU19" i="13"/>
  <c r="T122" i="13"/>
  <c r="BV19" i="13" s="1"/>
  <c r="U122" i="13"/>
  <c r="BW19" i="13" s="1"/>
  <c r="AQ18" i="13"/>
  <c r="U51" i="13"/>
  <c r="AS18" i="13" s="1"/>
  <c r="T51" i="13"/>
  <c r="AR18" i="13" s="1"/>
  <c r="AK16" i="20"/>
  <c r="U35" i="20"/>
  <c r="AM16" i="20" s="1"/>
  <c r="T35" i="20"/>
  <c r="AL16" i="20" s="1"/>
  <c r="AW14" i="19"/>
  <c r="T61" i="19"/>
  <c r="AX14" i="19" s="1"/>
  <c r="U61" i="19"/>
  <c r="AY14" i="19" s="1"/>
  <c r="U124" i="20"/>
  <c r="T124" i="20"/>
  <c r="AW17" i="20"/>
  <c r="T64" i="20"/>
  <c r="AX17" i="20" s="1"/>
  <c r="U64" i="20"/>
  <c r="AY17" i="20" s="1"/>
  <c r="T42" i="20"/>
  <c r="U42" i="20"/>
  <c r="T150" i="19"/>
  <c r="U150" i="19"/>
  <c r="CA14" i="19"/>
  <c r="U131" i="19"/>
  <c r="CC14" i="19" s="1"/>
  <c r="T131" i="19"/>
  <c r="CB14" i="19" s="1"/>
  <c r="U68" i="19"/>
  <c r="T68" i="19"/>
  <c r="AQ16" i="19"/>
  <c r="U49" i="19"/>
  <c r="AS16" i="19" s="1"/>
  <c r="T49" i="19"/>
  <c r="AR16" i="19" s="1"/>
  <c r="T155" i="18"/>
  <c r="U155" i="18"/>
  <c r="U95" i="18"/>
  <c r="T95" i="18"/>
  <c r="BC15" i="18"/>
  <c r="T76" i="18"/>
  <c r="BD15" i="18" s="1"/>
  <c r="U76" i="18"/>
  <c r="BE15" i="18" s="1"/>
  <c r="Y22" i="18"/>
  <c r="U13" i="18"/>
  <c r="AA22" i="18" s="1"/>
  <c r="T13" i="18"/>
  <c r="Z22" i="18" s="1"/>
  <c r="CM17" i="17"/>
  <c r="U162" i="17"/>
  <c r="CO17" i="17" s="1"/>
  <c r="T162" i="17"/>
  <c r="CN17" i="17" s="1"/>
  <c r="U99" i="17"/>
  <c r="T99" i="17"/>
  <c r="BC19" i="17"/>
  <c r="U80" i="17"/>
  <c r="BE19" i="17" s="1"/>
  <c r="T80" i="17"/>
  <c r="BD19" i="17" s="1"/>
  <c r="AE15" i="17"/>
  <c r="U20" i="17"/>
  <c r="AG15" i="17" s="1"/>
  <c r="T20" i="17"/>
  <c r="AF15" i="17" s="1"/>
  <c r="BU22" i="16"/>
  <c r="T125" i="16"/>
  <c r="BV22" i="16" s="1"/>
  <c r="U125" i="16"/>
  <c r="BW22" i="16" s="1"/>
  <c r="BO17" i="16"/>
  <c r="T106" i="16"/>
  <c r="BP17" i="16" s="1"/>
  <c r="U106" i="16"/>
  <c r="BQ17" i="16" s="1"/>
  <c r="T43" i="16"/>
  <c r="U43" i="16"/>
  <c r="AE19" i="16"/>
  <c r="T24" i="16"/>
  <c r="AF19" i="16" s="1"/>
  <c r="U24" i="16"/>
  <c r="AG19" i="16" s="1"/>
  <c r="CA15" i="15"/>
  <c r="U132" i="15"/>
  <c r="CC15" i="15" s="1"/>
  <c r="T132" i="15"/>
  <c r="CB15" i="15" s="1"/>
  <c r="BO21" i="15"/>
  <c r="T110" i="15"/>
  <c r="BP21" i="15" s="1"/>
  <c r="U110" i="15"/>
  <c r="BQ21" i="15" s="1"/>
  <c r="AQ17" i="15"/>
  <c r="T50" i="15"/>
  <c r="AR17" i="15" s="1"/>
  <c r="U50" i="15"/>
  <c r="AS17" i="15" s="1"/>
  <c r="Y17" i="15"/>
  <c r="T8" i="15"/>
  <c r="Z17" i="15" s="1"/>
  <c r="U8" i="15"/>
  <c r="AA17" i="15" s="1"/>
  <c r="CA18" i="14"/>
  <c r="T135" i="14"/>
  <c r="CB18" i="14" s="1"/>
  <c r="U135" i="14"/>
  <c r="CC18" i="14" s="1"/>
  <c r="BI19" i="14"/>
  <c r="T94" i="14"/>
  <c r="BJ19" i="14" s="1"/>
  <c r="U94" i="14"/>
  <c r="BK19" i="14" s="1"/>
  <c r="AQ20" i="14"/>
  <c r="T53" i="14"/>
  <c r="AR20" i="14" s="1"/>
  <c r="U53" i="14"/>
  <c r="AS20" i="14" s="1"/>
  <c r="CM16" i="13"/>
  <c r="T161" i="13"/>
  <c r="CN16" i="13" s="1"/>
  <c r="U161" i="13"/>
  <c r="CO16" i="13" s="1"/>
  <c r="CA22" i="13"/>
  <c r="U139" i="13"/>
  <c r="CC22" i="13" s="1"/>
  <c r="T139" i="13"/>
  <c r="CB22" i="13" s="1"/>
  <c r="BC18" i="13"/>
  <c r="T79" i="13"/>
  <c r="BD18" i="13" s="1"/>
  <c r="U79" i="13"/>
  <c r="BE18" i="13" s="1"/>
  <c r="AK19" i="13"/>
  <c r="U38" i="13"/>
  <c r="AM19" i="13" s="1"/>
  <c r="T38" i="13"/>
  <c r="AL19" i="13" s="1"/>
  <c r="Y15" i="13"/>
  <c r="U6" i="13"/>
  <c r="AA15" i="13" s="1"/>
  <c r="T6" i="13"/>
  <c r="Z15" i="13" s="1"/>
  <c r="AK20" i="13"/>
  <c r="U39" i="13"/>
  <c r="AM20" i="13" s="1"/>
  <c r="T39" i="13"/>
  <c r="AL20" i="13" s="1"/>
  <c r="T139" i="20"/>
  <c r="U139" i="20"/>
  <c r="BU17" i="20"/>
  <c r="U120" i="20"/>
  <c r="BW17" i="20" s="1"/>
  <c r="T120" i="20"/>
  <c r="BV17" i="20" s="1"/>
  <c r="U79" i="20"/>
  <c r="T79" i="20"/>
  <c r="U57" i="20"/>
  <c r="T57" i="20"/>
  <c r="AE14" i="20"/>
  <c r="T19" i="20"/>
  <c r="AF14" i="20" s="1"/>
  <c r="U19" i="20"/>
  <c r="AG14" i="20" s="1"/>
  <c r="U165" i="19"/>
  <c r="T165" i="19"/>
  <c r="U124" i="19"/>
  <c r="T124" i="19"/>
  <c r="BO16" i="19"/>
  <c r="U105" i="19"/>
  <c r="BQ16" i="19" s="1"/>
  <c r="T105" i="19"/>
  <c r="BP16" i="19" s="1"/>
  <c r="U83" i="19"/>
  <c r="T83" i="19"/>
  <c r="U42" i="19"/>
  <c r="T42" i="19"/>
  <c r="AE18" i="19"/>
  <c r="T23" i="19"/>
  <c r="AF18" i="19" s="1"/>
  <c r="U23" i="19"/>
  <c r="AG18" i="19" s="1"/>
  <c r="T151" i="18"/>
  <c r="U151" i="18"/>
  <c r="CA15" i="18"/>
  <c r="U132" i="18"/>
  <c r="CC15" i="18" s="1"/>
  <c r="T132" i="18"/>
  <c r="CB15" i="18" s="1"/>
  <c r="BI16" i="18"/>
  <c r="U91" i="18"/>
  <c r="BK16" i="18" s="1"/>
  <c r="T91" i="18"/>
  <c r="BJ16" i="18" s="1"/>
  <c r="U69" i="18"/>
  <c r="T69" i="18"/>
  <c r="AE23" i="18"/>
  <c r="U28" i="18"/>
  <c r="AG23" i="18" s="1"/>
  <c r="T28" i="18"/>
  <c r="AF23" i="18" s="1"/>
  <c r="Y18" i="18"/>
  <c r="T9" i="18"/>
  <c r="Z18" i="18" s="1"/>
  <c r="U9" i="18"/>
  <c r="AA18" i="18" s="1"/>
  <c r="CA19" i="17"/>
  <c r="T136" i="17"/>
  <c r="CB19" i="17" s="1"/>
  <c r="U136" i="17"/>
  <c r="CC19" i="17" s="1"/>
  <c r="BU14" i="17"/>
  <c r="U117" i="17"/>
  <c r="BW14" i="17" s="1"/>
  <c r="T117" i="17"/>
  <c r="BV14" i="17" s="1"/>
  <c r="BC15" i="17"/>
  <c r="U76" i="17"/>
  <c r="BE15" i="17" s="1"/>
  <c r="T76" i="17"/>
  <c r="BD15" i="17" s="1"/>
  <c r="AQ21" i="17"/>
  <c r="U54" i="17"/>
  <c r="AS21" i="17" s="1"/>
  <c r="T54" i="17"/>
  <c r="AR21" i="17" s="1"/>
  <c r="Y22" i="17"/>
  <c r="T13" i="17"/>
  <c r="Z22" i="17" s="1"/>
  <c r="U13" i="17"/>
  <c r="AA22" i="17" s="1"/>
  <c r="CM17" i="16"/>
  <c r="T162" i="16"/>
  <c r="CN17" i="16" s="1"/>
  <c r="U162" i="16"/>
  <c r="CO17" i="16" s="1"/>
  <c r="BU18" i="16"/>
  <c r="U121" i="16"/>
  <c r="BW18" i="16" s="1"/>
  <c r="T121" i="16"/>
  <c r="BV18" i="16" s="1"/>
  <c r="U99" i="16"/>
  <c r="T99" i="16"/>
  <c r="AW14" i="16"/>
  <c r="U61" i="16"/>
  <c r="AY14" i="16" s="1"/>
  <c r="T61" i="16"/>
  <c r="AX14" i="16" s="1"/>
  <c r="AK20" i="16"/>
  <c r="U39" i="16"/>
  <c r="AM20" i="16" s="1"/>
  <c r="T39" i="16"/>
  <c r="AL20" i="16" s="1"/>
  <c r="T166" i="15"/>
  <c r="U166" i="15"/>
  <c r="CG16" i="15"/>
  <c r="U147" i="15"/>
  <c r="CI16" i="15" s="1"/>
  <c r="T147" i="15"/>
  <c r="CH16" i="15" s="1"/>
  <c r="BO17" i="15"/>
  <c r="T106" i="15"/>
  <c r="BP17" i="15" s="1"/>
  <c r="U106" i="15"/>
  <c r="BQ17" i="15" s="1"/>
  <c r="BC23" i="15"/>
  <c r="T84" i="15"/>
  <c r="BD23" i="15" s="1"/>
  <c r="U84" i="15"/>
  <c r="BE23" i="15" s="1"/>
  <c r="U43" i="15"/>
  <c r="T43" i="15"/>
  <c r="AE19" i="15"/>
  <c r="T24" i="15"/>
  <c r="AF19" i="15" s="1"/>
  <c r="U24" i="15"/>
  <c r="AG19" i="15" s="1"/>
  <c r="T150" i="14"/>
  <c r="U150" i="14"/>
  <c r="CA14" i="14"/>
  <c r="U131" i="14"/>
  <c r="CC14" i="14" s="1"/>
  <c r="T131" i="14"/>
  <c r="CB14" i="14" s="1"/>
  <c r="BI15" i="14"/>
  <c r="U90" i="14"/>
  <c r="BK15" i="14" s="1"/>
  <c r="T90" i="14"/>
  <c r="BJ15" i="14" s="1"/>
  <c r="AW21" i="14"/>
  <c r="U68" i="14"/>
  <c r="AY21" i="14" s="1"/>
  <c r="T68" i="14"/>
  <c r="AX21" i="14" s="1"/>
  <c r="AE22" i="14"/>
  <c r="U27" i="14"/>
  <c r="AG22" i="14" s="1"/>
  <c r="T27" i="14"/>
  <c r="AF22" i="14" s="1"/>
  <c r="Y17" i="14"/>
  <c r="U8" i="14"/>
  <c r="AA17" i="14" s="1"/>
  <c r="T8" i="14"/>
  <c r="Z17" i="14" s="1"/>
  <c r="CA18" i="13"/>
  <c r="U135" i="13"/>
  <c r="CC18" i="13" s="1"/>
  <c r="T135" i="13"/>
  <c r="CB18" i="13" s="1"/>
  <c r="U113" i="13"/>
  <c r="T113" i="13"/>
  <c r="BC14" i="13"/>
  <c r="U75" i="13"/>
  <c r="BE14" i="13" s="1"/>
  <c r="T75" i="13"/>
  <c r="BD14" i="13" s="1"/>
  <c r="AQ20" i="13"/>
  <c r="U53" i="13"/>
  <c r="AS20" i="13" s="1"/>
  <c r="T53" i="13"/>
  <c r="AR20" i="13" s="1"/>
  <c r="Y21" i="13"/>
  <c r="T12" i="13"/>
  <c r="Z21" i="13" s="1"/>
  <c r="U12" i="13"/>
  <c r="AA21" i="13" s="1"/>
  <c r="Y16" i="13"/>
  <c r="U7" i="13"/>
  <c r="AA16" i="13" s="1"/>
  <c r="T7" i="13"/>
  <c r="Z16" i="13" s="1"/>
  <c r="AE19" i="13"/>
  <c r="T24" i="13"/>
  <c r="AF19" i="13" s="1"/>
  <c r="U24" i="13"/>
  <c r="AG19" i="13" s="1"/>
  <c r="AE24" i="13"/>
  <c r="T29" i="13"/>
  <c r="AF24" i="13" s="1"/>
  <c r="U29" i="13"/>
  <c r="AG24" i="13" s="1"/>
  <c r="AQ21" i="13"/>
  <c r="T54" i="13"/>
  <c r="AR21" i="13" s="1"/>
  <c r="U54" i="13"/>
  <c r="AS21" i="13" s="1"/>
  <c r="AW15" i="13"/>
  <c r="T62" i="13"/>
  <c r="AX15" i="13" s="1"/>
  <c r="U62" i="13"/>
  <c r="AY15" i="13" s="1"/>
  <c r="BC19" i="13"/>
  <c r="U80" i="13"/>
  <c r="BE19" i="13" s="1"/>
  <c r="T80" i="13"/>
  <c r="BD19" i="13" s="1"/>
  <c r="BI14" i="13"/>
  <c r="U89" i="13"/>
  <c r="BK14" i="13" s="1"/>
  <c r="T89" i="13"/>
  <c r="BJ14" i="13" s="1"/>
  <c r="BO14" i="13"/>
  <c r="T103" i="13"/>
  <c r="BP14" i="13" s="1"/>
  <c r="U103" i="13"/>
  <c r="BQ14" i="13" s="1"/>
  <c r="BU14" i="13"/>
  <c r="U117" i="13"/>
  <c r="BW14" i="13" s="1"/>
  <c r="T117" i="13"/>
  <c r="BV14" i="13" s="1"/>
  <c r="CA19" i="13"/>
  <c r="T136" i="13"/>
  <c r="CB19" i="13" s="1"/>
  <c r="U136" i="13"/>
  <c r="CC19" i="13" s="1"/>
  <c r="CG14" i="13"/>
  <c r="U145" i="13"/>
  <c r="CI14" i="13" s="1"/>
  <c r="T145" i="13"/>
  <c r="CH14" i="13" s="1"/>
  <c r="CM22" i="13"/>
  <c r="T167" i="13"/>
  <c r="CN22" i="13" s="1"/>
  <c r="U167" i="13"/>
  <c r="CO22" i="13" s="1"/>
  <c r="Y19" i="14"/>
  <c r="U10" i="14"/>
  <c r="AA19" i="14" s="1"/>
  <c r="T10" i="14"/>
  <c r="Z19" i="14" s="1"/>
  <c r="AE24" i="14"/>
  <c r="U29" i="14"/>
  <c r="AG24" i="14" s="1"/>
  <c r="T29" i="14"/>
  <c r="AF24" i="14" s="1"/>
  <c r="AK24" i="14"/>
  <c r="T43" i="14"/>
  <c r="AL24" i="14" s="1"/>
  <c r="U43" i="14"/>
  <c r="AM24" i="14" s="1"/>
  <c r="AW19" i="14"/>
  <c r="T66" i="14"/>
  <c r="AX19" i="14" s="1"/>
  <c r="U66" i="14"/>
  <c r="AY19" i="14" s="1"/>
  <c r="BC15" i="14"/>
  <c r="T76" i="14"/>
  <c r="BD15" i="14" s="1"/>
  <c r="U76" i="14"/>
  <c r="BE15" i="14" s="1"/>
  <c r="BI17" i="14"/>
  <c r="U92" i="14"/>
  <c r="BK17" i="14" s="1"/>
  <c r="T92" i="14"/>
  <c r="BJ17" i="14" s="1"/>
  <c r="BO14" i="14"/>
  <c r="U103" i="14"/>
  <c r="BQ14" i="14" s="1"/>
  <c r="T103" i="14"/>
  <c r="BP14" i="14" s="1"/>
  <c r="BU19" i="14"/>
  <c r="U122" i="14"/>
  <c r="BW19" i="14" s="1"/>
  <c r="T122" i="14"/>
  <c r="BV19" i="14" s="1"/>
  <c r="CA15" i="14"/>
  <c r="T132" i="14"/>
  <c r="CB15" i="14" s="1"/>
  <c r="U132" i="14"/>
  <c r="CC15" i="14" s="1"/>
  <c r="T155" i="14"/>
  <c r="U155" i="14"/>
  <c r="CM18" i="14"/>
  <c r="T163" i="14"/>
  <c r="CN18" i="14" s="1"/>
  <c r="U163" i="14"/>
  <c r="CO18" i="14" s="1"/>
  <c r="AE17" i="15"/>
  <c r="T22" i="15"/>
  <c r="AF17" i="15" s="1"/>
  <c r="U22" i="15"/>
  <c r="AG17" i="15" s="1"/>
  <c r="AK18" i="15"/>
  <c r="U37" i="15"/>
  <c r="AM18" i="15" s="1"/>
  <c r="T37" i="15"/>
  <c r="AL18" i="15" s="1"/>
  <c r="AW16" i="15"/>
  <c r="T63" i="15"/>
  <c r="AX16" i="15" s="1"/>
  <c r="U63" i="15"/>
  <c r="AY16" i="15" s="1"/>
  <c r="BC16" i="15"/>
  <c r="U77" i="15"/>
  <c r="BE16" i="15" s="1"/>
  <c r="T77" i="15"/>
  <c r="BD16" i="15" s="1"/>
  <c r="BO14" i="15"/>
  <c r="T103" i="15"/>
  <c r="BP14" i="15" s="1"/>
  <c r="U103" i="15"/>
  <c r="BQ14" i="15" s="1"/>
  <c r="CA16" i="15"/>
  <c r="T133" i="15"/>
  <c r="CB16" i="15" s="1"/>
  <c r="U133" i="15"/>
  <c r="CC16" i="15" s="1"/>
  <c r="CG17" i="15"/>
  <c r="T148" i="15"/>
  <c r="CH17" i="15" s="1"/>
  <c r="U148" i="15"/>
  <c r="CI17" i="15" s="1"/>
  <c r="AE20" i="16"/>
  <c r="T25" i="16"/>
  <c r="AF20" i="16" s="1"/>
  <c r="U25" i="16"/>
  <c r="AG20" i="16" s="1"/>
  <c r="AK17" i="16"/>
  <c r="T36" i="16"/>
  <c r="AL17" i="16" s="1"/>
  <c r="U36" i="16"/>
  <c r="AM17" i="16" s="1"/>
  <c r="T71" i="16"/>
  <c r="U71" i="16"/>
  <c r="BI21" i="16"/>
  <c r="U96" i="16"/>
  <c r="BK21" i="16" s="1"/>
  <c r="T96" i="16"/>
  <c r="BJ21" i="16" s="1"/>
  <c r="T126" i="16"/>
  <c r="U126" i="16"/>
  <c r="CG17" i="16"/>
  <c r="T148" i="16"/>
  <c r="CH17" i="16" s="1"/>
  <c r="U148" i="16"/>
  <c r="CI17" i="16" s="1"/>
  <c r="AE20" i="17"/>
  <c r="U25" i="17"/>
  <c r="AG20" i="17" s="1"/>
  <c r="T25" i="17"/>
  <c r="AF20" i="17" s="1"/>
  <c r="AK21" i="17"/>
  <c r="T40" i="17"/>
  <c r="AL21" i="17" s="1"/>
  <c r="U40" i="17"/>
  <c r="AM21" i="17" s="1"/>
  <c r="BC20" i="17"/>
  <c r="U81" i="17"/>
  <c r="BE20" i="17" s="1"/>
  <c r="T81" i="17"/>
  <c r="BD20" i="17" s="1"/>
  <c r="BO18" i="17"/>
  <c r="T107" i="17"/>
  <c r="BP18" i="17" s="1"/>
  <c r="U107" i="17"/>
  <c r="BQ18" i="17" s="1"/>
  <c r="U149" i="17"/>
  <c r="T149" i="17"/>
  <c r="AK17" i="18"/>
  <c r="U36" i="18"/>
  <c r="AM17" i="18" s="1"/>
  <c r="T36" i="18"/>
  <c r="AL17" i="18" s="1"/>
  <c r="BO16" i="18"/>
  <c r="T105" i="18"/>
  <c r="BP16" i="18" s="1"/>
  <c r="U105" i="18"/>
  <c r="BQ16" i="18" s="1"/>
  <c r="AW17" i="17"/>
  <c r="T64" i="17"/>
  <c r="AX17" i="17" s="1"/>
  <c r="U64" i="17"/>
  <c r="AY17" i="17" s="1"/>
  <c r="U151" i="20"/>
  <c r="T151" i="20"/>
  <c r="BU14" i="19"/>
  <c r="T117" i="19"/>
  <c r="BV14" i="19" s="1"/>
  <c r="U117" i="19"/>
  <c r="BW14" i="19" s="1"/>
  <c r="U154" i="20"/>
  <c r="T154" i="20"/>
  <c r="CA18" i="20"/>
  <c r="T135" i="20"/>
  <c r="CB18" i="20" s="1"/>
  <c r="U135" i="20"/>
  <c r="CC18" i="20" s="1"/>
  <c r="U113" i="20"/>
  <c r="T113" i="20"/>
  <c r="T94" i="20"/>
  <c r="U94" i="20"/>
  <c r="BC14" i="20"/>
  <c r="T75" i="20"/>
  <c r="BD14" i="20" s="1"/>
  <c r="U75" i="20"/>
  <c r="BE14" i="20" s="1"/>
  <c r="T53" i="20"/>
  <c r="U53" i="20"/>
  <c r="AK15" i="20"/>
  <c r="T34" i="20"/>
  <c r="AL15" i="20" s="1"/>
  <c r="U34" i="20"/>
  <c r="AM15" i="20" s="1"/>
  <c r="Y21" i="20"/>
  <c r="T12" i="20"/>
  <c r="Z21" i="20" s="1"/>
  <c r="U12" i="20"/>
  <c r="AA21" i="20" s="1"/>
  <c r="CM16" i="19"/>
  <c r="T161" i="19"/>
  <c r="CN16" i="19" s="1"/>
  <c r="U161" i="19"/>
  <c r="CO16" i="19" s="1"/>
  <c r="T139" i="19"/>
  <c r="U139" i="19"/>
  <c r="U120" i="19"/>
  <c r="T120" i="19"/>
  <c r="U98" i="19"/>
  <c r="T98" i="19"/>
  <c r="T79" i="19"/>
  <c r="U79" i="19"/>
  <c r="T57" i="19"/>
  <c r="U57" i="19"/>
  <c r="T38" i="19"/>
  <c r="U38" i="19"/>
  <c r="AE14" i="19"/>
  <c r="U19" i="19"/>
  <c r="AG14" i="19" s="1"/>
  <c r="T19" i="19"/>
  <c r="AF14" i="19" s="1"/>
  <c r="U166" i="18"/>
  <c r="T166" i="18"/>
  <c r="CG16" i="18"/>
  <c r="T147" i="18"/>
  <c r="CH16" i="18" s="1"/>
  <c r="U147" i="18"/>
  <c r="CI16" i="18" s="1"/>
  <c r="U125" i="18"/>
  <c r="T125" i="18"/>
  <c r="U106" i="18"/>
  <c r="T106" i="18"/>
  <c r="U84" i="18"/>
  <c r="T84" i="18"/>
  <c r="T65" i="18"/>
  <c r="U65" i="18"/>
  <c r="T43" i="18"/>
  <c r="U43" i="18"/>
  <c r="AE19" i="18"/>
  <c r="T24" i="18"/>
  <c r="AF19" i="18" s="1"/>
  <c r="U24" i="18"/>
  <c r="AG19" i="18" s="1"/>
  <c r="Y14" i="18"/>
  <c r="T5" i="18"/>
  <c r="Z14" i="18" s="1"/>
  <c r="U5" i="18"/>
  <c r="AA14" i="18" s="1"/>
  <c r="T151" i="17"/>
  <c r="U151" i="17"/>
  <c r="CA15" i="17"/>
  <c r="U132" i="17"/>
  <c r="CC15" i="17" s="1"/>
  <c r="T132" i="17"/>
  <c r="CB15" i="17" s="1"/>
  <c r="BO21" i="17"/>
  <c r="T110" i="17"/>
  <c r="BP21" i="17" s="1"/>
  <c r="U110" i="17"/>
  <c r="BQ21" i="17" s="1"/>
  <c r="BI16" i="17"/>
  <c r="U91" i="17"/>
  <c r="BK16" i="17" s="1"/>
  <c r="T91" i="17"/>
  <c r="BJ16" i="17" s="1"/>
  <c r="AW22" i="17"/>
  <c r="U69" i="17"/>
  <c r="AY22" i="17" s="1"/>
  <c r="T69" i="17"/>
  <c r="AX22" i="17" s="1"/>
  <c r="AQ17" i="17"/>
  <c r="U50" i="17"/>
  <c r="AS17" i="17" s="1"/>
  <c r="T50" i="17"/>
  <c r="AR17" i="17" s="1"/>
  <c r="AE23" i="17"/>
  <c r="U28" i="17"/>
  <c r="AG23" i="17" s="1"/>
  <c r="T28" i="17"/>
  <c r="AF23" i="17" s="1"/>
  <c r="Y18" i="17"/>
  <c r="U9" i="17"/>
  <c r="AA18" i="17" s="1"/>
  <c r="T9" i="17"/>
  <c r="Z18" i="17" s="1"/>
  <c r="U155" i="16"/>
  <c r="T155" i="16"/>
  <c r="CA19" i="16"/>
  <c r="U136" i="16"/>
  <c r="CC19" i="16" s="1"/>
  <c r="T136" i="16"/>
  <c r="CB19" i="16" s="1"/>
  <c r="BU14" i="16"/>
  <c r="T117" i="16"/>
  <c r="BV14" i="16" s="1"/>
  <c r="U117" i="16"/>
  <c r="BW14" i="16" s="1"/>
  <c r="BI20" i="16"/>
  <c r="T95" i="16"/>
  <c r="BJ20" i="16" s="1"/>
  <c r="U95" i="16"/>
  <c r="BK20" i="16" s="1"/>
  <c r="BC15" i="16"/>
  <c r="U76" i="16"/>
  <c r="BE15" i="16" s="1"/>
  <c r="T76" i="16"/>
  <c r="BD15" i="16" s="1"/>
  <c r="AQ21" i="16"/>
  <c r="U54" i="16"/>
  <c r="AS21" i="16" s="1"/>
  <c r="T54" i="16"/>
  <c r="AR21" i="16" s="1"/>
  <c r="AK16" i="16"/>
  <c r="U35" i="16"/>
  <c r="AM16" i="16" s="1"/>
  <c r="T35" i="16"/>
  <c r="AL16" i="16" s="1"/>
  <c r="Y22" i="16"/>
  <c r="U13" i="16"/>
  <c r="AA22" i="16" s="1"/>
  <c r="T13" i="16"/>
  <c r="Z22" i="16" s="1"/>
  <c r="T140" i="15"/>
  <c r="U140" i="15"/>
  <c r="BU18" i="15"/>
  <c r="U121" i="15"/>
  <c r="BW18" i="15" s="1"/>
  <c r="T121" i="15"/>
  <c r="BV18" i="15" s="1"/>
  <c r="U99" i="15"/>
  <c r="T99" i="15"/>
  <c r="BC19" i="15"/>
  <c r="T80" i="15"/>
  <c r="BD19" i="15" s="1"/>
  <c r="U80" i="15"/>
  <c r="BE19" i="15" s="1"/>
  <c r="AW14" i="15"/>
  <c r="T61" i="15"/>
  <c r="AX14" i="15" s="1"/>
  <c r="U61" i="15"/>
  <c r="AY14" i="15" s="1"/>
  <c r="AK20" i="15"/>
  <c r="T39" i="15"/>
  <c r="AL20" i="15" s="1"/>
  <c r="U39" i="15"/>
  <c r="AM20" i="15" s="1"/>
  <c r="AE15" i="15"/>
  <c r="T20" i="15"/>
  <c r="AF15" i="15" s="1"/>
  <c r="U20" i="15"/>
  <c r="AG15" i="15" s="1"/>
  <c r="U165" i="14"/>
  <c r="T165" i="14"/>
  <c r="CG15" i="14"/>
  <c r="U146" i="14"/>
  <c r="CI15" i="14" s="1"/>
  <c r="T146" i="14"/>
  <c r="CH15" i="14" s="1"/>
  <c r="BU21" i="14"/>
  <c r="U124" i="14"/>
  <c r="BW21" i="14" s="1"/>
  <c r="T124" i="14"/>
  <c r="BV21" i="14" s="1"/>
  <c r="BO16" i="14"/>
  <c r="T105" i="14"/>
  <c r="BP16" i="14" s="1"/>
  <c r="U105" i="14"/>
  <c r="BQ16" i="14" s="1"/>
  <c r="BC22" i="14"/>
  <c r="T83" i="14"/>
  <c r="BD22" i="14" s="1"/>
  <c r="U83" i="14"/>
  <c r="BE22" i="14" s="1"/>
  <c r="AW17" i="14"/>
  <c r="T64" i="14"/>
  <c r="AX17" i="14" s="1"/>
  <c r="U64" i="14"/>
  <c r="AY17" i="14" s="1"/>
  <c r="AK23" i="14"/>
  <c r="T42" i="14"/>
  <c r="AL23" i="14" s="1"/>
  <c r="U42" i="14"/>
  <c r="AM23" i="14" s="1"/>
  <c r="AE18" i="14"/>
  <c r="U23" i="14"/>
  <c r="AG18" i="14" s="1"/>
  <c r="T23" i="14"/>
  <c r="AF18" i="14" s="1"/>
  <c r="T169" i="13"/>
  <c r="U169" i="13"/>
  <c r="CG19" i="13"/>
  <c r="T150" i="13"/>
  <c r="CH19" i="13" s="1"/>
  <c r="U150" i="13"/>
  <c r="CI19" i="13" s="1"/>
  <c r="CA14" i="13"/>
  <c r="U131" i="13"/>
  <c r="CC14" i="13" s="1"/>
  <c r="T131" i="13"/>
  <c r="CB14" i="13" s="1"/>
  <c r="BO20" i="13"/>
  <c r="U109" i="13"/>
  <c r="BQ20" i="13" s="1"/>
  <c r="T109" i="13"/>
  <c r="BP20" i="13" s="1"/>
  <c r="BI15" i="13"/>
  <c r="T90" i="13"/>
  <c r="BJ15" i="13" s="1"/>
  <c r="U90" i="13"/>
  <c r="BK15" i="13" s="1"/>
  <c r="AW21" i="13"/>
  <c r="T68" i="13"/>
  <c r="AX21" i="13" s="1"/>
  <c r="U68" i="13"/>
  <c r="AY21" i="13" s="1"/>
  <c r="AQ16" i="13"/>
  <c r="T49" i="13"/>
  <c r="AR16" i="13" s="1"/>
  <c r="U49" i="13"/>
  <c r="AS16" i="13" s="1"/>
  <c r="AE22" i="13"/>
  <c r="U27" i="13"/>
  <c r="AG22" i="13" s="1"/>
  <c r="T27" i="13"/>
  <c r="AF22" i="13" s="1"/>
  <c r="Y17" i="13"/>
  <c r="T8" i="13"/>
  <c r="Z17" i="13" s="1"/>
  <c r="U8" i="13"/>
  <c r="AA17" i="13" s="1"/>
  <c r="Y18" i="13"/>
  <c r="T9" i="13"/>
  <c r="Z18" i="13" s="1"/>
  <c r="U9" i="13"/>
  <c r="AA18" i="13" s="1"/>
  <c r="AE15" i="13"/>
  <c r="T20" i="13"/>
  <c r="AF15" i="13" s="1"/>
  <c r="U20" i="13"/>
  <c r="AG15" i="13" s="1"/>
  <c r="AE20" i="13"/>
  <c r="U25" i="13"/>
  <c r="AG20" i="13" s="1"/>
  <c r="T25" i="13"/>
  <c r="AF20" i="13" s="1"/>
  <c r="AK16" i="13"/>
  <c r="T35" i="13"/>
  <c r="AL16" i="13" s="1"/>
  <c r="U35" i="13"/>
  <c r="AM16" i="13" s="1"/>
  <c r="AK24" i="13"/>
  <c r="U43" i="13"/>
  <c r="AM24" i="13" s="1"/>
  <c r="T43" i="13"/>
  <c r="AL24" i="13" s="1"/>
  <c r="AQ22" i="13"/>
  <c r="T55" i="13"/>
  <c r="AR22" i="13" s="1"/>
  <c r="U55" i="13"/>
  <c r="AS22" i="13" s="1"/>
  <c r="AW18" i="13"/>
  <c r="T65" i="13"/>
  <c r="AX18" i="13" s="1"/>
  <c r="U65" i="13"/>
  <c r="AY18" i="13" s="1"/>
  <c r="BC15" i="13"/>
  <c r="U76" i="13"/>
  <c r="BE15" i="13" s="1"/>
  <c r="T76" i="13"/>
  <c r="BD15" i="13" s="1"/>
  <c r="BC20" i="13"/>
  <c r="U81" i="13"/>
  <c r="BE20" i="13" s="1"/>
  <c r="T81" i="13"/>
  <c r="BD20" i="13" s="1"/>
  <c r="BI16" i="13"/>
  <c r="U91" i="13"/>
  <c r="BK16" i="13" s="1"/>
  <c r="T91" i="13"/>
  <c r="BJ16" i="13" s="1"/>
  <c r="BI21" i="13"/>
  <c r="U96" i="13"/>
  <c r="BK21" i="13" s="1"/>
  <c r="T96" i="13"/>
  <c r="BJ21" i="13" s="1"/>
  <c r="BO17" i="13"/>
  <c r="T106" i="13"/>
  <c r="BP17" i="13" s="1"/>
  <c r="U106" i="13"/>
  <c r="BQ17" i="13" s="1"/>
  <c r="BU15" i="13"/>
  <c r="U118" i="13"/>
  <c r="BW15" i="13" s="1"/>
  <c r="T118" i="13"/>
  <c r="BV15" i="13" s="1"/>
  <c r="CA15" i="13"/>
  <c r="T132" i="13"/>
  <c r="CB15" i="13" s="1"/>
  <c r="U132" i="13"/>
  <c r="CC15" i="13" s="1"/>
  <c r="CA20" i="13"/>
  <c r="U137" i="13"/>
  <c r="CC20" i="13" s="1"/>
  <c r="T137" i="13"/>
  <c r="CB20" i="13" s="1"/>
  <c r="CG20" i="13"/>
  <c r="T151" i="13"/>
  <c r="CH20" i="13" s="1"/>
  <c r="U151" i="13"/>
  <c r="CI20" i="13" s="1"/>
  <c r="CM17" i="13"/>
  <c r="U162" i="13"/>
  <c r="CO17" i="13" s="1"/>
  <c r="T162" i="13"/>
  <c r="CN17" i="13" s="1"/>
  <c r="Y14" i="14"/>
  <c r="T5" i="14"/>
  <c r="Z14" i="14" s="1"/>
  <c r="U5" i="14"/>
  <c r="AA14" i="14" s="1"/>
  <c r="Y22" i="14"/>
  <c r="U13" i="14"/>
  <c r="AA22" i="14" s="1"/>
  <c r="T13" i="14"/>
  <c r="Z22" i="14" s="1"/>
  <c r="AE19" i="14"/>
  <c r="T24" i="14"/>
  <c r="AF19" i="14" s="1"/>
  <c r="U24" i="14"/>
  <c r="AG19" i="14" s="1"/>
  <c r="AK16" i="14"/>
  <c r="T35" i="14"/>
  <c r="AL16" i="14" s="1"/>
  <c r="U35" i="14"/>
  <c r="AM16" i="14" s="1"/>
  <c r="AQ14" i="14"/>
  <c r="T47" i="14"/>
  <c r="AR14" i="14" s="1"/>
  <c r="U47" i="14"/>
  <c r="AS14" i="14" s="1"/>
  <c r="AW14" i="14"/>
  <c r="U61" i="14"/>
  <c r="AY14" i="14" s="1"/>
  <c r="T61" i="14"/>
  <c r="AX14" i="14" s="1"/>
  <c r="AW22" i="14"/>
  <c r="U69" i="14"/>
  <c r="AY22" i="14" s="1"/>
  <c r="T69" i="14"/>
  <c r="AX22" i="14" s="1"/>
  <c r="BC16" i="14"/>
  <c r="T77" i="14"/>
  <c r="BD16" i="14" s="1"/>
  <c r="U77" i="14"/>
  <c r="BE16" i="14" s="1"/>
  <c r="T85" i="14"/>
  <c r="U85" i="14"/>
  <c r="BI20" i="14"/>
  <c r="U95" i="14"/>
  <c r="BK20" i="14" s="1"/>
  <c r="T95" i="14"/>
  <c r="BJ20" i="14" s="1"/>
  <c r="BO17" i="14"/>
  <c r="T106" i="14"/>
  <c r="BP17" i="14" s="1"/>
  <c r="U106" i="14"/>
  <c r="BQ17" i="14" s="1"/>
  <c r="BU14" i="14"/>
  <c r="T117" i="14"/>
  <c r="BV14" i="14" s="1"/>
  <c r="U117" i="14"/>
  <c r="BW14" i="14" s="1"/>
  <c r="BU22" i="14"/>
  <c r="T125" i="14"/>
  <c r="BV22" i="14" s="1"/>
  <c r="U125" i="14"/>
  <c r="BW22" i="14" s="1"/>
  <c r="CA16" i="14"/>
  <c r="U133" i="14"/>
  <c r="CC16" i="14" s="1"/>
  <c r="T133" i="14"/>
  <c r="CB16" i="14" s="1"/>
  <c r="CG14" i="14"/>
  <c r="U145" i="14"/>
  <c r="CI14" i="14" s="1"/>
  <c r="T145" i="14"/>
  <c r="CH14" i="14" s="1"/>
  <c r="U168" i="14"/>
  <c r="T168" i="14"/>
  <c r="Y14" i="15"/>
  <c r="U5" i="15"/>
  <c r="AA14" i="15" s="1"/>
  <c r="T5" i="15"/>
  <c r="Z14" i="15" s="1"/>
  <c r="Y22" i="15"/>
  <c r="U13" i="15"/>
  <c r="AA22" i="15" s="1"/>
  <c r="T13" i="15"/>
  <c r="Z22" i="15" s="1"/>
  <c r="AE20" i="15"/>
  <c r="T25" i="15"/>
  <c r="AF20" i="15" s="1"/>
  <c r="U25" i="15"/>
  <c r="AG20" i="15" s="1"/>
  <c r="AK21" i="15"/>
  <c r="U40" i="15"/>
  <c r="AM21" i="15" s="1"/>
  <c r="T40" i="15"/>
  <c r="AL21" i="15" s="1"/>
  <c r="AQ19" i="15"/>
  <c r="T52" i="15"/>
  <c r="AR19" i="15" s="1"/>
  <c r="U52" i="15"/>
  <c r="AS19" i="15" s="1"/>
  <c r="AW19" i="15"/>
  <c r="T66" i="15"/>
  <c r="AX19" i="15" s="1"/>
  <c r="U66" i="15"/>
  <c r="AY19" i="15" s="1"/>
  <c r="BC20" i="15"/>
  <c r="U81" i="15"/>
  <c r="BE20" i="15" s="1"/>
  <c r="T81" i="15"/>
  <c r="BD20" i="15" s="1"/>
  <c r="BO22" i="15"/>
  <c r="U111" i="15"/>
  <c r="BQ22" i="15" s="1"/>
  <c r="T111" i="15"/>
  <c r="BP22" i="15" s="1"/>
  <c r="BU19" i="15"/>
  <c r="T122" i="15"/>
  <c r="BV19" i="15" s="1"/>
  <c r="U122" i="15"/>
  <c r="BW19" i="15" s="1"/>
  <c r="CA20" i="15"/>
  <c r="T137" i="15"/>
  <c r="CB20" i="15" s="1"/>
  <c r="U137" i="15"/>
  <c r="CC20" i="15" s="1"/>
  <c r="CG21" i="15"/>
  <c r="T152" i="15"/>
  <c r="CH21" i="15" s="1"/>
  <c r="U152" i="15"/>
  <c r="CI21" i="15" s="1"/>
  <c r="Y19" i="16"/>
  <c r="T10" i="16"/>
  <c r="Z19" i="16" s="1"/>
  <c r="U10" i="16"/>
  <c r="AA19" i="16" s="1"/>
  <c r="AE21" i="16"/>
  <c r="U26" i="16"/>
  <c r="AG21" i="16" s="1"/>
  <c r="T26" i="16"/>
  <c r="AF21" i="16" s="1"/>
  <c r="AK21" i="16"/>
  <c r="T40" i="16"/>
  <c r="AL21" i="16" s="1"/>
  <c r="U40" i="16"/>
  <c r="AM21" i="16" s="1"/>
  <c r="AW15" i="16"/>
  <c r="T62" i="16"/>
  <c r="AX15" i="16" s="1"/>
  <c r="U62" i="16"/>
  <c r="AY15" i="16" s="1"/>
  <c r="BC16" i="16"/>
  <c r="T77" i="16"/>
  <c r="BD16" i="16" s="1"/>
  <c r="U77" i="16"/>
  <c r="BE16" i="16" s="1"/>
  <c r="BO14" i="16"/>
  <c r="U103" i="16"/>
  <c r="BQ14" i="16" s="1"/>
  <c r="T103" i="16"/>
  <c r="BP14" i="16" s="1"/>
  <c r="T112" i="16"/>
  <c r="U112" i="16"/>
  <c r="CA17" i="16"/>
  <c r="U134" i="16"/>
  <c r="CC17" i="16" s="1"/>
  <c r="T134" i="16"/>
  <c r="CB17" i="16" s="1"/>
  <c r="CM14" i="16"/>
  <c r="T159" i="16"/>
  <c r="CN14" i="16" s="1"/>
  <c r="U159" i="16"/>
  <c r="CO14" i="16" s="1"/>
  <c r="Y15" i="17"/>
  <c r="U6" i="17"/>
  <c r="AA15" i="17" s="1"/>
  <c r="T6" i="17"/>
  <c r="Z15" i="17" s="1"/>
  <c r="T29" i="17"/>
  <c r="U29" i="17"/>
  <c r="AQ18" i="17"/>
  <c r="T51" i="17"/>
  <c r="AR18" i="17" s="1"/>
  <c r="U51" i="17"/>
  <c r="AS18" i="17" s="1"/>
  <c r="AW19" i="17"/>
  <c r="T66" i="17"/>
  <c r="AX19" i="17" s="1"/>
  <c r="U66" i="17"/>
  <c r="AY19" i="17" s="1"/>
  <c r="BI17" i="17"/>
  <c r="T92" i="17"/>
  <c r="BJ17" i="17" s="1"/>
  <c r="U92" i="17"/>
  <c r="BK17" i="17" s="1"/>
  <c r="BO22" i="17"/>
  <c r="U111" i="17"/>
  <c r="BQ22" i="17" s="1"/>
  <c r="T111" i="17"/>
  <c r="BP22" i="17" s="1"/>
  <c r="CA16" i="17"/>
  <c r="T133" i="17"/>
  <c r="CB16" i="17" s="1"/>
  <c r="U133" i="17"/>
  <c r="CC16" i="17" s="1"/>
  <c r="CM14" i="17"/>
  <c r="U159" i="17"/>
  <c r="CO14" i="17" s="1"/>
  <c r="T159" i="17"/>
  <c r="CN14" i="17" s="1"/>
  <c r="AE14" i="18"/>
  <c r="U19" i="18"/>
  <c r="AG14" i="18" s="1"/>
  <c r="T19" i="18"/>
  <c r="AF14" i="18" s="1"/>
  <c r="T40" i="18"/>
  <c r="U40" i="18"/>
  <c r="AW17" i="18"/>
  <c r="U64" i="18"/>
  <c r="AY17" i="18" s="1"/>
  <c r="T64" i="18"/>
  <c r="AX17" i="18" s="1"/>
  <c r="T126" i="18"/>
  <c r="U126" i="18"/>
  <c r="U167" i="18"/>
  <c r="T167" i="18"/>
  <c r="CA14" i="18"/>
  <c r="U131" i="18"/>
  <c r="CC14" i="18" s="1"/>
  <c r="T131" i="18"/>
  <c r="CB14" i="18" s="1"/>
  <c r="Y17" i="19"/>
  <c r="U8" i="19"/>
  <c r="AA17" i="19" s="1"/>
  <c r="T8" i="19"/>
  <c r="Z17" i="19" s="1"/>
  <c r="U55" i="19"/>
  <c r="T55" i="19"/>
  <c r="T82" i="19"/>
  <c r="U82" i="19"/>
  <c r="U108" i="19"/>
  <c r="T108" i="19"/>
  <c r="T137" i="19"/>
  <c r="U137" i="19"/>
  <c r="T106" i="19"/>
  <c r="U106" i="19"/>
  <c r="Y15" i="20"/>
  <c r="T6" i="20"/>
  <c r="Z15" i="20" s="1"/>
  <c r="U6" i="20"/>
  <c r="AA15" i="20" s="1"/>
  <c r="AE20" i="20"/>
  <c r="T25" i="20"/>
  <c r="AF20" i="20" s="1"/>
  <c r="U25" i="20"/>
  <c r="AG20" i="20" s="1"/>
  <c r="U43" i="20"/>
  <c r="T43" i="20"/>
  <c r="T69" i="20"/>
  <c r="U69" i="20"/>
  <c r="U99" i="20"/>
  <c r="T99" i="20"/>
  <c r="T125" i="20"/>
  <c r="U125" i="20"/>
  <c r="U138" i="20"/>
  <c r="T138" i="20"/>
  <c r="BU14" i="20"/>
  <c r="T117" i="20"/>
  <c r="BV14" i="20" s="1"/>
  <c r="U117" i="20"/>
  <c r="BW14" i="20" s="1"/>
  <c r="BL21" i="21"/>
  <c r="BF24" i="21"/>
  <c r="BF16" i="21"/>
  <c r="AZ19" i="21"/>
  <c r="AT22" i="21"/>
  <c r="AT14" i="21"/>
  <c r="AN17" i="21"/>
  <c r="AH20" i="21"/>
  <c r="AB23" i="21"/>
  <c r="AB15" i="21"/>
  <c r="CM16" i="18"/>
  <c r="T161" i="18"/>
  <c r="CN16" i="18" s="1"/>
  <c r="U161" i="18"/>
  <c r="CO16" i="18" s="1"/>
  <c r="U150" i="18"/>
  <c r="T150" i="18"/>
  <c r="U139" i="18"/>
  <c r="T139" i="18"/>
  <c r="T124" i="18"/>
  <c r="U124" i="18"/>
  <c r="U113" i="18"/>
  <c r="T113" i="18"/>
  <c r="T98" i="18"/>
  <c r="U98" i="18"/>
  <c r="U79" i="18"/>
  <c r="T79" i="18"/>
  <c r="T68" i="18"/>
  <c r="U68" i="18"/>
  <c r="T53" i="18"/>
  <c r="U53" i="18"/>
  <c r="AB23" i="18"/>
  <c r="CA18" i="17"/>
  <c r="T135" i="17"/>
  <c r="CB18" i="17" s="1"/>
  <c r="U135" i="17"/>
  <c r="CC18" i="17" s="1"/>
  <c r="T124" i="17"/>
  <c r="U124" i="17"/>
  <c r="U113" i="17"/>
  <c r="T113" i="17"/>
  <c r="BR14" i="17"/>
  <c r="BI19" i="17"/>
  <c r="T94" i="17"/>
  <c r="BJ19" i="17" s="1"/>
  <c r="U94" i="17"/>
  <c r="BK19" i="17" s="1"/>
  <c r="BC22" i="17"/>
  <c r="T83" i="17"/>
  <c r="BD22" i="17" s="1"/>
  <c r="U83" i="17"/>
  <c r="BE22" i="17" s="1"/>
  <c r="AT18" i="17"/>
  <c r="AK23" i="17"/>
  <c r="T42" i="17"/>
  <c r="AL23" i="17" s="1"/>
  <c r="U42" i="17"/>
  <c r="AM23" i="17" s="1"/>
  <c r="AH16" i="17"/>
  <c r="Y21" i="17"/>
  <c r="U12" i="17"/>
  <c r="AA21" i="17" s="1"/>
  <c r="T12" i="17"/>
  <c r="Z21" i="17" s="1"/>
  <c r="CM16" i="16"/>
  <c r="T161" i="16"/>
  <c r="CN16" i="16" s="1"/>
  <c r="U161" i="16"/>
  <c r="CO16" i="16" s="1"/>
  <c r="U150" i="16"/>
  <c r="T150" i="16"/>
  <c r="T139" i="16"/>
  <c r="U139" i="16"/>
  <c r="CA14" i="16"/>
  <c r="U131" i="16"/>
  <c r="CC14" i="16" s="1"/>
  <c r="T131" i="16"/>
  <c r="CB14" i="16" s="1"/>
  <c r="BU17" i="16"/>
  <c r="U120" i="16"/>
  <c r="BW17" i="16" s="1"/>
  <c r="T120" i="16"/>
  <c r="BV17" i="16" s="1"/>
  <c r="BR18" i="16"/>
  <c r="U98" i="16"/>
  <c r="T98" i="16"/>
  <c r="BF16" i="16"/>
  <c r="AW21" i="16"/>
  <c r="T68" i="16"/>
  <c r="AX21" i="16" s="1"/>
  <c r="U68" i="16"/>
  <c r="AY21" i="16" s="1"/>
  <c r="AT22" i="16"/>
  <c r="AQ16" i="16"/>
  <c r="T49" i="16"/>
  <c r="AR16" i="16" s="1"/>
  <c r="U49" i="16"/>
  <c r="AS16" i="16" s="1"/>
  <c r="AN17" i="16"/>
  <c r="AH20" i="16"/>
  <c r="AE14" i="16"/>
  <c r="T19" i="16"/>
  <c r="AF14" i="16" s="1"/>
  <c r="U19" i="16"/>
  <c r="AG14" i="16" s="1"/>
  <c r="AB15" i="16"/>
  <c r="CP18" i="15"/>
  <c r="T154" i="15"/>
  <c r="U154" i="15"/>
  <c r="CD16" i="15"/>
  <c r="BX19" i="15"/>
  <c r="BI23" i="15"/>
  <c r="U98" i="15"/>
  <c r="BK23" i="15" s="1"/>
  <c r="T98" i="15"/>
  <c r="BJ23" i="15" s="1"/>
  <c r="BF16" i="15"/>
  <c r="AW21" i="15"/>
  <c r="U68" i="15"/>
  <c r="AY21" i="15" s="1"/>
  <c r="T68" i="15"/>
  <c r="AX21" i="15" s="1"/>
  <c r="AT22" i="15"/>
  <c r="AQ16" i="15"/>
  <c r="U49" i="15"/>
  <c r="AS16" i="15" s="1"/>
  <c r="T49" i="15"/>
  <c r="AR16" i="15" s="1"/>
  <c r="AN17" i="15"/>
  <c r="AE22" i="15"/>
  <c r="U27" i="15"/>
  <c r="AG22" i="15" s="1"/>
  <c r="T27" i="15"/>
  <c r="AF22" i="15" s="1"/>
  <c r="AB22" i="18"/>
  <c r="BL20" i="16"/>
  <c r="BF15" i="16"/>
  <c r="BX18" i="15"/>
  <c r="BR21" i="15"/>
  <c r="AN20" i="15"/>
  <c r="CJ16" i="14"/>
  <c r="BX14" i="14"/>
  <c r="BL16" i="14"/>
  <c r="AN20" i="14"/>
  <c r="BR21" i="13"/>
  <c r="BL18" i="17"/>
  <c r="AN14" i="17"/>
  <c r="CJ14" i="16"/>
  <c r="BL14" i="16"/>
  <c r="AN14" i="16"/>
  <c r="BL14" i="15"/>
  <c r="AZ16" i="15"/>
  <c r="AT19" i="15"/>
  <c r="AH17" i="15"/>
  <c r="AB20" i="15"/>
  <c r="CJ14" i="13"/>
  <c r="CD17" i="13"/>
  <c r="BL22" i="13"/>
  <c r="BL14" i="13"/>
  <c r="BF17" i="13"/>
  <c r="AT23" i="13"/>
  <c r="AT15" i="13"/>
  <c r="AN18" i="13"/>
  <c r="AH21" i="13"/>
  <c r="AB16" i="13"/>
  <c r="CJ16" i="19"/>
  <c r="AN16" i="18"/>
  <c r="CP17" i="17"/>
  <c r="CD15" i="17"/>
  <c r="AZ22" i="17"/>
  <c r="AT21" i="17"/>
  <c r="CP17" i="16"/>
  <c r="BF19" i="15"/>
  <c r="AZ18" i="15"/>
  <c r="AT21" i="15"/>
  <c r="AH23" i="15"/>
  <c r="AT17" i="14"/>
  <c r="AB22" i="14"/>
  <c r="BL24" i="13"/>
  <c r="BL16" i="13"/>
  <c r="AN20" i="13"/>
  <c r="BL23" i="21"/>
  <c r="BL15" i="21"/>
  <c r="BF18" i="21"/>
  <c r="AZ21" i="21"/>
  <c r="AT24" i="21"/>
  <c r="AT16" i="21"/>
  <c r="AN19" i="21"/>
  <c r="AH22" i="21"/>
  <c r="AH14" i="21"/>
  <c r="AB17" i="21"/>
  <c r="CJ15" i="20"/>
  <c r="CD18" i="20"/>
  <c r="U126" i="20"/>
  <c r="T126" i="20"/>
  <c r="BU15" i="20"/>
  <c r="U118" i="20"/>
  <c r="BW15" i="20" s="1"/>
  <c r="T118" i="20"/>
  <c r="BV15" i="20" s="1"/>
  <c r="BR16" i="20"/>
  <c r="BL15" i="20"/>
  <c r="T70" i="20"/>
  <c r="U70" i="20"/>
  <c r="AW15" i="20"/>
  <c r="U62" i="20"/>
  <c r="AY15" i="20" s="1"/>
  <c r="T62" i="20"/>
  <c r="AX15" i="20" s="1"/>
  <c r="AN15" i="20"/>
  <c r="AH18" i="20"/>
  <c r="Y23" i="20"/>
  <c r="T14" i="20"/>
  <c r="Z23" i="20" s="1"/>
  <c r="U14" i="20"/>
  <c r="AA23" i="20" s="1"/>
  <c r="AB17" i="20"/>
  <c r="CP16" i="19"/>
  <c r="CA16" i="19"/>
  <c r="T133" i="19"/>
  <c r="CB16" i="19" s="1"/>
  <c r="U133" i="19"/>
  <c r="CC16" i="19" s="1"/>
  <c r="T122" i="19"/>
  <c r="U122" i="19"/>
  <c r="BR16" i="19"/>
  <c r="BC16" i="19"/>
  <c r="U77" i="19"/>
  <c r="BE16" i="19" s="1"/>
  <c r="T77" i="19"/>
  <c r="BD16" i="19" s="1"/>
  <c r="AZ17" i="19"/>
  <c r="AQ14" i="19"/>
  <c r="U47" i="19"/>
  <c r="AS14" i="19" s="1"/>
  <c r="T47" i="19"/>
  <c r="AR14" i="19" s="1"/>
  <c r="AN15" i="19"/>
  <c r="AE20" i="19"/>
  <c r="T25" i="19"/>
  <c r="AF20" i="19" s="1"/>
  <c r="U25" i="19"/>
  <c r="AG20" i="19" s="1"/>
  <c r="AB21" i="19"/>
  <c r="BR16" i="18"/>
  <c r="T85" i="18"/>
  <c r="U85" i="18"/>
  <c r="BF14" i="18"/>
  <c r="AZ17" i="18"/>
  <c r="AT16" i="18"/>
  <c r="AH14" i="18"/>
  <c r="U163" i="17"/>
  <c r="T163" i="17"/>
  <c r="U126" i="17"/>
  <c r="T126" i="17"/>
  <c r="BI21" i="17"/>
  <c r="T96" i="17"/>
  <c r="BJ21" i="17" s="1"/>
  <c r="U96" i="17"/>
  <c r="BK21" i="17" s="1"/>
  <c r="BL15" i="17"/>
  <c r="AQ22" i="17"/>
  <c r="T55" i="17"/>
  <c r="AR22" i="17" s="1"/>
  <c r="U55" i="17"/>
  <c r="AS22" i="17" s="1"/>
  <c r="AT16" i="17"/>
  <c r="AB21" i="17"/>
  <c r="CJ15" i="16"/>
  <c r="CA16" i="16"/>
  <c r="U133" i="16"/>
  <c r="CC16" i="16" s="1"/>
  <c r="T133" i="16"/>
  <c r="CB16" i="16" s="1"/>
  <c r="BX21" i="16"/>
  <c r="BL15" i="16"/>
  <c r="CJ19" i="15"/>
  <c r="CD22" i="15"/>
  <c r="CD14" i="15"/>
  <c r="BX17" i="15"/>
  <c r="BI21" i="15"/>
  <c r="U96" i="15"/>
  <c r="BK21" i="15" s="1"/>
  <c r="T96" i="15"/>
  <c r="BJ21" i="15" s="1"/>
  <c r="BL15" i="15"/>
  <c r="AH14" i="15"/>
  <c r="CP16" i="14"/>
  <c r="CJ15" i="14"/>
  <c r="AQ22" i="14"/>
  <c r="T55" i="14"/>
  <c r="AR22" i="14" s="1"/>
  <c r="U55" i="14"/>
  <c r="AS22" i="14" s="1"/>
  <c r="AT16" i="14"/>
  <c r="CJ15" i="13"/>
  <c r="CD18" i="13"/>
  <c r="BX21" i="13"/>
  <c r="BO22" i="13"/>
  <c r="U111" i="13"/>
  <c r="BQ22" i="13" s="1"/>
  <c r="T111" i="13"/>
  <c r="BP22" i="13" s="1"/>
  <c r="BR16" i="13"/>
  <c r="BL19" i="13"/>
  <c r="BF22" i="13"/>
  <c r="BF14" i="13"/>
  <c r="AZ17" i="13"/>
  <c r="AT20" i="13"/>
  <c r="AQ14" i="13"/>
  <c r="T47" i="13"/>
  <c r="AR14" i="13" s="1"/>
  <c r="U47" i="13"/>
  <c r="AS14" i="13" s="1"/>
  <c r="AN19" i="13"/>
  <c r="BF23" i="21"/>
  <c r="AZ18" i="21"/>
  <c r="AT21" i="21"/>
  <c r="AN24" i="21"/>
  <c r="AN16" i="21"/>
  <c r="AH19" i="21"/>
  <c r="AB22" i="21"/>
  <c r="AB14" i="21"/>
  <c r="CD15" i="20"/>
  <c r="AH23" i="20"/>
  <c r="AB18" i="20"/>
  <c r="AB14" i="19"/>
  <c r="CJ16" i="18"/>
  <c r="AN20" i="18"/>
  <c r="CD19" i="17"/>
  <c r="BR21" i="17"/>
  <c r="BF15" i="17"/>
  <c r="AN20" i="17"/>
  <c r="BR21" i="16"/>
  <c r="BR17" i="15"/>
  <c r="AZ22" i="15"/>
  <c r="AH15" i="15"/>
  <c r="AB18" i="15"/>
  <c r="CD19" i="14"/>
  <c r="BR21" i="14"/>
  <c r="AZ22" i="14"/>
  <c r="CP21" i="13"/>
  <c r="CD19" i="13"/>
  <c r="BX22" i="13"/>
  <c r="AZ14" i="13"/>
  <c r="AH22" i="18"/>
  <c r="Q27" i="18"/>
  <c r="S27" i="18" s="1"/>
  <c r="CP17" i="15"/>
  <c r="Q162" i="15"/>
  <c r="S162" i="15" s="1"/>
  <c r="CJ18" i="14"/>
  <c r="Q149" i="14"/>
  <c r="S149" i="14" s="1"/>
  <c r="U24" i="21"/>
  <c r="AG19" i="21" s="1"/>
  <c r="T24" i="21"/>
  <c r="AF19" i="21" s="1"/>
  <c r="U9" i="21"/>
  <c r="AA18" i="21" s="1"/>
  <c r="T9" i="21"/>
  <c r="Z18" i="21" s="1"/>
  <c r="U22" i="21"/>
  <c r="AG17" i="21" s="1"/>
  <c r="T22" i="21"/>
  <c r="AF17" i="21" s="1"/>
  <c r="U35" i="21"/>
  <c r="AM16" i="21" s="1"/>
  <c r="T35" i="21"/>
  <c r="AL16" i="21" s="1"/>
  <c r="U55" i="21"/>
  <c r="AS22" i="21" s="1"/>
  <c r="T55" i="21"/>
  <c r="AR22" i="21" s="1"/>
  <c r="T63" i="21"/>
  <c r="AX16" i="21" s="1"/>
  <c r="U63" i="21"/>
  <c r="AY16" i="21" s="1"/>
  <c r="T97" i="21"/>
  <c r="BJ22" i="21" s="1"/>
  <c r="U97" i="21"/>
  <c r="BK22" i="21" s="1"/>
  <c r="U94" i="21"/>
  <c r="BK19" i="21" s="1"/>
  <c r="T94" i="21"/>
  <c r="BJ19" i="21" s="1"/>
  <c r="U68" i="21"/>
  <c r="AY21" i="21" s="1"/>
  <c r="T68" i="21"/>
  <c r="AX21" i="21" s="1"/>
  <c r="U49" i="21"/>
  <c r="AS16" i="21" s="1"/>
  <c r="T49" i="21"/>
  <c r="AR16" i="21" s="1"/>
  <c r="U23" i="21"/>
  <c r="AG18" i="21" s="1"/>
  <c r="T23" i="21"/>
  <c r="AF18" i="21" s="1"/>
  <c r="U20" i="21"/>
  <c r="AG15" i="21" s="1"/>
  <c r="T20" i="21"/>
  <c r="AF15" i="21" s="1"/>
  <c r="Q104" i="21"/>
  <c r="S104" i="21" s="1"/>
  <c r="BO15" i="21" s="1"/>
  <c r="U96" i="21"/>
  <c r="BK21" i="21" s="1"/>
  <c r="T96" i="21"/>
  <c r="BJ21" i="21" s="1"/>
  <c r="U85" i="21"/>
  <c r="BE24" i="21" s="1"/>
  <c r="T85" i="21"/>
  <c r="BD24" i="21" s="1"/>
  <c r="U62" i="21"/>
  <c r="AY15" i="21" s="1"/>
  <c r="T62" i="21"/>
  <c r="AX15" i="21" s="1"/>
  <c r="U47" i="21"/>
  <c r="AS14" i="21" s="1"/>
  <c r="T47" i="21"/>
  <c r="AR14" i="21" s="1"/>
  <c r="U21" i="21"/>
  <c r="AG16" i="21" s="1"/>
  <c r="T21" i="21"/>
  <c r="AF16" i="21" s="1"/>
  <c r="U28" i="21"/>
  <c r="AG23" i="21" s="1"/>
  <c r="T28" i="21"/>
  <c r="AF23" i="21" s="1"/>
  <c r="U13" i="21"/>
  <c r="AA22" i="21" s="1"/>
  <c r="T13" i="21"/>
  <c r="Z22" i="21" s="1"/>
  <c r="U5" i="21"/>
  <c r="AA14" i="21" s="1"/>
  <c r="T5" i="21"/>
  <c r="Z14" i="21" s="1"/>
  <c r="T39" i="21"/>
  <c r="AL20" i="21" s="1"/>
  <c r="U39" i="21"/>
  <c r="AM20" i="21" s="1"/>
  <c r="U42" i="21"/>
  <c r="AM23" i="21" s="1"/>
  <c r="T42" i="21"/>
  <c r="AL23" i="21" s="1"/>
  <c r="T67" i="21"/>
  <c r="AX20" i="21" s="1"/>
  <c r="U67" i="21"/>
  <c r="AY20" i="21" s="1"/>
  <c r="U70" i="21"/>
  <c r="AY23" i="21" s="1"/>
  <c r="T70" i="21"/>
  <c r="AX23" i="21" s="1"/>
  <c r="U83" i="21"/>
  <c r="BE22" i="21" s="1"/>
  <c r="T83" i="21"/>
  <c r="BD22" i="21" s="1"/>
  <c r="Q113" i="21"/>
  <c r="S113" i="21" s="1"/>
  <c r="BO24" i="21" s="1"/>
  <c r="Q109" i="21"/>
  <c r="S109" i="21" s="1"/>
  <c r="BO20" i="21" s="1"/>
  <c r="Q105" i="21"/>
  <c r="S105" i="21" s="1"/>
  <c r="Q110" i="21"/>
  <c r="S110" i="21" s="1"/>
  <c r="U79" i="21"/>
  <c r="BE18" i="21" s="1"/>
  <c r="T79" i="21"/>
  <c r="BD18" i="21" s="1"/>
  <c r="U57" i="21"/>
  <c r="AS24" i="21" s="1"/>
  <c r="T57" i="21"/>
  <c r="AR24" i="21" s="1"/>
  <c r="U34" i="21"/>
  <c r="AM15" i="21" s="1"/>
  <c r="T34" i="21"/>
  <c r="AL15" i="21" s="1"/>
  <c r="U12" i="21"/>
  <c r="AA21" i="21" s="1"/>
  <c r="T12" i="21"/>
  <c r="Z21" i="21" s="1"/>
  <c r="T54" i="21"/>
  <c r="AR21" i="21" s="1"/>
  <c r="U54" i="21"/>
  <c r="AS21" i="21" s="1"/>
  <c r="U36" i="21"/>
  <c r="AM17" i="21" s="1"/>
  <c r="T36" i="21"/>
  <c r="AL17" i="21" s="1"/>
  <c r="U26" i="21"/>
  <c r="AG21" i="21" s="1"/>
  <c r="T26" i="21"/>
  <c r="AF21" i="21" s="1"/>
  <c r="U29" i="21"/>
  <c r="AG24" i="21" s="1"/>
  <c r="T29" i="21"/>
  <c r="AF24" i="21" s="1"/>
  <c r="U11" i="21"/>
  <c r="AA20" i="21" s="1"/>
  <c r="T11" i="21"/>
  <c r="Z20" i="21" s="1"/>
  <c r="U7" i="21"/>
  <c r="AA16" i="21" s="1"/>
  <c r="T7" i="21"/>
  <c r="Z16" i="21" s="1"/>
  <c r="U14" i="21"/>
  <c r="AA23" i="21" s="1"/>
  <c r="T14" i="21"/>
  <c r="Z23" i="21" s="1"/>
  <c r="T41" i="21"/>
  <c r="AL22" i="21" s="1"/>
  <c r="U41" i="21"/>
  <c r="AM22" i="21" s="1"/>
  <c r="T37" i="21"/>
  <c r="AL18" i="21" s="1"/>
  <c r="U37" i="21"/>
  <c r="AM18" i="21" s="1"/>
  <c r="U33" i="21"/>
  <c r="AM14" i="21" s="1"/>
  <c r="T33" i="21"/>
  <c r="AL14" i="21" s="1"/>
  <c r="T56" i="21"/>
  <c r="AR23" i="21" s="1"/>
  <c r="U56" i="21"/>
  <c r="AS23" i="21" s="1"/>
  <c r="T69" i="21"/>
  <c r="AX22" i="21" s="1"/>
  <c r="U69" i="21"/>
  <c r="AY22" i="21" s="1"/>
  <c r="T65" i="21"/>
  <c r="AX18" i="21" s="1"/>
  <c r="U65" i="21"/>
  <c r="AY18" i="21" s="1"/>
  <c r="T61" i="21"/>
  <c r="AX14" i="21" s="1"/>
  <c r="U61" i="21"/>
  <c r="AY14" i="21" s="1"/>
  <c r="T84" i="21"/>
  <c r="BD23" i="21" s="1"/>
  <c r="U84" i="21"/>
  <c r="BE23" i="21" s="1"/>
  <c r="U81" i="21"/>
  <c r="BE20" i="21" s="1"/>
  <c r="T81" i="21"/>
  <c r="BD20" i="21" s="1"/>
  <c r="U98" i="21"/>
  <c r="BK23" i="21" s="1"/>
  <c r="T98" i="21"/>
  <c r="BJ23" i="21" s="1"/>
  <c r="Q111" i="21"/>
  <c r="S111" i="21" s="1"/>
  <c r="Q107" i="21"/>
  <c r="S107" i="21" s="1"/>
  <c r="Q112" i="21"/>
  <c r="S112" i="21" s="1"/>
  <c r="Q106" i="21"/>
  <c r="S106" i="21" s="1"/>
  <c r="U90" i="21"/>
  <c r="BK15" i="21" s="1"/>
  <c r="T90" i="21"/>
  <c r="BJ15" i="21" s="1"/>
  <c r="U75" i="21"/>
  <c r="BE14" i="21" s="1"/>
  <c r="T75" i="21"/>
  <c r="BD14" i="21" s="1"/>
  <c r="U64" i="21"/>
  <c r="AY17" i="21" s="1"/>
  <c r="T64" i="21"/>
  <c r="AX17" i="21" s="1"/>
  <c r="U53" i="21"/>
  <c r="AS20" i="21" s="1"/>
  <c r="T53" i="21"/>
  <c r="AR20" i="21" s="1"/>
  <c r="U38" i="21"/>
  <c r="AM19" i="21" s="1"/>
  <c r="T38" i="21"/>
  <c r="AL19" i="21" s="1"/>
  <c r="U27" i="21"/>
  <c r="AG22" i="21" s="1"/>
  <c r="T27" i="21"/>
  <c r="AF22" i="21" s="1"/>
  <c r="U19" i="21"/>
  <c r="AG14" i="21" s="1"/>
  <c r="T19" i="21"/>
  <c r="AF14" i="21" s="1"/>
  <c r="U8" i="21"/>
  <c r="AA17" i="21" s="1"/>
  <c r="T8" i="21"/>
  <c r="Z17" i="21" s="1"/>
  <c r="U6" i="21"/>
  <c r="AA15" i="21" s="1"/>
  <c r="T6" i="21"/>
  <c r="Z15" i="21" s="1"/>
  <c r="T43" i="21"/>
  <c r="AL24" i="21" s="1"/>
  <c r="U43" i="21"/>
  <c r="AM24" i="21" s="1"/>
  <c r="U66" i="21"/>
  <c r="AY19" i="21" s="1"/>
  <c r="T66" i="21"/>
  <c r="AX19" i="21" s="1"/>
  <c r="Q108" i="21"/>
  <c r="S108" i="21" s="1"/>
  <c r="U92" i="21"/>
  <c r="BK17" i="21" s="1"/>
  <c r="T92" i="21"/>
  <c r="BJ17" i="21" s="1"/>
  <c r="U77" i="21"/>
  <c r="BE16" i="21" s="1"/>
  <c r="T77" i="21"/>
  <c r="BD16" i="21" s="1"/>
  <c r="U51" i="21"/>
  <c r="AS18" i="21" s="1"/>
  <c r="T51" i="21"/>
  <c r="AR18" i="21" s="1"/>
  <c r="U40" i="21"/>
  <c r="AM21" i="21" s="1"/>
  <c r="T40" i="21"/>
  <c r="AL21" i="21" s="1"/>
  <c r="U25" i="21"/>
  <c r="AG20" i="21" s="1"/>
  <c r="T25" i="21"/>
  <c r="AF20" i="21" s="1"/>
  <c r="U10" i="21"/>
  <c r="AA19" i="21" s="1"/>
  <c r="T10" i="21"/>
  <c r="Z19" i="21" s="1"/>
  <c r="U127" i="21"/>
  <c r="T127" i="21"/>
  <c r="U122" i="21"/>
  <c r="BW19" i="21" s="1"/>
  <c r="T122" i="21"/>
  <c r="BV19" i="21" s="1"/>
  <c r="U124" i="21"/>
  <c r="BW21" i="21" s="1"/>
  <c r="T124" i="21"/>
  <c r="BV21" i="21" s="1"/>
  <c r="U126" i="21"/>
  <c r="BW23" i="21" s="1"/>
  <c r="T126" i="21"/>
  <c r="BV23" i="21" s="1"/>
  <c r="U120" i="21"/>
  <c r="BW17" i="21" s="1"/>
  <c r="T120" i="21"/>
  <c r="BV17" i="21" s="1"/>
  <c r="I169" i="12"/>
  <c r="R169" i="12" s="1"/>
  <c r="G169" i="12"/>
  <c r="F169" i="12"/>
  <c r="I168" i="12"/>
  <c r="G168" i="12"/>
  <c r="F168" i="12"/>
  <c r="I167" i="12"/>
  <c r="G167" i="12"/>
  <c r="F167" i="12"/>
  <c r="I166" i="12"/>
  <c r="G166" i="12"/>
  <c r="F166" i="12"/>
  <c r="I165" i="12"/>
  <c r="G165" i="12"/>
  <c r="F165" i="12"/>
  <c r="I164" i="12"/>
  <c r="G164" i="12"/>
  <c r="F164" i="12"/>
  <c r="I163" i="12"/>
  <c r="G163" i="12"/>
  <c r="F163" i="12"/>
  <c r="I162" i="12"/>
  <c r="G162" i="12"/>
  <c r="F162" i="12"/>
  <c r="I161" i="12"/>
  <c r="G161" i="12"/>
  <c r="F161" i="12"/>
  <c r="I160" i="12"/>
  <c r="G160" i="12"/>
  <c r="F160" i="12"/>
  <c r="I159" i="12"/>
  <c r="G159" i="12"/>
  <c r="F159" i="12"/>
  <c r="I155" i="12"/>
  <c r="G155" i="12"/>
  <c r="F155" i="12"/>
  <c r="H155" i="12" s="1"/>
  <c r="Q155" i="12" s="1"/>
  <c r="S155" i="12" s="1"/>
  <c r="I154" i="12"/>
  <c r="G154" i="12"/>
  <c r="F154" i="12"/>
  <c r="I153" i="12"/>
  <c r="G153" i="12"/>
  <c r="F153" i="12"/>
  <c r="I152" i="12"/>
  <c r="G152" i="12"/>
  <c r="F152" i="12"/>
  <c r="I151" i="12"/>
  <c r="G151" i="12"/>
  <c r="F151" i="12"/>
  <c r="I150" i="12"/>
  <c r="G150" i="12"/>
  <c r="F150" i="12"/>
  <c r="I149" i="12"/>
  <c r="G149" i="12"/>
  <c r="F149" i="12"/>
  <c r="I148" i="12"/>
  <c r="G148" i="12"/>
  <c r="F148" i="12"/>
  <c r="I147" i="12"/>
  <c r="G147" i="12"/>
  <c r="F147" i="12"/>
  <c r="H147" i="12" s="1"/>
  <c r="Q147" i="12" s="1"/>
  <c r="S147" i="12" s="1"/>
  <c r="I146" i="12"/>
  <c r="G146" i="12"/>
  <c r="F146" i="12"/>
  <c r="I145" i="12"/>
  <c r="G145" i="12"/>
  <c r="F145" i="12"/>
  <c r="I141" i="12"/>
  <c r="G141" i="12"/>
  <c r="F141" i="12"/>
  <c r="I140" i="12"/>
  <c r="G140" i="12"/>
  <c r="F140" i="12"/>
  <c r="I139" i="12"/>
  <c r="G139" i="12"/>
  <c r="F139" i="12"/>
  <c r="I138" i="12"/>
  <c r="G138" i="12"/>
  <c r="F138" i="12"/>
  <c r="I137" i="12"/>
  <c r="G137" i="12"/>
  <c r="F137" i="12"/>
  <c r="I136" i="12"/>
  <c r="G136" i="12"/>
  <c r="F136" i="12"/>
  <c r="H136" i="12" s="1"/>
  <c r="Q136" i="12" s="1"/>
  <c r="S136" i="12" s="1"/>
  <c r="I135" i="12"/>
  <c r="G135" i="12"/>
  <c r="F135" i="12"/>
  <c r="I134" i="12"/>
  <c r="G134" i="12"/>
  <c r="F134" i="12"/>
  <c r="I133" i="12"/>
  <c r="G133" i="12"/>
  <c r="F133" i="12"/>
  <c r="I132" i="12"/>
  <c r="G132" i="12"/>
  <c r="F132" i="12"/>
  <c r="I131" i="12"/>
  <c r="G131" i="12"/>
  <c r="F131" i="12"/>
  <c r="I127" i="12"/>
  <c r="G127" i="12"/>
  <c r="F127" i="12"/>
  <c r="I126" i="12"/>
  <c r="G126" i="12"/>
  <c r="F126" i="12"/>
  <c r="I125" i="12"/>
  <c r="G125" i="12"/>
  <c r="F125" i="12"/>
  <c r="H125" i="12" s="1"/>
  <c r="Q125" i="12" s="1"/>
  <c r="S125" i="12" s="1"/>
  <c r="I124" i="12"/>
  <c r="G124" i="12"/>
  <c r="F124" i="12"/>
  <c r="I123" i="12"/>
  <c r="G123" i="12"/>
  <c r="F123" i="12"/>
  <c r="I122" i="12"/>
  <c r="G122" i="12"/>
  <c r="F122" i="12"/>
  <c r="I121" i="12"/>
  <c r="G121" i="12"/>
  <c r="F121" i="12"/>
  <c r="I120" i="12"/>
  <c r="G120" i="12"/>
  <c r="F120" i="12"/>
  <c r="I119" i="12"/>
  <c r="G119" i="12"/>
  <c r="F119" i="12"/>
  <c r="I118" i="12"/>
  <c r="G118" i="12"/>
  <c r="F118" i="12"/>
  <c r="I117" i="12"/>
  <c r="G117" i="12"/>
  <c r="F117" i="12"/>
  <c r="H117" i="12" s="1"/>
  <c r="Q117" i="12" s="1"/>
  <c r="S117" i="12" s="1"/>
  <c r="I113" i="12"/>
  <c r="G113" i="12"/>
  <c r="F113" i="12"/>
  <c r="I112" i="12"/>
  <c r="G112" i="12"/>
  <c r="F112" i="12"/>
  <c r="I111" i="12"/>
  <c r="G111" i="12"/>
  <c r="F111" i="12"/>
  <c r="I110" i="12"/>
  <c r="G110" i="12"/>
  <c r="F110" i="12"/>
  <c r="I109" i="12"/>
  <c r="G109" i="12"/>
  <c r="F109" i="12"/>
  <c r="I108" i="12"/>
  <c r="G108" i="12"/>
  <c r="F108" i="12"/>
  <c r="I107" i="12"/>
  <c r="G107" i="12"/>
  <c r="F107" i="12"/>
  <c r="I106" i="12"/>
  <c r="G106" i="12"/>
  <c r="F106" i="12"/>
  <c r="H106" i="12" s="1"/>
  <c r="Q106" i="12" s="1"/>
  <c r="S106" i="12" s="1"/>
  <c r="I105" i="12"/>
  <c r="G105" i="12"/>
  <c r="F105" i="12"/>
  <c r="I104" i="12"/>
  <c r="G104" i="12"/>
  <c r="F104" i="12"/>
  <c r="I103" i="12"/>
  <c r="G103" i="12"/>
  <c r="F103" i="12"/>
  <c r="I99" i="12"/>
  <c r="G99" i="12"/>
  <c r="F99" i="12"/>
  <c r="I98" i="12"/>
  <c r="G98" i="12"/>
  <c r="F98" i="12"/>
  <c r="I97" i="12"/>
  <c r="G97" i="12"/>
  <c r="F97" i="12"/>
  <c r="I96" i="12"/>
  <c r="G96" i="12"/>
  <c r="F96" i="12"/>
  <c r="I95" i="12"/>
  <c r="G95" i="12"/>
  <c r="F95" i="12"/>
  <c r="H95" i="12" s="1"/>
  <c r="Q95" i="12" s="1"/>
  <c r="S95" i="12" s="1"/>
  <c r="I94" i="12"/>
  <c r="G94" i="12"/>
  <c r="F94" i="12"/>
  <c r="I93" i="12"/>
  <c r="G93" i="12"/>
  <c r="F93" i="12"/>
  <c r="I92" i="12"/>
  <c r="G92" i="12"/>
  <c r="F92" i="12"/>
  <c r="I91" i="12"/>
  <c r="G91" i="12"/>
  <c r="F91" i="12"/>
  <c r="I90" i="12"/>
  <c r="G90" i="12"/>
  <c r="F90" i="12"/>
  <c r="I89" i="12"/>
  <c r="G89" i="12"/>
  <c r="F89" i="12"/>
  <c r="I85" i="12"/>
  <c r="G85" i="12"/>
  <c r="F85" i="12"/>
  <c r="I84" i="12"/>
  <c r="G84" i="12"/>
  <c r="H84" i="12"/>
  <c r="Q84" i="12" s="1"/>
  <c r="S84" i="12" s="1"/>
  <c r="I83" i="12"/>
  <c r="G83" i="12"/>
  <c r="F83" i="12"/>
  <c r="I82" i="12"/>
  <c r="G82" i="12"/>
  <c r="F82" i="12"/>
  <c r="I81" i="12"/>
  <c r="G81" i="12"/>
  <c r="F81" i="12"/>
  <c r="I80" i="12"/>
  <c r="G80" i="12"/>
  <c r="F80" i="12"/>
  <c r="I79" i="12"/>
  <c r="G79" i="12"/>
  <c r="F79" i="12"/>
  <c r="I78" i="12"/>
  <c r="G78" i="12"/>
  <c r="F78" i="12"/>
  <c r="I77" i="12"/>
  <c r="G77" i="12"/>
  <c r="F77" i="12"/>
  <c r="I76" i="12"/>
  <c r="G76" i="12"/>
  <c r="F76" i="12"/>
  <c r="H76" i="12" s="1"/>
  <c r="Q76" i="12" s="1"/>
  <c r="S76" i="12" s="1"/>
  <c r="I75" i="12"/>
  <c r="G75" i="12"/>
  <c r="F75" i="12"/>
  <c r="I71" i="12"/>
  <c r="G71" i="12"/>
  <c r="F71" i="12"/>
  <c r="H71" i="12" s="1"/>
  <c r="Q71" i="12" s="1"/>
  <c r="S71" i="12" s="1"/>
  <c r="I70" i="12"/>
  <c r="G70" i="12"/>
  <c r="F70" i="12"/>
  <c r="I69" i="12"/>
  <c r="G69" i="12"/>
  <c r="F69" i="12"/>
  <c r="I68" i="12"/>
  <c r="G68" i="12"/>
  <c r="F68" i="12"/>
  <c r="I67" i="12"/>
  <c r="G67" i="12"/>
  <c r="F67" i="12"/>
  <c r="I66" i="12"/>
  <c r="G66" i="12"/>
  <c r="F66" i="12"/>
  <c r="I65" i="12"/>
  <c r="G65" i="12"/>
  <c r="F65" i="12"/>
  <c r="H65" i="12" s="1"/>
  <c r="Q65" i="12" s="1"/>
  <c r="S65" i="12" s="1"/>
  <c r="I64" i="12"/>
  <c r="G64" i="12"/>
  <c r="F64" i="12"/>
  <c r="I63" i="12"/>
  <c r="G63" i="12"/>
  <c r="F63" i="12"/>
  <c r="H63" i="12" s="1"/>
  <c r="Q63" i="12" s="1"/>
  <c r="S63" i="12" s="1"/>
  <c r="I62" i="12"/>
  <c r="G62" i="12"/>
  <c r="F62" i="12"/>
  <c r="I61" i="12"/>
  <c r="G61" i="12"/>
  <c r="F61" i="12"/>
  <c r="I57" i="12"/>
  <c r="G57" i="12"/>
  <c r="F57" i="12"/>
  <c r="I56" i="12"/>
  <c r="G56" i="12"/>
  <c r="F56" i="12"/>
  <c r="I55" i="12"/>
  <c r="G55" i="12"/>
  <c r="F55" i="12"/>
  <c r="I54" i="12"/>
  <c r="G54" i="12"/>
  <c r="F54" i="12"/>
  <c r="H54" i="12" s="1"/>
  <c r="Q54" i="12" s="1"/>
  <c r="S54" i="12" s="1"/>
  <c r="I53" i="12"/>
  <c r="G53" i="12"/>
  <c r="F53" i="12"/>
  <c r="I52" i="12"/>
  <c r="G52" i="12"/>
  <c r="F52" i="12"/>
  <c r="I51" i="12"/>
  <c r="G51" i="12"/>
  <c r="F51" i="12"/>
  <c r="I50" i="12"/>
  <c r="G50" i="12"/>
  <c r="F50" i="12"/>
  <c r="I49" i="12"/>
  <c r="G49" i="12"/>
  <c r="F49" i="12"/>
  <c r="I48" i="12"/>
  <c r="G48" i="12"/>
  <c r="F48" i="12"/>
  <c r="I47" i="12"/>
  <c r="G47" i="12"/>
  <c r="F47" i="12"/>
  <c r="I43" i="12"/>
  <c r="G43" i="12"/>
  <c r="F43" i="12"/>
  <c r="I42" i="12"/>
  <c r="G42" i="12"/>
  <c r="F42" i="12"/>
  <c r="I41" i="12"/>
  <c r="G41" i="12"/>
  <c r="F41" i="12"/>
  <c r="I40" i="12"/>
  <c r="G40" i="12"/>
  <c r="F40" i="12"/>
  <c r="I39" i="12"/>
  <c r="G39" i="12"/>
  <c r="F39" i="12"/>
  <c r="I38" i="12"/>
  <c r="G38" i="12"/>
  <c r="F38" i="12"/>
  <c r="I37" i="12"/>
  <c r="G37" i="12"/>
  <c r="F37" i="12"/>
  <c r="I36" i="12"/>
  <c r="G36" i="12"/>
  <c r="F36" i="12"/>
  <c r="I35" i="12"/>
  <c r="G35" i="12"/>
  <c r="F35" i="12"/>
  <c r="H35" i="12" s="1"/>
  <c r="Q35" i="12" s="1"/>
  <c r="S35" i="12" s="1"/>
  <c r="I34" i="12"/>
  <c r="G34" i="12"/>
  <c r="F34" i="12"/>
  <c r="I33" i="12"/>
  <c r="G33" i="12"/>
  <c r="F33" i="12"/>
  <c r="I29" i="12"/>
  <c r="G29" i="12"/>
  <c r="F29" i="12"/>
  <c r="I28" i="12"/>
  <c r="G28" i="12"/>
  <c r="F28" i="12"/>
  <c r="I27" i="12"/>
  <c r="G27" i="12"/>
  <c r="F27" i="12"/>
  <c r="I26" i="12"/>
  <c r="G26" i="12"/>
  <c r="F26" i="12"/>
  <c r="H26" i="12" s="1"/>
  <c r="Q26" i="12" s="1"/>
  <c r="S26" i="12" s="1"/>
  <c r="I25" i="12"/>
  <c r="G25" i="12"/>
  <c r="F25" i="12"/>
  <c r="I24" i="12"/>
  <c r="G24" i="12"/>
  <c r="F24" i="12"/>
  <c r="H24" i="12" s="1"/>
  <c r="Q24" i="12" s="1"/>
  <c r="S24" i="12" s="1"/>
  <c r="I23" i="12"/>
  <c r="G23" i="12"/>
  <c r="F23" i="12"/>
  <c r="I22" i="12"/>
  <c r="G22" i="12"/>
  <c r="F22" i="12"/>
  <c r="I21" i="12"/>
  <c r="G21" i="12"/>
  <c r="F21" i="12"/>
  <c r="I20" i="12"/>
  <c r="G20" i="12"/>
  <c r="F20" i="12"/>
  <c r="I19" i="12"/>
  <c r="G19" i="12"/>
  <c r="F19" i="12"/>
  <c r="I15" i="12"/>
  <c r="G15" i="12"/>
  <c r="F15" i="12"/>
  <c r="H15" i="12" s="1"/>
  <c r="Q15" i="12" s="1"/>
  <c r="S15" i="12" s="1"/>
  <c r="I14" i="12"/>
  <c r="G14" i="12"/>
  <c r="F14" i="12"/>
  <c r="I13" i="12"/>
  <c r="G13" i="12"/>
  <c r="F13" i="12"/>
  <c r="H13" i="12" s="1"/>
  <c r="Q13" i="12" s="1"/>
  <c r="S13" i="12" s="1"/>
  <c r="I12" i="12"/>
  <c r="G12" i="12"/>
  <c r="F12" i="12"/>
  <c r="I11" i="12"/>
  <c r="G11" i="12"/>
  <c r="F11" i="12"/>
  <c r="I10" i="12"/>
  <c r="G10" i="12"/>
  <c r="F10" i="12"/>
  <c r="I9" i="12"/>
  <c r="G9" i="12"/>
  <c r="F9" i="12"/>
  <c r="I8" i="12"/>
  <c r="G8" i="12"/>
  <c r="F8" i="12"/>
  <c r="I7" i="12"/>
  <c r="G7" i="12"/>
  <c r="F7" i="12"/>
  <c r="I6" i="12"/>
  <c r="G6" i="12"/>
  <c r="F6" i="12"/>
  <c r="I5" i="12"/>
  <c r="G5" i="12"/>
  <c r="F5" i="12"/>
  <c r="H5" i="12" s="1"/>
  <c r="Q5" i="12" s="1"/>
  <c r="S5" i="12" s="1"/>
  <c r="F84" i="11"/>
  <c r="I99" i="11"/>
  <c r="R99" i="11" s="1"/>
  <c r="G99" i="11"/>
  <c r="F99" i="11"/>
  <c r="I98" i="11"/>
  <c r="R98" i="11" s="1"/>
  <c r="G98" i="11"/>
  <c r="F98" i="11"/>
  <c r="I97" i="11"/>
  <c r="R97" i="11" s="1"/>
  <c r="G97" i="11"/>
  <c r="F97" i="11"/>
  <c r="H97" i="11" s="1"/>
  <c r="Q97" i="11" s="1"/>
  <c r="S97" i="11" s="1"/>
  <c r="I96" i="11"/>
  <c r="R96" i="11" s="1"/>
  <c r="G96" i="11"/>
  <c r="F96" i="11"/>
  <c r="I95" i="11"/>
  <c r="G95" i="11"/>
  <c r="F95" i="11"/>
  <c r="H95" i="11" s="1"/>
  <c r="Q95" i="11" s="1"/>
  <c r="S95" i="11" s="1"/>
  <c r="I94" i="11"/>
  <c r="G94" i="11"/>
  <c r="F94" i="11"/>
  <c r="I93" i="11"/>
  <c r="G93" i="11"/>
  <c r="F93" i="11"/>
  <c r="H93" i="11" s="1"/>
  <c r="Q93" i="11" s="1"/>
  <c r="S93" i="11" s="1"/>
  <c r="I92" i="11"/>
  <c r="G92" i="11"/>
  <c r="F92" i="11"/>
  <c r="I91" i="11"/>
  <c r="G91" i="11"/>
  <c r="F91" i="11"/>
  <c r="I90" i="11"/>
  <c r="G90" i="11"/>
  <c r="F90" i="11"/>
  <c r="I89" i="11"/>
  <c r="G89" i="11"/>
  <c r="F89" i="11"/>
  <c r="I85" i="11"/>
  <c r="R85" i="11" s="1"/>
  <c r="G85" i="11"/>
  <c r="F85" i="11"/>
  <c r="I84" i="11"/>
  <c r="R84" i="11" s="1"/>
  <c r="G84" i="11"/>
  <c r="I83" i="11"/>
  <c r="R83" i="11" s="1"/>
  <c r="G83" i="11"/>
  <c r="F83" i="11"/>
  <c r="H83" i="11" s="1"/>
  <c r="Q83" i="11" s="1"/>
  <c r="S83" i="11" s="1"/>
  <c r="I82" i="11"/>
  <c r="G82" i="11"/>
  <c r="F82" i="11"/>
  <c r="I81" i="11"/>
  <c r="G81" i="11"/>
  <c r="F81" i="11"/>
  <c r="I80" i="11"/>
  <c r="G80" i="11"/>
  <c r="F80" i="11"/>
  <c r="I79" i="11"/>
  <c r="G79" i="11"/>
  <c r="F79" i="11"/>
  <c r="I78" i="11"/>
  <c r="G78" i="11"/>
  <c r="F78" i="11"/>
  <c r="I77" i="11"/>
  <c r="G77" i="11"/>
  <c r="F77" i="11"/>
  <c r="I76" i="11"/>
  <c r="G76" i="11"/>
  <c r="F76" i="11"/>
  <c r="I75" i="11"/>
  <c r="G75" i="11"/>
  <c r="F75" i="11"/>
  <c r="H75" i="11" s="1"/>
  <c r="Q75" i="11" s="1"/>
  <c r="S75" i="11" s="1"/>
  <c r="I71" i="11"/>
  <c r="R71" i="11" s="1"/>
  <c r="G71" i="11"/>
  <c r="F71" i="11"/>
  <c r="I70" i="11"/>
  <c r="R70" i="11" s="1"/>
  <c r="G70" i="11"/>
  <c r="F70" i="11"/>
  <c r="H70" i="11" s="1"/>
  <c r="Q70" i="11" s="1"/>
  <c r="S70" i="11" s="1"/>
  <c r="I69" i="11"/>
  <c r="G69" i="11"/>
  <c r="F69" i="11"/>
  <c r="I68" i="11"/>
  <c r="G68" i="11"/>
  <c r="F68" i="11"/>
  <c r="I67" i="11"/>
  <c r="G67" i="11"/>
  <c r="F67" i="11"/>
  <c r="I66" i="11"/>
  <c r="G66" i="11"/>
  <c r="F66" i="11"/>
  <c r="I65" i="11"/>
  <c r="G65" i="11"/>
  <c r="F65" i="11"/>
  <c r="I64" i="11"/>
  <c r="G64" i="11"/>
  <c r="F64" i="11"/>
  <c r="I63" i="11"/>
  <c r="G63" i="11"/>
  <c r="F63" i="11"/>
  <c r="I62" i="11"/>
  <c r="G62" i="11"/>
  <c r="F62" i="11"/>
  <c r="H62" i="11" s="1"/>
  <c r="Q62" i="11" s="1"/>
  <c r="S62" i="11" s="1"/>
  <c r="I61" i="11"/>
  <c r="G61" i="11"/>
  <c r="F61" i="11"/>
  <c r="I57" i="11"/>
  <c r="R57" i="11" s="1"/>
  <c r="G57" i="11"/>
  <c r="F57" i="11"/>
  <c r="H57" i="11" s="1"/>
  <c r="Q57" i="11" s="1"/>
  <c r="S57" i="11" s="1"/>
  <c r="I56" i="11"/>
  <c r="G56" i="11"/>
  <c r="F56" i="11"/>
  <c r="I55" i="11"/>
  <c r="G55" i="11"/>
  <c r="F55" i="11"/>
  <c r="I54" i="11"/>
  <c r="G54" i="11"/>
  <c r="F54" i="11"/>
  <c r="I53" i="11"/>
  <c r="G53" i="11"/>
  <c r="F53" i="11"/>
  <c r="H53" i="11" s="1"/>
  <c r="Q53" i="11" s="1"/>
  <c r="S53" i="11" s="1"/>
  <c r="I52" i="11"/>
  <c r="G52" i="11"/>
  <c r="F52" i="11"/>
  <c r="I51" i="11"/>
  <c r="G51" i="11"/>
  <c r="F51" i="11"/>
  <c r="H51" i="11" s="1"/>
  <c r="Q51" i="11" s="1"/>
  <c r="S51" i="11" s="1"/>
  <c r="I50" i="11"/>
  <c r="G50" i="11"/>
  <c r="F50" i="11"/>
  <c r="I49" i="11"/>
  <c r="G49" i="11"/>
  <c r="F49" i="11"/>
  <c r="H49" i="11" s="1"/>
  <c r="Q49" i="11" s="1"/>
  <c r="S49" i="11" s="1"/>
  <c r="I48" i="11"/>
  <c r="G48" i="11"/>
  <c r="F48" i="11"/>
  <c r="I47" i="11"/>
  <c r="G47" i="11"/>
  <c r="F47" i="11"/>
  <c r="I43" i="11"/>
  <c r="R43" i="11" s="1"/>
  <c r="G43" i="11"/>
  <c r="F43" i="11"/>
  <c r="I42" i="11"/>
  <c r="G42" i="11"/>
  <c r="F42" i="11"/>
  <c r="I41" i="11"/>
  <c r="G41" i="11"/>
  <c r="F41" i="11"/>
  <c r="I40" i="11"/>
  <c r="G40" i="11"/>
  <c r="F40" i="11"/>
  <c r="I39" i="11"/>
  <c r="G39" i="11"/>
  <c r="F39" i="11"/>
  <c r="I38" i="11"/>
  <c r="G38" i="11"/>
  <c r="F38" i="11"/>
  <c r="I37" i="11"/>
  <c r="G37" i="11"/>
  <c r="F37" i="11"/>
  <c r="I36" i="11"/>
  <c r="G36" i="11"/>
  <c r="F36" i="11"/>
  <c r="I35" i="11"/>
  <c r="G35" i="11"/>
  <c r="F35" i="11"/>
  <c r="I34" i="11"/>
  <c r="G34" i="11"/>
  <c r="F34" i="11"/>
  <c r="I33" i="11"/>
  <c r="G33" i="11"/>
  <c r="F33" i="11"/>
  <c r="I29" i="11"/>
  <c r="G29" i="11"/>
  <c r="F29" i="11"/>
  <c r="I28" i="11"/>
  <c r="G28" i="11"/>
  <c r="F28" i="11"/>
  <c r="I27" i="11"/>
  <c r="G27" i="11"/>
  <c r="F27" i="11"/>
  <c r="H27" i="11" s="1"/>
  <c r="Q27" i="11" s="1"/>
  <c r="S27" i="11" s="1"/>
  <c r="I26" i="11"/>
  <c r="G26" i="11"/>
  <c r="F26" i="11"/>
  <c r="I25" i="11"/>
  <c r="G25" i="11"/>
  <c r="F25" i="11"/>
  <c r="I24" i="11"/>
  <c r="G24" i="11"/>
  <c r="F24" i="11"/>
  <c r="I23" i="11"/>
  <c r="G23" i="11"/>
  <c r="F23" i="11"/>
  <c r="H23" i="11" s="1"/>
  <c r="Q23" i="11" s="1"/>
  <c r="S23" i="11" s="1"/>
  <c r="I22" i="11"/>
  <c r="G22" i="11"/>
  <c r="F22" i="11"/>
  <c r="I21" i="11"/>
  <c r="G21" i="11"/>
  <c r="F21" i="11"/>
  <c r="I20" i="11"/>
  <c r="G20" i="11"/>
  <c r="F20" i="11"/>
  <c r="I19" i="11"/>
  <c r="G19" i="11"/>
  <c r="F19" i="11"/>
  <c r="I15" i="11"/>
  <c r="G15" i="11"/>
  <c r="F15" i="11"/>
  <c r="I14" i="11"/>
  <c r="G14" i="11"/>
  <c r="F14" i="11"/>
  <c r="I13" i="11"/>
  <c r="G13" i="11"/>
  <c r="F13" i="11"/>
  <c r="I12" i="11"/>
  <c r="G12" i="11"/>
  <c r="F12" i="11"/>
  <c r="I11" i="11"/>
  <c r="G11" i="11"/>
  <c r="F11" i="11"/>
  <c r="I10" i="11"/>
  <c r="G10" i="11"/>
  <c r="F10" i="11"/>
  <c r="I9" i="11"/>
  <c r="G9" i="11"/>
  <c r="F9" i="11"/>
  <c r="I8" i="11"/>
  <c r="G8" i="11"/>
  <c r="F8" i="11"/>
  <c r="H8" i="11" s="1"/>
  <c r="Q8" i="11" s="1"/>
  <c r="S8" i="11" s="1"/>
  <c r="I7" i="11"/>
  <c r="G7" i="11"/>
  <c r="F7" i="11"/>
  <c r="I6" i="11"/>
  <c r="G6" i="11"/>
  <c r="F6" i="11"/>
  <c r="I5" i="11"/>
  <c r="G5" i="11"/>
  <c r="F5" i="11"/>
  <c r="F163" i="9"/>
  <c r="F14" i="8"/>
  <c r="F163" i="6"/>
  <c r="F29" i="6"/>
  <c r="F28" i="6"/>
  <c r="F27" i="6"/>
  <c r="F26" i="6"/>
  <c r="F40" i="2"/>
  <c r="G40" i="2"/>
  <c r="F71" i="1"/>
  <c r="I169" i="10"/>
  <c r="R169" i="10" s="1"/>
  <c r="G169" i="10"/>
  <c r="F169" i="10"/>
  <c r="I168" i="10"/>
  <c r="R168" i="10" s="1"/>
  <c r="G168" i="10"/>
  <c r="F168" i="10"/>
  <c r="I167" i="10"/>
  <c r="R167" i="10" s="1"/>
  <c r="G167" i="10"/>
  <c r="F167" i="10"/>
  <c r="I166" i="10"/>
  <c r="R166" i="10" s="1"/>
  <c r="G166" i="10"/>
  <c r="F166" i="10"/>
  <c r="I165" i="10"/>
  <c r="R165" i="10" s="1"/>
  <c r="G165" i="10"/>
  <c r="F165" i="10"/>
  <c r="H165" i="10" s="1"/>
  <c r="Q165" i="10" s="1"/>
  <c r="S165" i="10" s="1"/>
  <c r="I164" i="10"/>
  <c r="R164" i="10" s="1"/>
  <c r="G164" i="10"/>
  <c r="F164" i="10"/>
  <c r="I163" i="10"/>
  <c r="G163" i="10"/>
  <c r="F163" i="10"/>
  <c r="I162" i="10"/>
  <c r="G162" i="10"/>
  <c r="F162" i="10"/>
  <c r="I161" i="10"/>
  <c r="G161" i="10"/>
  <c r="F161" i="10"/>
  <c r="I160" i="10"/>
  <c r="G160" i="10"/>
  <c r="F160" i="10"/>
  <c r="I159" i="10"/>
  <c r="G159" i="10"/>
  <c r="F159" i="10"/>
  <c r="I155" i="10"/>
  <c r="R155" i="10" s="1"/>
  <c r="G155" i="10"/>
  <c r="F155" i="10"/>
  <c r="I154" i="10"/>
  <c r="R154" i="10" s="1"/>
  <c r="G154" i="10"/>
  <c r="F154" i="10"/>
  <c r="I153" i="10"/>
  <c r="R153" i="10" s="1"/>
  <c r="G153" i="10"/>
  <c r="F153" i="10"/>
  <c r="I152" i="10"/>
  <c r="R152" i="10" s="1"/>
  <c r="G152" i="10"/>
  <c r="F152" i="10"/>
  <c r="I151" i="10"/>
  <c r="R151" i="10" s="1"/>
  <c r="G151" i="10"/>
  <c r="F151" i="10"/>
  <c r="I150" i="10"/>
  <c r="R150" i="10" s="1"/>
  <c r="G150" i="10"/>
  <c r="F150" i="10"/>
  <c r="I149" i="10"/>
  <c r="G149" i="10"/>
  <c r="F149" i="10"/>
  <c r="I148" i="10"/>
  <c r="G148" i="10"/>
  <c r="F148" i="10"/>
  <c r="I147" i="10"/>
  <c r="G147" i="10"/>
  <c r="F147" i="10"/>
  <c r="I146" i="10"/>
  <c r="G146" i="10"/>
  <c r="F146" i="10"/>
  <c r="H146" i="10" s="1"/>
  <c r="Q146" i="10" s="1"/>
  <c r="S146" i="10" s="1"/>
  <c r="I145" i="10"/>
  <c r="G145" i="10"/>
  <c r="F145" i="10"/>
  <c r="I141" i="10"/>
  <c r="R141" i="10" s="1"/>
  <c r="G141" i="10"/>
  <c r="F141" i="10"/>
  <c r="I140" i="10"/>
  <c r="R140" i="10" s="1"/>
  <c r="G140" i="10"/>
  <c r="F140" i="10"/>
  <c r="I139" i="10"/>
  <c r="R139" i="10" s="1"/>
  <c r="G139" i="10"/>
  <c r="F139" i="10"/>
  <c r="I138" i="10"/>
  <c r="R138" i="10" s="1"/>
  <c r="G138" i="10"/>
  <c r="F138" i="10"/>
  <c r="I137" i="10"/>
  <c r="R137" i="10" s="1"/>
  <c r="G137" i="10"/>
  <c r="F137" i="10"/>
  <c r="I136" i="10"/>
  <c r="R136" i="10" s="1"/>
  <c r="G136" i="10"/>
  <c r="F136" i="10"/>
  <c r="I135" i="10"/>
  <c r="G135" i="10"/>
  <c r="F135" i="10"/>
  <c r="H135" i="10" s="1"/>
  <c r="Q135" i="10" s="1"/>
  <c r="S135" i="10" s="1"/>
  <c r="I134" i="10"/>
  <c r="G134" i="10"/>
  <c r="F134" i="10"/>
  <c r="I133" i="10"/>
  <c r="G133" i="10"/>
  <c r="F133" i="10"/>
  <c r="I132" i="10"/>
  <c r="G132" i="10"/>
  <c r="F132" i="10"/>
  <c r="I131" i="10"/>
  <c r="G131" i="10"/>
  <c r="F131" i="10"/>
  <c r="I127" i="10"/>
  <c r="R127" i="10" s="1"/>
  <c r="G127" i="10"/>
  <c r="F127" i="10"/>
  <c r="I126" i="10"/>
  <c r="R126" i="10" s="1"/>
  <c r="G126" i="10"/>
  <c r="F126" i="10"/>
  <c r="I125" i="10"/>
  <c r="R125" i="10" s="1"/>
  <c r="G125" i="10"/>
  <c r="F125" i="10"/>
  <c r="I124" i="10"/>
  <c r="R124" i="10" s="1"/>
  <c r="G124" i="10"/>
  <c r="F124" i="10"/>
  <c r="I123" i="10"/>
  <c r="R123" i="10" s="1"/>
  <c r="G123" i="10"/>
  <c r="F123" i="10"/>
  <c r="I122" i="10"/>
  <c r="R122" i="10" s="1"/>
  <c r="G122" i="10"/>
  <c r="F122" i="10"/>
  <c r="I121" i="10"/>
  <c r="R121" i="10" s="1"/>
  <c r="G121" i="10"/>
  <c r="F121" i="10"/>
  <c r="I120" i="10"/>
  <c r="G120" i="10"/>
  <c r="F120" i="10"/>
  <c r="I119" i="10"/>
  <c r="G119" i="10"/>
  <c r="F119" i="10"/>
  <c r="I118" i="10"/>
  <c r="G118" i="10"/>
  <c r="F118" i="10"/>
  <c r="I117" i="10"/>
  <c r="G117" i="10"/>
  <c r="F117" i="10"/>
  <c r="I113" i="10"/>
  <c r="R113" i="10" s="1"/>
  <c r="G113" i="10"/>
  <c r="F113" i="10"/>
  <c r="H113" i="10" s="1"/>
  <c r="Q113" i="10" s="1"/>
  <c r="S113" i="10" s="1"/>
  <c r="I112" i="10"/>
  <c r="R112" i="10" s="1"/>
  <c r="G112" i="10"/>
  <c r="F112" i="10"/>
  <c r="I111" i="10"/>
  <c r="R111" i="10" s="1"/>
  <c r="G111" i="10"/>
  <c r="F111" i="10"/>
  <c r="I110" i="10"/>
  <c r="R110" i="10" s="1"/>
  <c r="G110" i="10"/>
  <c r="F110" i="10"/>
  <c r="I109" i="10"/>
  <c r="R109" i="10" s="1"/>
  <c r="G109" i="10"/>
  <c r="F109" i="10"/>
  <c r="I108" i="10"/>
  <c r="R108" i="10" s="1"/>
  <c r="G108" i="10"/>
  <c r="F108" i="10"/>
  <c r="I107" i="10"/>
  <c r="G107" i="10"/>
  <c r="F107" i="10"/>
  <c r="I106" i="10"/>
  <c r="G106" i="10"/>
  <c r="F106" i="10"/>
  <c r="I105" i="10"/>
  <c r="G105" i="10"/>
  <c r="F105" i="10"/>
  <c r="I104" i="10"/>
  <c r="G104" i="10"/>
  <c r="F104" i="10"/>
  <c r="I103" i="10"/>
  <c r="G103" i="10"/>
  <c r="F103" i="10"/>
  <c r="I99" i="10"/>
  <c r="R99" i="10" s="1"/>
  <c r="G99" i="10"/>
  <c r="F99" i="10"/>
  <c r="I98" i="10"/>
  <c r="R98" i="10" s="1"/>
  <c r="G98" i="10"/>
  <c r="F98" i="10"/>
  <c r="I97" i="10"/>
  <c r="R97" i="10" s="1"/>
  <c r="G97" i="10"/>
  <c r="F97" i="10"/>
  <c r="I96" i="10"/>
  <c r="R96" i="10" s="1"/>
  <c r="G96" i="10"/>
  <c r="F96" i="10"/>
  <c r="I95" i="10"/>
  <c r="R95" i="10" s="1"/>
  <c r="G95" i="10"/>
  <c r="F95" i="10"/>
  <c r="I94" i="10"/>
  <c r="R94" i="10" s="1"/>
  <c r="G94" i="10"/>
  <c r="F94" i="10"/>
  <c r="I93" i="10"/>
  <c r="G93" i="10"/>
  <c r="F93" i="10"/>
  <c r="I92" i="10"/>
  <c r="G92" i="10"/>
  <c r="F92" i="10"/>
  <c r="I91" i="10"/>
  <c r="G91" i="10"/>
  <c r="F91" i="10"/>
  <c r="I90" i="10"/>
  <c r="G90" i="10"/>
  <c r="F90" i="10"/>
  <c r="I89" i="10"/>
  <c r="G89" i="10"/>
  <c r="F89" i="10"/>
  <c r="I85" i="10"/>
  <c r="R85" i="10" s="1"/>
  <c r="G85" i="10"/>
  <c r="F85" i="10"/>
  <c r="I84" i="10"/>
  <c r="R84" i="10" s="1"/>
  <c r="G84" i="10"/>
  <c r="F84" i="10"/>
  <c r="I83" i="10"/>
  <c r="R83" i="10" s="1"/>
  <c r="G83" i="10"/>
  <c r="F83" i="10"/>
  <c r="I82" i="10"/>
  <c r="R82" i="10" s="1"/>
  <c r="G82" i="10"/>
  <c r="F82" i="10"/>
  <c r="I81" i="10"/>
  <c r="R81" i="10" s="1"/>
  <c r="G81" i="10"/>
  <c r="F81" i="10"/>
  <c r="I80" i="10"/>
  <c r="R80" i="10" s="1"/>
  <c r="G80" i="10"/>
  <c r="F80" i="10"/>
  <c r="I79" i="10"/>
  <c r="G79" i="10"/>
  <c r="F79" i="10"/>
  <c r="I78" i="10"/>
  <c r="G78" i="10"/>
  <c r="F78" i="10"/>
  <c r="I77" i="10"/>
  <c r="G77" i="10"/>
  <c r="F77" i="10"/>
  <c r="I76" i="10"/>
  <c r="G76" i="10"/>
  <c r="F76" i="10"/>
  <c r="I75" i="10"/>
  <c r="G75" i="10"/>
  <c r="F75" i="10"/>
  <c r="I71" i="10"/>
  <c r="R71" i="10" s="1"/>
  <c r="G71" i="10"/>
  <c r="F71" i="10"/>
  <c r="I70" i="10"/>
  <c r="R70" i="10" s="1"/>
  <c r="G70" i="10"/>
  <c r="F70" i="10"/>
  <c r="I69" i="10"/>
  <c r="R69" i="10" s="1"/>
  <c r="G69" i="10"/>
  <c r="F69" i="10"/>
  <c r="I68" i="10"/>
  <c r="R68" i="10" s="1"/>
  <c r="G68" i="10"/>
  <c r="F68" i="10"/>
  <c r="I67" i="10"/>
  <c r="R67" i="10" s="1"/>
  <c r="G67" i="10"/>
  <c r="F67" i="10"/>
  <c r="I66" i="10"/>
  <c r="R66" i="10" s="1"/>
  <c r="G66" i="10"/>
  <c r="F66" i="10"/>
  <c r="I65" i="10"/>
  <c r="G65" i="10"/>
  <c r="F65" i="10"/>
  <c r="I64" i="10"/>
  <c r="G64" i="10"/>
  <c r="F64" i="10"/>
  <c r="I63" i="10"/>
  <c r="G63" i="10"/>
  <c r="F63" i="10"/>
  <c r="I62" i="10"/>
  <c r="G62" i="10"/>
  <c r="F62" i="10"/>
  <c r="H62" i="10" s="1"/>
  <c r="Q62" i="10" s="1"/>
  <c r="S62" i="10" s="1"/>
  <c r="I61" i="10"/>
  <c r="G61" i="10"/>
  <c r="F61" i="10"/>
  <c r="I57" i="10"/>
  <c r="R57" i="10" s="1"/>
  <c r="G57" i="10"/>
  <c r="F57" i="10"/>
  <c r="I56" i="10"/>
  <c r="R56" i="10" s="1"/>
  <c r="G56" i="10"/>
  <c r="F56" i="10"/>
  <c r="I55" i="10"/>
  <c r="R55" i="10" s="1"/>
  <c r="G55" i="10"/>
  <c r="F55" i="10"/>
  <c r="H55" i="10" s="1"/>
  <c r="Q55" i="10" s="1"/>
  <c r="S55" i="10" s="1"/>
  <c r="I54" i="10"/>
  <c r="R54" i="10" s="1"/>
  <c r="G54" i="10"/>
  <c r="F54" i="10"/>
  <c r="I53" i="10"/>
  <c r="R53" i="10" s="1"/>
  <c r="G53" i="10"/>
  <c r="F53" i="10"/>
  <c r="H53" i="10" s="1"/>
  <c r="Q53" i="10" s="1"/>
  <c r="S53" i="10" s="1"/>
  <c r="I52" i="10"/>
  <c r="G52" i="10"/>
  <c r="F52" i="10"/>
  <c r="I51" i="10"/>
  <c r="G51" i="10"/>
  <c r="F51" i="10"/>
  <c r="H51" i="10" s="1"/>
  <c r="Q51" i="10" s="1"/>
  <c r="S51" i="10" s="1"/>
  <c r="I50" i="10"/>
  <c r="G50" i="10"/>
  <c r="F50" i="10"/>
  <c r="I49" i="10"/>
  <c r="G49" i="10"/>
  <c r="F49" i="10"/>
  <c r="I48" i="10"/>
  <c r="G48" i="10"/>
  <c r="F48" i="10"/>
  <c r="I47" i="10"/>
  <c r="G47" i="10"/>
  <c r="F47" i="10"/>
  <c r="H47" i="10" s="1"/>
  <c r="Q47" i="10" s="1"/>
  <c r="S47" i="10" s="1"/>
  <c r="I43" i="10"/>
  <c r="R43" i="10" s="1"/>
  <c r="G43" i="10"/>
  <c r="F43" i="10"/>
  <c r="I42" i="10"/>
  <c r="R42" i="10" s="1"/>
  <c r="G42" i="10"/>
  <c r="F42" i="10"/>
  <c r="I41" i="10"/>
  <c r="R41" i="10" s="1"/>
  <c r="G41" i="10"/>
  <c r="F41" i="10"/>
  <c r="I40" i="10"/>
  <c r="R40" i="10" s="1"/>
  <c r="G40" i="10"/>
  <c r="F40" i="10"/>
  <c r="H40" i="10" s="1"/>
  <c r="Q40" i="10" s="1"/>
  <c r="S40" i="10" s="1"/>
  <c r="I39" i="10"/>
  <c r="R39" i="10" s="1"/>
  <c r="G39" i="10"/>
  <c r="F39" i="10"/>
  <c r="I38" i="10"/>
  <c r="G38" i="10"/>
  <c r="F38" i="10"/>
  <c r="I37" i="10"/>
  <c r="G37" i="10"/>
  <c r="F37" i="10"/>
  <c r="I36" i="10"/>
  <c r="G36" i="10"/>
  <c r="F36" i="10"/>
  <c r="H36" i="10" s="1"/>
  <c r="Q36" i="10" s="1"/>
  <c r="S36" i="10" s="1"/>
  <c r="I35" i="10"/>
  <c r="G35" i="10"/>
  <c r="F35" i="10"/>
  <c r="I34" i="10"/>
  <c r="G34" i="10"/>
  <c r="F34" i="10"/>
  <c r="I33" i="10"/>
  <c r="G33" i="10"/>
  <c r="F33" i="10"/>
  <c r="I29" i="10"/>
  <c r="R29" i="10" s="1"/>
  <c r="G29" i="10"/>
  <c r="F29" i="10"/>
  <c r="H29" i="10" s="1"/>
  <c r="Q29" i="10" s="1"/>
  <c r="S29" i="10" s="1"/>
  <c r="I28" i="10"/>
  <c r="R28" i="10" s="1"/>
  <c r="G28" i="10"/>
  <c r="F28" i="10"/>
  <c r="I27" i="10"/>
  <c r="R27" i="10" s="1"/>
  <c r="G27" i="10"/>
  <c r="F27" i="10"/>
  <c r="I26" i="10"/>
  <c r="R26" i="10" s="1"/>
  <c r="G26" i="10"/>
  <c r="F26" i="10"/>
  <c r="I25" i="10"/>
  <c r="G25" i="10"/>
  <c r="F25" i="10"/>
  <c r="H25" i="10" s="1"/>
  <c r="Q25" i="10" s="1"/>
  <c r="S25" i="10" s="1"/>
  <c r="I24" i="10"/>
  <c r="G24" i="10"/>
  <c r="F24" i="10"/>
  <c r="I23" i="10"/>
  <c r="G23" i="10"/>
  <c r="F23" i="10"/>
  <c r="I22" i="10"/>
  <c r="G22" i="10"/>
  <c r="F22" i="10"/>
  <c r="I21" i="10"/>
  <c r="G21" i="10"/>
  <c r="F21" i="10"/>
  <c r="H21" i="10" s="1"/>
  <c r="Q21" i="10" s="1"/>
  <c r="S21" i="10" s="1"/>
  <c r="I20" i="10"/>
  <c r="G20" i="10"/>
  <c r="F20" i="10"/>
  <c r="I19" i="10"/>
  <c r="G19" i="10"/>
  <c r="F19" i="10"/>
  <c r="I15" i="10"/>
  <c r="R15" i="10" s="1"/>
  <c r="G15" i="10"/>
  <c r="F15" i="10"/>
  <c r="I14" i="10"/>
  <c r="R14" i="10" s="1"/>
  <c r="G14" i="10"/>
  <c r="F14" i="10"/>
  <c r="H14" i="10" s="1"/>
  <c r="Q14" i="10" s="1"/>
  <c r="S14" i="10" s="1"/>
  <c r="I13" i="10"/>
  <c r="G13" i="10"/>
  <c r="F13" i="10"/>
  <c r="I12" i="10"/>
  <c r="G12" i="10"/>
  <c r="F12" i="10"/>
  <c r="I11" i="10"/>
  <c r="G11" i="10"/>
  <c r="F11" i="10"/>
  <c r="I10" i="10"/>
  <c r="G10" i="10"/>
  <c r="F10" i="10"/>
  <c r="H10" i="10" s="1"/>
  <c r="Q10" i="10" s="1"/>
  <c r="S10" i="10" s="1"/>
  <c r="I9" i="10"/>
  <c r="G9" i="10"/>
  <c r="F9" i="10"/>
  <c r="I8" i="10"/>
  <c r="G8" i="10"/>
  <c r="F8" i="10"/>
  <c r="I7" i="10"/>
  <c r="G7" i="10"/>
  <c r="F7" i="10"/>
  <c r="I6" i="10"/>
  <c r="G6" i="10"/>
  <c r="F6" i="10"/>
  <c r="H6" i="10" s="1"/>
  <c r="Q6" i="10" s="1"/>
  <c r="S6" i="10" s="1"/>
  <c r="I5" i="10"/>
  <c r="G5" i="10"/>
  <c r="F5" i="10"/>
  <c r="I169" i="9"/>
  <c r="R169" i="9" s="1"/>
  <c r="G169" i="9"/>
  <c r="F169" i="9"/>
  <c r="H169" i="9" s="1"/>
  <c r="Q169" i="9" s="1"/>
  <c r="S169" i="9" s="1"/>
  <c r="I168" i="9"/>
  <c r="R168" i="9" s="1"/>
  <c r="G168" i="9"/>
  <c r="F168" i="9"/>
  <c r="I167" i="9"/>
  <c r="R167" i="9" s="1"/>
  <c r="G167" i="9"/>
  <c r="F167" i="9"/>
  <c r="I166" i="9"/>
  <c r="R166" i="9" s="1"/>
  <c r="G166" i="9"/>
  <c r="F166" i="9"/>
  <c r="I165" i="9"/>
  <c r="R165" i="9" s="1"/>
  <c r="G165" i="9"/>
  <c r="F165" i="9"/>
  <c r="I164" i="9"/>
  <c r="R164" i="9" s="1"/>
  <c r="G164" i="9"/>
  <c r="F164" i="9"/>
  <c r="I163" i="9"/>
  <c r="R163" i="9" s="1"/>
  <c r="G163" i="9"/>
  <c r="I162" i="9"/>
  <c r="G162" i="9"/>
  <c r="F162" i="9"/>
  <c r="I161" i="9"/>
  <c r="G161" i="9"/>
  <c r="F161" i="9"/>
  <c r="I160" i="9"/>
  <c r="G160" i="9"/>
  <c r="F160" i="9"/>
  <c r="H160" i="9" s="1"/>
  <c r="Q160" i="9" s="1"/>
  <c r="S160" i="9" s="1"/>
  <c r="I159" i="9"/>
  <c r="G159" i="9"/>
  <c r="F159" i="9"/>
  <c r="I155" i="9"/>
  <c r="R155" i="9" s="1"/>
  <c r="G155" i="9"/>
  <c r="F155" i="9"/>
  <c r="I154" i="9"/>
  <c r="R154" i="9" s="1"/>
  <c r="G154" i="9"/>
  <c r="F154" i="9"/>
  <c r="I153" i="9"/>
  <c r="R153" i="9" s="1"/>
  <c r="G153" i="9"/>
  <c r="F153" i="9"/>
  <c r="H153" i="9" s="1"/>
  <c r="Q153" i="9" s="1"/>
  <c r="S153" i="9" s="1"/>
  <c r="I152" i="9"/>
  <c r="R152" i="9" s="1"/>
  <c r="G152" i="9"/>
  <c r="F152" i="9"/>
  <c r="I151" i="9"/>
  <c r="R151" i="9" s="1"/>
  <c r="G151" i="9"/>
  <c r="F151" i="9"/>
  <c r="I150" i="9"/>
  <c r="R150" i="9" s="1"/>
  <c r="G150" i="9"/>
  <c r="F150" i="9"/>
  <c r="I149" i="9"/>
  <c r="G149" i="9"/>
  <c r="F149" i="9"/>
  <c r="H149" i="9" s="1"/>
  <c r="Q149" i="9" s="1"/>
  <c r="S149" i="9" s="1"/>
  <c r="I148" i="9"/>
  <c r="G148" i="9"/>
  <c r="F148" i="9"/>
  <c r="I147" i="9"/>
  <c r="G147" i="9"/>
  <c r="F147" i="9"/>
  <c r="I146" i="9"/>
  <c r="G146" i="9"/>
  <c r="F146" i="9"/>
  <c r="I145" i="9"/>
  <c r="G145" i="9"/>
  <c r="F145" i="9"/>
  <c r="H145" i="9" s="1"/>
  <c r="Q145" i="9" s="1"/>
  <c r="S145" i="9" s="1"/>
  <c r="I141" i="9"/>
  <c r="R141" i="9" s="1"/>
  <c r="G141" i="9"/>
  <c r="F141" i="9"/>
  <c r="I140" i="9"/>
  <c r="R140" i="9" s="1"/>
  <c r="G140" i="9"/>
  <c r="F140" i="9"/>
  <c r="I139" i="9"/>
  <c r="R139" i="9" s="1"/>
  <c r="G139" i="9"/>
  <c r="F139" i="9"/>
  <c r="I138" i="9"/>
  <c r="R138" i="9" s="1"/>
  <c r="G138" i="9"/>
  <c r="F138" i="9"/>
  <c r="H138" i="9" s="1"/>
  <c r="Q138" i="9" s="1"/>
  <c r="S138" i="9" s="1"/>
  <c r="I137" i="9"/>
  <c r="R137" i="9" s="1"/>
  <c r="G137" i="9"/>
  <c r="F137" i="9"/>
  <c r="I136" i="9"/>
  <c r="R136" i="9" s="1"/>
  <c r="G136" i="9"/>
  <c r="F136" i="9"/>
  <c r="I135" i="9"/>
  <c r="G135" i="9"/>
  <c r="F135" i="9"/>
  <c r="I134" i="9"/>
  <c r="G134" i="9"/>
  <c r="F134" i="9"/>
  <c r="H134" i="9" s="1"/>
  <c r="Q134" i="9" s="1"/>
  <c r="S134" i="9" s="1"/>
  <c r="I133" i="9"/>
  <c r="G133" i="9"/>
  <c r="F133" i="9"/>
  <c r="I132" i="9"/>
  <c r="G132" i="9"/>
  <c r="F132" i="9"/>
  <c r="I131" i="9"/>
  <c r="G131" i="9"/>
  <c r="F131" i="9"/>
  <c r="I127" i="9"/>
  <c r="R127" i="9" s="1"/>
  <c r="G127" i="9"/>
  <c r="F127" i="9"/>
  <c r="H127" i="9" s="1"/>
  <c r="Q127" i="9" s="1"/>
  <c r="S127" i="9" s="1"/>
  <c r="I126" i="9"/>
  <c r="R126" i="9" s="1"/>
  <c r="G126" i="9"/>
  <c r="F126" i="9"/>
  <c r="I125" i="9"/>
  <c r="R125" i="9" s="1"/>
  <c r="G125" i="9"/>
  <c r="F125" i="9"/>
  <c r="I124" i="9"/>
  <c r="R124" i="9" s="1"/>
  <c r="G124" i="9"/>
  <c r="F124" i="9"/>
  <c r="I123" i="9"/>
  <c r="R123" i="9" s="1"/>
  <c r="G123" i="9"/>
  <c r="F123" i="9"/>
  <c r="H123" i="9" s="1"/>
  <c r="Q123" i="9" s="1"/>
  <c r="S123" i="9" s="1"/>
  <c r="I122" i="9"/>
  <c r="R122" i="9" s="1"/>
  <c r="G122" i="9"/>
  <c r="F122" i="9"/>
  <c r="I121" i="9"/>
  <c r="R121" i="9" s="1"/>
  <c r="G121" i="9"/>
  <c r="F121" i="9"/>
  <c r="I120" i="9"/>
  <c r="R120" i="9" s="1"/>
  <c r="G120" i="9"/>
  <c r="F120" i="9"/>
  <c r="I119" i="9"/>
  <c r="G119" i="9"/>
  <c r="F119" i="9"/>
  <c r="H119" i="9" s="1"/>
  <c r="Q119" i="9" s="1"/>
  <c r="S119" i="9" s="1"/>
  <c r="I118" i="9"/>
  <c r="G118" i="9"/>
  <c r="F118" i="9"/>
  <c r="I117" i="9"/>
  <c r="G117" i="9"/>
  <c r="F117" i="9"/>
  <c r="H117" i="9" s="1"/>
  <c r="Q117" i="9" s="1"/>
  <c r="S117" i="9" s="1"/>
  <c r="I113" i="9"/>
  <c r="R113" i="9" s="1"/>
  <c r="G113" i="9"/>
  <c r="F113" i="9"/>
  <c r="I112" i="9"/>
  <c r="R112" i="9" s="1"/>
  <c r="G112" i="9"/>
  <c r="F112" i="9"/>
  <c r="H112" i="9" s="1"/>
  <c r="Q112" i="9" s="1"/>
  <c r="S112" i="9" s="1"/>
  <c r="I111" i="9"/>
  <c r="R111" i="9" s="1"/>
  <c r="G111" i="9"/>
  <c r="F111" i="9"/>
  <c r="I110" i="9"/>
  <c r="R110" i="9" s="1"/>
  <c r="G110" i="9"/>
  <c r="F110" i="9"/>
  <c r="I109" i="9"/>
  <c r="R109" i="9" s="1"/>
  <c r="G109" i="9"/>
  <c r="F109" i="9"/>
  <c r="I108" i="9"/>
  <c r="R108" i="9" s="1"/>
  <c r="G108" i="9"/>
  <c r="F108" i="9"/>
  <c r="H108" i="9" s="1"/>
  <c r="Q108" i="9" s="1"/>
  <c r="S108" i="9" s="1"/>
  <c r="I107" i="9"/>
  <c r="R107" i="9" s="1"/>
  <c r="G107" i="9"/>
  <c r="F107" i="9"/>
  <c r="I106" i="9"/>
  <c r="R106" i="9" s="1"/>
  <c r="G106" i="9"/>
  <c r="F106" i="9"/>
  <c r="H106" i="9" s="1"/>
  <c r="Q106" i="9" s="1"/>
  <c r="S106" i="9" s="1"/>
  <c r="I105" i="9"/>
  <c r="G105" i="9"/>
  <c r="F105" i="9"/>
  <c r="I104" i="9"/>
  <c r="G104" i="9"/>
  <c r="F104" i="9"/>
  <c r="H104" i="9" s="1"/>
  <c r="Q104" i="9" s="1"/>
  <c r="S104" i="9" s="1"/>
  <c r="I103" i="9"/>
  <c r="G103" i="9"/>
  <c r="F103" i="9"/>
  <c r="I99" i="9"/>
  <c r="R99" i="9" s="1"/>
  <c r="G99" i="9"/>
  <c r="F99" i="9"/>
  <c r="I98" i="9"/>
  <c r="R98" i="9" s="1"/>
  <c r="G98" i="9"/>
  <c r="F98" i="9"/>
  <c r="I97" i="9"/>
  <c r="R97" i="9" s="1"/>
  <c r="G97" i="9"/>
  <c r="F97" i="9"/>
  <c r="H97" i="9" s="1"/>
  <c r="Q97" i="9" s="1"/>
  <c r="S97" i="9" s="1"/>
  <c r="I96" i="9"/>
  <c r="R96" i="9" s="1"/>
  <c r="G96" i="9"/>
  <c r="F96" i="9"/>
  <c r="I95" i="9"/>
  <c r="R95" i="9" s="1"/>
  <c r="G95" i="9"/>
  <c r="F95" i="9"/>
  <c r="I94" i="9"/>
  <c r="R94" i="9" s="1"/>
  <c r="G94" i="9"/>
  <c r="F94" i="9"/>
  <c r="I93" i="9"/>
  <c r="R93" i="9" s="1"/>
  <c r="G93" i="9"/>
  <c r="F93" i="9"/>
  <c r="H93" i="9" s="1"/>
  <c r="Q93" i="9" s="1"/>
  <c r="S93" i="9" s="1"/>
  <c r="I92" i="9"/>
  <c r="G92" i="9"/>
  <c r="F92" i="9"/>
  <c r="I91" i="9"/>
  <c r="G91" i="9"/>
  <c r="F91" i="9"/>
  <c r="I90" i="9"/>
  <c r="G90" i="9"/>
  <c r="F90" i="9"/>
  <c r="I89" i="9"/>
  <c r="G89" i="9"/>
  <c r="F89" i="9"/>
  <c r="H89" i="9" s="1"/>
  <c r="Q89" i="9" s="1"/>
  <c r="S89" i="9" s="1"/>
  <c r="I85" i="9"/>
  <c r="R85" i="9" s="1"/>
  <c r="G85" i="9"/>
  <c r="F85" i="9"/>
  <c r="I84" i="9"/>
  <c r="R84" i="9" s="1"/>
  <c r="G84" i="9"/>
  <c r="F84" i="9"/>
  <c r="H84" i="9" s="1"/>
  <c r="Q84" i="9" s="1"/>
  <c r="S84" i="9" s="1"/>
  <c r="I83" i="9"/>
  <c r="R83" i="9" s="1"/>
  <c r="G83" i="9"/>
  <c r="F83" i="9"/>
  <c r="I82" i="9"/>
  <c r="R82" i="9" s="1"/>
  <c r="G82" i="9"/>
  <c r="F82" i="9"/>
  <c r="H82" i="9" s="1"/>
  <c r="Q82" i="9" s="1"/>
  <c r="S82" i="9" s="1"/>
  <c r="I81" i="9"/>
  <c r="R81" i="9" s="1"/>
  <c r="G81" i="9"/>
  <c r="F81" i="9"/>
  <c r="I80" i="9"/>
  <c r="R80" i="9" s="1"/>
  <c r="G80" i="9"/>
  <c r="F80" i="9"/>
  <c r="I79" i="9"/>
  <c r="R79" i="9" s="1"/>
  <c r="G79" i="9"/>
  <c r="F79" i="9"/>
  <c r="I78" i="9"/>
  <c r="G78" i="9"/>
  <c r="F78" i="9"/>
  <c r="H78" i="9" s="1"/>
  <c r="Q78" i="9" s="1"/>
  <c r="S78" i="9" s="1"/>
  <c r="I77" i="9"/>
  <c r="G77" i="9"/>
  <c r="F77" i="9"/>
  <c r="I76" i="9"/>
  <c r="G76" i="9"/>
  <c r="F76" i="9"/>
  <c r="I75" i="9"/>
  <c r="G75" i="9"/>
  <c r="F75" i="9"/>
  <c r="I71" i="9"/>
  <c r="R71" i="9" s="1"/>
  <c r="G71" i="9"/>
  <c r="F71" i="9"/>
  <c r="H71" i="9" s="1"/>
  <c r="Q71" i="9" s="1"/>
  <c r="S71" i="9" s="1"/>
  <c r="I70" i="9"/>
  <c r="R70" i="9" s="1"/>
  <c r="G70" i="9"/>
  <c r="F70" i="9"/>
  <c r="I69" i="9"/>
  <c r="R69" i="9" s="1"/>
  <c r="G69" i="9"/>
  <c r="F69" i="9"/>
  <c r="I68" i="9"/>
  <c r="R68" i="9" s="1"/>
  <c r="G68" i="9"/>
  <c r="F68" i="9"/>
  <c r="I67" i="9"/>
  <c r="R67" i="9" s="1"/>
  <c r="G67" i="9"/>
  <c r="F67" i="9"/>
  <c r="H67" i="9" s="1"/>
  <c r="Q67" i="9" s="1"/>
  <c r="S67" i="9" s="1"/>
  <c r="I66" i="9"/>
  <c r="R66" i="9" s="1"/>
  <c r="G66" i="9"/>
  <c r="F66" i="9"/>
  <c r="I65" i="9"/>
  <c r="G65" i="9"/>
  <c r="F65" i="9"/>
  <c r="I64" i="9"/>
  <c r="G64" i="9"/>
  <c r="F64" i="9"/>
  <c r="I63" i="9"/>
  <c r="G63" i="9"/>
  <c r="F63" i="9"/>
  <c r="H63" i="9" s="1"/>
  <c r="Q63" i="9" s="1"/>
  <c r="S63" i="9" s="1"/>
  <c r="I62" i="9"/>
  <c r="G62" i="9"/>
  <c r="F62" i="9"/>
  <c r="I61" i="9"/>
  <c r="G61" i="9"/>
  <c r="F61" i="9"/>
  <c r="I57" i="9"/>
  <c r="R57" i="9" s="1"/>
  <c r="G57" i="9"/>
  <c r="F57" i="9"/>
  <c r="I56" i="9"/>
  <c r="R56" i="9" s="1"/>
  <c r="G56" i="9"/>
  <c r="F56" i="9"/>
  <c r="H56" i="9" s="1"/>
  <c r="Q56" i="9" s="1"/>
  <c r="S56" i="9" s="1"/>
  <c r="I55" i="9"/>
  <c r="R55" i="9" s="1"/>
  <c r="G55" i="9"/>
  <c r="F55" i="9"/>
  <c r="I54" i="9"/>
  <c r="R54" i="9" s="1"/>
  <c r="G54" i="9"/>
  <c r="F54" i="9"/>
  <c r="I53" i="9"/>
  <c r="R53" i="9" s="1"/>
  <c r="G53" i="9"/>
  <c r="F53" i="9"/>
  <c r="I52" i="9"/>
  <c r="G52" i="9"/>
  <c r="F52" i="9"/>
  <c r="H52" i="9" s="1"/>
  <c r="Q52" i="9" s="1"/>
  <c r="S52" i="9" s="1"/>
  <c r="I51" i="9"/>
  <c r="G51" i="9"/>
  <c r="F51" i="9"/>
  <c r="I50" i="9"/>
  <c r="G50" i="9"/>
  <c r="F50" i="9"/>
  <c r="I49" i="9"/>
  <c r="G49" i="9"/>
  <c r="F49" i="9"/>
  <c r="I48" i="9"/>
  <c r="G48" i="9"/>
  <c r="F48" i="9"/>
  <c r="H48" i="9" s="1"/>
  <c r="Q48" i="9" s="1"/>
  <c r="S48" i="9" s="1"/>
  <c r="I47" i="9"/>
  <c r="G47" i="9"/>
  <c r="F47" i="9"/>
  <c r="I43" i="9"/>
  <c r="R43" i="9" s="1"/>
  <c r="G43" i="9"/>
  <c r="F43" i="9"/>
  <c r="I42" i="9"/>
  <c r="R42" i="9" s="1"/>
  <c r="G42" i="9"/>
  <c r="F42" i="9"/>
  <c r="I41" i="9"/>
  <c r="R41" i="9" s="1"/>
  <c r="G41" i="9"/>
  <c r="F41" i="9"/>
  <c r="H41" i="9" s="1"/>
  <c r="Q41" i="9" s="1"/>
  <c r="S41" i="9" s="1"/>
  <c r="I40" i="9"/>
  <c r="R40" i="9" s="1"/>
  <c r="G40" i="9"/>
  <c r="F40" i="9"/>
  <c r="I39" i="9"/>
  <c r="R39" i="9" s="1"/>
  <c r="G39" i="9"/>
  <c r="F39" i="9"/>
  <c r="I38" i="9"/>
  <c r="G38" i="9"/>
  <c r="F38" i="9"/>
  <c r="I37" i="9"/>
  <c r="G37" i="9"/>
  <c r="F37" i="9"/>
  <c r="H37" i="9" s="1"/>
  <c r="Q37" i="9" s="1"/>
  <c r="S37" i="9" s="1"/>
  <c r="I36" i="9"/>
  <c r="G36" i="9"/>
  <c r="F36" i="9"/>
  <c r="I35" i="9"/>
  <c r="G35" i="9"/>
  <c r="F35" i="9"/>
  <c r="I34" i="9"/>
  <c r="G34" i="9"/>
  <c r="F34" i="9"/>
  <c r="I33" i="9"/>
  <c r="G33" i="9"/>
  <c r="F33" i="9"/>
  <c r="H33" i="9" s="1"/>
  <c r="Q33" i="9" s="1"/>
  <c r="S33" i="9" s="1"/>
  <c r="I29" i="9"/>
  <c r="R29" i="9" s="1"/>
  <c r="G29" i="9"/>
  <c r="F29" i="9"/>
  <c r="I28" i="9"/>
  <c r="R28" i="9" s="1"/>
  <c r="G28" i="9"/>
  <c r="F28" i="9"/>
  <c r="I27" i="9"/>
  <c r="R27" i="9" s="1"/>
  <c r="G27" i="9"/>
  <c r="F27" i="9"/>
  <c r="I26" i="9"/>
  <c r="R26" i="9" s="1"/>
  <c r="G26" i="9"/>
  <c r="F26" i="9"/>
  <c r="H26" i="9" s="1"/>
  <c r="Q26" i="9" s="1"/>
  <c r="S26" i="9" s="1"/>
  <c r="I25" i="9"/>
  <c r="G25" i="9"/>
  <c r="F25" i="9"/>
  <c r="I24" i="9"/>
  <c r="G24" i="9"/>
  <c r="F24" i="9"/>
  <c r="H24" i="9" s="1"/>
  <c r="Q24" i="9" s="1"/>
  <c r="S24" i="9" s="1"/>
  <c r="I23" i="9"/>
  <c r="G23" i="9"/>
  <c r="F23" i="9"/>
  <c r="I22" i="9"/>
  <c r="G22" i="9"/>
  <c r="F22" i="9"/>
  <c r="H22" i="9" s="1"/>
  <c r="Q22" i="9" s="1"/>
  <c r="S22" i="9" s="1"/>
  <c r="I21" i="9"/>
  <c r="G21" i="9"/>
  <c r="F21" i="9"/>
  <c r="I20" i="9"/>
  <c r="G20" i="9"/>
  <c r="F20" i="9"/>
  <c r="I19" i="9"/>
  <c r="G19" i="9"/>
  <c r="F19" i="9"/>
  <c r="I15" i="9"/>
  <c r="R15" i="9" s="1"/>
  <c r="G15" i="9"/>
  <c r="F15" i="9"/>
  <c r="H15" i="9" s="1"/>
  <c r="Q15" i="9" s="1"/>
  <c r="S15" i="9" s="1"/>
  <c r="I14" i="9"/>
  <c r="R14" i="9" s="1"/>
  <c r="G14" i="9"/>
  <c r="F14" i="9"/>
  <c r="I13" i="9"/>
  <c r="G13" i="9"/>
  <c r="F13" i="9"/>
  <c r="H13" i="9" s="1"/>
  <c r="Q13" i="9" s="1"/>
  <c r="S13" i="9" s="1"/>
  <c r="I12" i="9"/>
  <c r="G12" i="9"/>
  <c r="F12" i="9"/>
  <c r="I11" i="9"/>
  <c r="G11" i="9"/>
  <c r="F11" i="9"/>
  <c r="H11" i="9" s="1"/>
  <c r="Q11" i="9" s="1"/>
  <c r="S11" i="9" s="1"/>
  <c r="I10" i="9"/>
  <c r="G10" i="9"/>
  <c r="F10" i="9"/>
  <c r="I9" i="9"/>
  <c r="G9" i="9"/>
  <c r="F9" i="9"/>
  <c r="I8" i="9"/>
  <c r="G8" i="9"/>
  <c r="F8" i="9"/>
  <c r="I7" i="9"/>
  <c r="G7" i="9"/>
  <c r="F7" i="9"/>
  <c r="H7" i="9" s="1"/>
  <c r="Q7" i="9" s="1"/>
  <c r="S7" i="9" s="1"/>
  <c r="I6" i="9"/>
  <c r="G6" i="9"/>
  <c r="F6" i="9"/>
  <c r="I5" i="9"/>
  <c r="G5" i="9"/>
  <c r="F5" i="9"/>
  <c r="I169" i="8"/>
  <c r="R169" i="8" s="1"/>
  <c r="G169" i="8"/>
  <c r="F169" i="8"/>
  <c r="I168" i="8"/>
  <c r="R168" i="8" s="1"/>
  <c r="G168" i="8"/>
  <c r="F168" i="8"/>
  <c r="H168" i="8" s="1"/>
  <c r="Q168" i="8" s="1"/>
  <c r="S168" i="8" s="1"/>
  <c r="I167" i="8"/>
  <c r="R167" i="8" s="1"/>
  <c r="G167" i="8"/>
  <c r="F167" i="8"/>
  <c r="I166" i="8"/>
  <c r="R166" i="8" s="1"/>
  <c r="G166" i="8"/>
  <c r="F166" i="8"/>
  <c r="I165" i="8"/>
  <c r="R165" i="8" s="1"/>
  <c r="G165" i="8"/>
  <c r="F165" i="8"/>
  <c r="I164" i="8"/>
  <c r="R164" i="8" s="1"/>
  <c r="G164" i="8"/>
  <c r="F164" i="8"/>
  <c r="H164" i="8" s="1"/>
  <c r="Q164" i="8" s="1"/>
  <c r="S164" i="8" s="1"/>
  <c r="I163" i="8"/>
  <c r="R163" i="8" s="1"/>
  <c r="G163" i="8"/>
  <c r="F163" i="8"/>
  <c r="I162" i="8"/>
  <c r="G162" i="8"/>
  <c r="F162" i="8"/>
  <c r="I161" i="8"/>
  <c r="G161" i="8"/>
  <c r="F161" i="8"/>
  <c r="I160" i="8"/>
  <c r="G160" i="8"/>
  <c r="F160" i="8"/>
  <c r="H160" i="8" s="1"/>
  <c r="Q160" i="8" s="1"/>
  <c r="S160" i="8" s="1"/>
  <c r="I159" i="8"/>
  <c r="G159" i="8"/>
  <c r="F159" i="8"/>
  <c r="I155" i="8"/>
  <c r="R155" i="8" s="1"/>
  <c r="G155" i="8"/>
  <c r="F155" i="8"/>
  <c r="I154" i="8"/>
  <c r="R154" i="8" s="1"/>
  <c r="G154" i="8"/>
  <c r="F154" i="8"/>
  <c r="I153" i="8"/>
  <c r="R153" i="8" s="1"/>
  <c r="G153" i="8"/>
  <c r="F153" i="8"/>
  <c r="H153" i="8" s="1"/>
  <c r="Q153" i="8" s="1"/>
  <c r="S153" i="8" s="1"/>
  <c r="I152" i="8"/>
  <c r="R152" i="8" s="1"/>
  <c r="G152" i="8"/>
  <c r="F152" i="8"/>
  <c r="I151" i="8"/>
  <c r="R151" i="8" s="1"/>
  <c r="G151" i="8"/>
  <c r="F151" i="8"/>
  <c r="I150" i="8"/>
  <c r="R150" i="8" s="1"/>
  <c r="G150" i="8"/>
  <c r="F150" i="8"/>
  <c r="I149" i="8"/>
  <c r="G149" i="8"/>
  <c r="F149" i="8"/>
  <c r="H149" i="8" s="1"/>
  <c r="Q149" i="8" s="1"/>
  <c r="S149" i="8" s="1"/>
  <c r="I148" i="8"/>
  <c r="G148" i="8"/>
  <c r="F148" i="8"/>
  <c r="I147" i="8"/>
  <c r="G147" i="8"/>
  <c r="F147" i="8"/>
  <c r="I146" i="8"/>
  <c r="G146" i="8"/>
  <c r="F146" i="8"/>
  <c r="I145" i="8"/>
  <c r="G145" i="8"/>
  <c r="F145" i="8"/>
  <c r="I141" i="8"/>
  <c r="R141" i="8" s="1"/>
  <c r="G141" i="8"/>
  <c r="F141" i="8"/>
  <c r="I140" i="8"/>
  <c r="R140" i="8" s="1"/>
  <c r="G140" i="8"/>
  <c r="F140" i="8"/>
  <c r="I139" i="8"/>
  <c r="R139" i="8" s="1"/>
  <c r="G139" i="8"/>
  <c r="F139" i="8"/>
  <c r="I138" i="8"/>
  <c r="R138" i="8" s="1"/>
  <c r="G138" i="8"/>
  <c r="F138" i="8"/>
  <c r="H138" i="8" s="1"/>
  <c r="Q138" i="8" s="1"/>
  <c r="S138" i="8" s="1"/>
  <c r="I137" i="8"/>
  <c r="R137" i="8" s="1"/>
  <c r="G137" i="8"/>
  <c r="F137" i="8"/>
  <c r="I136" i="8"/>
  <c r="R136" i="8" s="1"/>
  <c r="G136" i="8"/>
  <c r="F136" i="8"/>
  <c r="I135" i="8"/>
  <c r="G135" i="8"/>
  <c r="F135" i="8"/>
  <c r="I134" i="8"/>
  <c r="G134" i="8"/>
  <c r="F134" i="8"/>
  <c r="H134" i="8" s="1"/>
  <c r="Q134" i="8" s="1"/>
  <c r="S134" i="8" s="1"/>
  <c r="I133" i="8"/>
  <c r="G133" i="8"/>
  <c r="F133" i="8"/>
  <c r="I132" i="8"/>
  <c r="G132" i="8"/>
  <c r="F132" i="8"/>
  <c r="I131" i="8"/>
  <c r="G131" i="8"/>
  <c r="F131" i="8"/>
  <c r="I127" i="8"/>
  <c r="R127" i="8" s="1"/>
  <c r="G127" i="8"/>
  <c r="F127" i="8"/>
  <c r="H127" i="8" s="1"/>
  <c r="Q127" i="8" s="1"/>
  <c r="S127" i="8" s="1"/>
  <c r="I126" i="8"/>
  <c r="R126" i="8" s="1"/>
  <c r="G126" i="8"/>
  <c r="F126" i="8"/>
  <c r="I125" i="8"/>
  <c r="R125" i="8" s="1"/>
  <c r="G125" i="8"/>
  <c r="F125" i="8"/>
  <c r="I124" i="8"/>
  <c r="R124" i="8" s="1"/>
  <c r="G124" i="8"/>
  <c r="F124" i="8"/>
  <c r="I123" i="8"/>
  <c r="R123" i="8" s="1"/>
  <c r="G123" i="8"/>
  <c r="F123" i="8"/>
  <c r="H123" i="8" s="1"/>
  <c r="Q123" i="8" s="1"/>
  <c r="S123" i="8" s="1"/>
  <c r="I122" i="8"/>
  <c r="R122" i="8" s="1"/>
  <c r="G122" i="8"/>
  <c r="F122" i="8"/>
  <c r="I121" i="8"/>
  <c r="R121" i="8" s="1"/>
  <c r="G121" i="8"/>
  <c r="F121" i="8"/>
  <c r="H121" i="8" s="1"/>
  <c r="Q121" i="8" s="1"/>
  <c r="S121" i="8" s="1"/>
  <c r="I120" i="8"/>
  <c r="R120" i="8" s="1"/>
  <c r="G120" i="8"/>
  <c r="F120" i="8"/>
  <c r="I119" i="8"/>
  <c r="G119" i="8"/>
  <c r="F119" i="8"/>
  <c r="H119" i="8" s="1"/>
  <c r="Q119" i="8" s="1"/>
  <c r="S119" i="8" s="1"/>
  <c r="I118" i="8"/>
  <c r="G118" i="8"/>
  <c r="F118" i="8"/>
  <c r="I117" i="8"/>
  <c r="G117" i="8"/>
  <c r="F117" i="8"/>
  <c r="I113" i="8"/>
  <c r="R113" i="8" s="1"/>
  <c r="G113" i="8"/>
  <c r="F113" i="8"/>
  <c r="I112" i="8"/>
  <c r="R112" i="8" s="1"/>
  <c r="G112" i="8"/>
  <c r="F112" i="8"/>
  <c r="H112" i="8" s="1"/>
  <c r="Q112" i="8" s="1"/>
  <c r="S112" i="8" s="1"/>
  <c r="I111" i="8"/>
  <c r="R111" i="8" s="1"/>
  <c r="G111" i="8"/>
  <c r="F111" i="8"/>
  <c r="I110" i="8"/>
  <c r="R110" i="8" s="1"/>
  <c r="G110" i="8"/>
  <c r="F110" i="8"/>
  <c r="H110" i="8" s="1"/>
  <c r="Q110" i="8" s="1"/>
  <c r="S110" i="8" s="1"/>
  <c r="I109" i="8"/>
  <c r="R109" i="8" s="1"/>
  <c r="G109" i="8"/>
  <c r="F109" i="8"/>
  <c r="I108" i="8"/>
  <c r="R108" i="8" s="1"/>
  <c r="G108" i="8"/>
  <c r="F108" i="8"/>
  <c r="H108" i="8" s="1"/>
  <c r="Q108" i="8" s="1"/>
  <c r="S108" i="8" s="1"/>
  <c r="I107" i="8"/>
  <c r="R107" i="8" s="1"/>
  <c r="G107" i="8"/>
  <c r="F107" i="8"/>
  <c r="I106" i="8"/>
  <c r="G106" i="8"/>
  <c r="F106" i="8"/>
  <c r="I105" i="8"/>
  <c r="G105" i="8"/>
  <c r="F105" i="8"/>
  <c r="I104" i="8"/>
  <c r="G104" i="8"/>
  <c r="F104" i="8"/>
  <c r="H104" i="8" s="1"/>
  <c r="Q104" i="8" s="1"/>
  <c r="S104" i="8" s="1"/>
  <c r="I103" i="8"/>
  <c r="G103" i="8"/>
  <c r="F103" i="8"/>
  <c r="I99" i="8"/>
  <c r="R99" i="8" s="1"/>
  <c r="G99" i="8"/>
  <c r="F99" i="8"/>
  <c r="I98" i="8"/>
  <c r="R98" i="8" s="1"/>
  <c r="G98" i="8"/>
  <c r="F98" i="8"/>
  <c r="I97" i="8"/>
  <c r="R97" i="8" s="1"/>
  <c r="G97" i="8"/>
  <c r="F97" i="8"/>
  <c r="H97" i="8" s="1"/>
  <c r="Q97" i="8" s="1"/>
  <c r="S97" i="8" s="1"/>
  <c r="I96" i="8"/>
  <c r="R96" i="8" s="1"/>
  <c r="G96" i="8"/>
  <c r="F96" i="8"/>
  <c r="I95" i="8"/>
  <c r="R95" i="8" s="1"/>
  <c r="G95" i="8"/>
  <c r="F95" i="8"/>
  <c r="I94" i="8"/>
  <c r="R94" i="8" s="1"/>
  <c r="G94" i="8"/>
  <c r="F94" i="8"/>
  <c r="I93" i="8"/>
  <c r="R93" i="8" s="1"/>
  <c r="G93" i="8"/>
  <c r="F93" i="8"/>
  <c r="H93" i="8" s="1"/>
  <c r="Q93" i="8" s="1"/>
  <c r="S93" i="8" s="1"/>
  <c r="I92" i="8"/>
  <c r="G92" i="8"/>
  <c r="F92" i="8"/>
  <c r="I91" i="8"/>
  <c r="G91" i="8"/>
  <c r="F91" i="8"/>
  <c r="H91" i="8" s="1"/>
  <c r="Q91" i="8" s="1"/>
  <c r="S91" i="8" s="1"/>
  <c r="I90" i="8"/>
  <c r="G90" i="8"/>
  <c r="F90" i="8"/>
  <c r="I89" i="8"/>
  <c r="G89" i="8"/>
  <c r="F89" i="8"/>
  <c r="H89" i="8" s="1"/>
  <c r="Q89" i="8" s="1"/>
  <c r="S89" i="8" s="1"/>
  <c r="I85" i="8"/>
  <c r="R85" i="8" s="1"/>
  <c r="G85" i="8"/>
  <c r="F85" i="8"/>
  <c r="I84" i="8"/>
  <c r="R84" i="8" s="1"/>
  <c r="G84" i="8"/>
  <c r="F84" i="8"/>
  <c r="I83" i="8"/>
  <c r="R83" i="8" s="1"/>
  <c r="G83" i="8"/>
  <c r="F83" i="8"/>
  <c r="I82" i="8"/>
  <c r="R82" i="8" s="1"/>
  <c r="G82" i="8"/>
  <c r="F82" i="8"/>
  <c r="H82" i="8" s="1"/>
  <c r="Q82" i="8" s="1"/>
  <c r="S82" i="8" s="1"/>
  <c r="I81" i="8"/>
  <c r="R81" i="8" s="1"/>
  <c r="G81" i="8"/>
  <c r="F81" i="8"/>
  <c r="I80" i="8"/>
  <c r="R80" i="8" s="1"/>
  <c r="G80" i="8"/>
  <c r="F80" i="8"/>
  <c r="H80" i="8" s="1"/>
  <c r="Q80" i="8" s="1"/>
  <c r="S80" i="8" s="1"/>
  <c r="I79" i="8"/>
  <c r="R79" i="8" s="1"/>
  <c r="G79" i="8"/>
  <c r="F79" i="8"/>
  <c r="I78" i="8"/>
  <c r="G78" i="8"/>
  <c r="F78" i="8"/>
  <c r="H78" i="8" s="1"/>
  <c r="Q78" i="8" s="1"/>
  <c r="S78" i="8" s="1"/>
  <c r="I77" i="8"/>
  <c r="G77" i="8"/>
  <c r="F77" i="8"/>
  <c r="I76" i="8"/>
  <c r="G76" i="8"/>
  <c r="F76" i="8"/>
  <c r="I75" i="8"/>
  <c r="G75" i="8"/>
  <c r="F75" i="8"/>
  <c r="I71" i="8"/>
  <c r="R71" i="8" s="1"/>
  <c r="G71" i="8"/>
  <c r="F71" i="8"/>
  <c r="I70" i="8"/>
  <c r="R70" i="8" s="1"/>
  <c r="G70" i="8"/>
  <c r="F70" i="8"/>
  <c r="I69" i="8"/>
  <c r="R69" i="8" s="1"/>
  <c r="G69" i="8"/>
  <c r="F69" i="8"/>
  <c r="I68" i="8"/>
  <c r="R68" i="8" s="1"/>
  <c r="G68" i="8"/>
  <c r="F68" i="8"/>
  <c r="I67" i="8"/>
  <c r="R67" i="8" s="1"/>
  <c r="G67" i="8"/>
  <c r="F67" i="8"/>
  <c r="H67" i="8" s="1"/>
  <c r="Q67" i="8" s="1"/>
  <c r="S67" i="8" s="1"/>
  <c r="I66" i="8"/>
  <c r="R66" i="8" s="1"/>
  <c r="G66" i="8"/>
  <c r="F66" i="8"/>
  <c r="I65" i="8"/>
  <c r="R65" i="8" s="1"/>
  <c r="G65" i="8"/>
  <c r="F65" i="8"/>
  <c r="I64" i="8"/>
  <c r="G64" i="8"/>
  <c r="F64" i="8"/>
  <c r="I63" i="8"/>
  <c r="G63" i="8"/>
  <c r="F63" i="8"/>
  <c r="I62" i="8"/>
  <c r="G62" i="8"/>
  <c r="F62" i="8"/>
  <c r="I61" i="8"/>
  <c r="G61" i="8"/>
  <c r="F61" i="8"/>
  <c r="I57" i="8"/>
  <c r="R57" i="8" s="1"/>
  <c r="G57" i="8"/>
  <c r="F57" i="8"/>
  <c r="I56" i="8"/>
  <c r="R56" i="8" s="1"/>
  <c r="G56" i="8"/>
  <c r="F56" i="8"/>
  <c r="H56" i="8" s="1"/>
  <c r="Q56" i="8" s="1"/>
  <c r="S56" i="8" s="1"/>
  <c r="I55" i="8"/>
  <c r="R55" i="8" s="1"/>
  <c r="G55" i="8"/>
  <c r="F55" i="8"/>
  <c r="I54" i="8"/>
  <c r="R54" i="8" s="1"/>
  <c r="G54" i="8"/>
  <c r="F54" i="8"/>
  <c r="I53" i="8"/>
  <c r="R53" i="8" s="1"/>
  <c r="G53" i="8"/>
  <c r="F53" i="8"/>
  <c r="I52" i="8"/>
  <c r="R52" i="8" s="1"/>
  <c r="G52" i="8"/>
  <c r="F52" i="8"/>
  <c r="H52" i="8" s="1"/>
  <c r="Q52" i="8" s="1"/>
  <c r="S52" i="8" s="1"/>
  <c r="I51" i="8"/>
  <c r="G51" i="8"/>
  <c r="F51" i="8"/>
  <c r="I50" i="8"/>
  <c r="G50" i="8"/>
  <c r="F50" i="8"/>
  <c r="H50" i="8" s="1"/>
  <c r="Q50" i="8" s="1"/>
  <c r="S50" i="8" s="1"/>
  <c r="I49" i="8"/>
  <c r="G49" i="8"/>
  <c r="F49" i="8"/>
  <c r="I48" i="8"/>
  <c r="G48" i="8"/>
  <c r="F48" i="8"/>
  <c r="H48" i="8" s="1"/>
  <c r="Q48" i="8" s="1"/>
  <c r="S48" i="8" s="1"/>
  <c r="I47" i="8"/>
  <c r="G47" i="8"/>
  <c r="F47" i="8"/>
  <c r="I43" i="8"/>
  <c r="R43" i="8" s="1"/>
  <c r="G43" i="8"/>
  <c r="F43" i="8"/>
  <c r="I42" i="8"/>
  <c r="R42" i="8" s="1"/>
  <c r="G42" i="8"/>
  <c r="F42" i="8"/>
  <c r="I41" i="8"/>
  <c r="R41" i="8" s="1"/>
  <c r="G41" i="8"/>
  <c r="F41" i="8"/>
  <c r="H41" i="8" s="1"/>
  <c r="Q41" i="8" s="1"/>
  <c r="S41" i="8" s="1"/>
  <c r="I40" i="8"/>
  <c r="R40" i="8" s="1"/>
  <c r="G40" i="8"/>
  <c r="F40" i="8"/>
  <c r="I39" i="8"/>
  <c r="R39" i="8" s="1"/>
  <c r="G39" i="8"/>
  <c r="F39" i="8"/>
  <c r="H39" i="8" s="1"/>
  <c r="Q39" i="8" s="1"/>
  <c r="S39" i="8" s="1"/>
  <c r="I38" i="8"/>
  <c r="G38" i="8"/>
  <c r="F38" i="8"/>
  <c r="I37" i="8"/>
  <c r="G37" i="8"/>
  <c r="F37" i="8"/>
  <c r="H37" i="8" s="1"/>
  <c r="Q37" i="8" s="1"/>
  <c r="S37" i="8" s="1"/>
  <c r="I36" i="8"/>
  <c r="G36" i="8"/>
  <c r="F36" i="8"/>
  <c r="I35" i="8"/>
  <c r="G35" i="8"/>
  <c r="F35" i="8"/>
  <c r="I34" i="8"/>
  <c r="G34" i="8"/>
  <c r="F34" i="8"/>
  <c r="I33" i="8"/>
  <c r="G33" i="8"/>
  <c r="F33" i="8"/>
  <c r="H33" i="8" s="1"/>
  <c r="Q33" i="8" s="1"/>
  <c r="S33" i="8" s="1"/>
  <c r="I29" i="8"/>
  <c r="R29" i="8" s="1"/>
  <c r="G29" i="8"/>
  <c r="F29" i="8"/>
  <c r="I28" i="8"/>
  <c r="R28" i="8" s="1"/>
  <c r="G28" i="8"/>
  <c r="F28" i="8"/>
  <c r="H28" i="8" s="1"/>
  <c r="Q28" i="8" s="1"/>
  <c r="S28" i="8" s="1"/>
  <c r="I27" i="8"/>
  <c r="R27" i="8" s="1"/>
  <c r="G27" i="8"/>
  <c r="F27" i="8"/>
  <c r="I26" i="8"/>
  <c r="R26" i="8" s="1"/>
  <c r="G26" i="8"/>
  <c r="F26" i="8"/>
  <c r="H26" i="8" s="1"/>
  <c r="Q26" i="8" s="1"/>
  <c r="S26" i="8" s="1"/>
  <c r="I25" i="8"/>
  <c r="R25" i="8" s="1"/>
  <c r="G25" i="8"/>
  <c r="F25" i="8"/>
  <c r="I24" i="8"/>
  <c r="G24" i="8"/>
  <c r="F24" i="8"/>
  <c r="I23" i="8"/>
  <c r="G23" i="8"/>
  <c r="F23" i="8"/>
  <c r="I22" i="8"/>
  <c r="G22" i="8"/>
  <c r="F22" i="8"/>
  <c r="H22" i="8" s="1"/>
  <c r="Q22" i="8" s="1"/>
  <c r="S22" i="8" s="1"/>
  <c r="I21" i="8"/>
  <c r="G21" i="8"/>
  <c r="F21" i="8"/>
  <c r="I20" i="8"/>
  <c r="G20" i="8"/>
  <c r="F20" i="8"/>
  <c r="H20" i="8" s="1"/>
  <c r="Q20" i="8" s="1"/>
  <c r="S20" i="8" s="1"/>
  <c r="I19" i="8"/>
  <c r="G19" i="8"/>
  <c r="F19" i="8"/>
  <c r="I15" i="8"/>
  <c r="R15" i="8" s="1"/>
  <c r="G15" i="8"/>
  <c r="F15" i="8"/>
  <c r="H15" i="8" s="1"/>
  <c r="Q15" i="8" s="1"/>
  <c r="S15" i="8" s="1"/>
  <c r="I14" i="8"/>
  <c r="R14" i="8" s="1"/>
  <c r="G14" i="8"/>
  <c r="H14" i="8" s="1"/>
  <c r="Q14" i="8" s="1"/>
  <c r="S14" i="8" s="1"/>
  <c r="I13" i="8"/>
  <c r="R13" i="8" s="1"/>
  <c r="G13" i="8"/>
  <c r="F13" i="8"/>
  <c r="I12" i="8"/>
  <c r="R12" i="8" s="1"/>
  <c r="G12" i="8"/>
  <c r="F12" i="8"/>
  <c r="I11" i="8"/>
  <c r="G11" i="8"/>
  <c r="F11" i="8"/>
  <c r="I10" i="8"/>
  <c r="G10" i="8"/>
  <c r="F10" i="8"/>
  <c r="I9" i="8"/>
  <c r="G9" i="8"/>
  <c r="F9" i="8"/>
  <c r="I8" i="8"/>
  <c r="G8" i="8"/>
  <c r="F8" i="8"/>
  <c r="I7" i="8"/>
  <c r="G7" i="8"/>
  <c r="F7" i="8"/>
  <c r="I6" i="8"/>
  <c r="G6" i="8"/>
  <c r="F6" i="8"/>
  <c r="I5" i="8"/>
  <c r="G5" i="8"/>
  <c r="F5" i="8"/>
  <c r="I169" i="7"/>
  <c r="R169" i="7" s="1"/>
  <c r="G169" i="7"/>
  <c r="F169" i="7"/>
  <c r="I168" i="7"/>
  <c r="R168" i="7" s="1"/>
  <c r="G168" i="7"/>
  <c r="F168" i="7"/>
  <c r="I167" i="7"/>
  <c r="R167" i="7" s="1"/>
  <c r="G167" i="7"/>
  <c r="F167" i="7"/>
  <c r="I166" i="7"/>
  <c r="R166" i="7" s="1"/>
  <c r="G166" i="7"/>
  <c r="F166" i="7"/>
  <c r="I165" i="7"/>
  <c r="R165" i="7" s="1"/>
  <c r="G165" i="7"/>
  <c r="F165" i="7"/>
  <c r="I164" i="7"/>
  <c r="R164" i="7" s="1"/>
  <c r="G164" i="7"/>
  <c r="F164" i="7"/>
  <c r="I163" i="7"/>
  <c r="R163" i="7" s="1"/>
  <c r="G163" i="7"/>
  <c r="F163" i="7"/>
  <c r="I162" i="7"/>
  <c r="G162" i="7"/>
  <c r="F162" i="7"/>
  <c r="I161" i="7"/>
  <c r="G161" i="7"/>
  <c r="F161" i="7"/>
  <c r="I160" i="7"/>
  <c r="G160" i="7"/>
  <c r="F160" i="7"/>
  <c r="I159" i="7"/>
  <c r="G159" i="7"/>
  <c r="F159" i="7"/>
  <c r="I155" i="7"/>
  <c r="R155" i="7" s="1"/>
  <c r="G155" i="7"/>
  <c r="F155" i="7"/>
  <c r="I154" i="7"/>
  <c r="R154" i="7" s="1"/>
  <c r="G154" i="7"/>
  <c r="F154" i="7"/>
  <c r="I153" i="7"/>
  <c r="R153" i="7" s="1"/>
  <c r="G153" i="7"/>
  <c r="F153" i="7"/>
  <c r="I152" i="7"/>
  <c r="R152" i="7" s="1"/>
  <c r="G152" i="7"/>
  <c r="F152" i="7"/>
  <c r="I151" i="7"/>
  <c r="R151" i="7" s="1"/>
  <c r="G151" i="7"/>
  <c r="F151" i="7"/>
  <c r="I150" i="7"/>
  <c r="R150" i="7" s="1"/>
  <c r="G150" i="7"/>
  <c r="F150" i="7"/>
  <c r="I149" i="7"/>
  <c r="G149" i="7"/>
  <c r="F149" i="7"/>
  <c r="I148" i="7"/>
  <c r="G148" i="7"/>
  <c r="F148" i="7"/>
  <c r="I147" i="7"/>
  <c r="G147" i="7"/>
  <c r="F147" i="7"/>
  <c r="I146" i="7"/>
  <c r="G146" i="7"/>
  <c r="F146" i="7"/>
  <c r="I145" i="7"/>
  <c r="G145" i="7"/>
  <c r="F145" i="7"/>
  <c r="I141" i="7"/>
  <c r="R141" i="7" s="1"/>
  <c r="G141" i="7"/>
  <c r="F141" i="7"/>
  <c r="I140" i="7"/>
  <c r="R140" i="7" s="1"/>
  <c r="G140" i="7"/>
  <c r="F140" i="7"/>
  <c r="I139" i="7"/>
  <c r="R139" i="7" s="1"/>
  <c r="G139" i="7"/>
  <c r="F139" i="7"/>
  <c r="I138" i="7"/>
  <c r="R138" i="7" s="1"/>
  <c r="G138" i="7"/>
  <c r="F138" i="7"/>
  <c r="I137" i="7"/>
  <c r="R137" i="7" s="1"/>
  <c r="G137" i="7"/>
  <c r="F137" i="7"/>
  <c r="I136" i="7"/>
  <c r="R136" i="7" s="1"/>
  <c r="G136" i="7"/>
  <c r="F136" i="7"/>
  <c r="I135" i="7"/>
  <c r="G135" i="7"/>
  <c r="F135" i="7"/>
  <c r="I134" i="7"/>
  <c r="G134" i="7"/>
  <c r="F134" i="7"/>
  <c r="I133" i="7"/>
  <c r="G133" i="7"/>
  <c r="F133" i="7"/>
  <c r="I132" i="7"/>
  <c r="G132" i="7"/>
  <c r="F132" i="7"/>
  <c r="I131" i="7"/>
  <c r="G131" i="7"/>
  <c r="F131" i="7"/>
  <c r="I127" i="7"/>
  <c r="R127" i="7" s="1"/>
  <c r="G127" i="7"/>
  <c r="F127" i="7"/>
  <c r="I126" i="7"/>
  <c r="R126" i="7" s="1"/>
  <c r="G126" i="7"/>
  <c r="F126" i="7"/>
  <c r="I125" i="7"/>
  <c r="R125" i="7" s="1"/>
  <c r="G125" i="7"/>
  <c r="F125" i="7"/>
  <c r="I124" i="7"/>
  <c r="R124" i="7" s="1"/>
  <c r="G124" i="7"/>
  <c r="F124" i="7"/>
  <c r="I123" i="7"/>
  <c r="R123" i="7" s="1"/>
  <c r="G123" i="7"/>
  <c r="F123" i="7"/>
  <c r="I122" i="7"/>
  <c r="R122" i="7" s="1"/>
  <c r="G122" i="7"/>
  <c r="F122" i="7"/>
  <c r="I121" i="7"/>
  <c r="R121" i="7" s="1"/>
  <c r="G121" i="7"/>
  <c r="F121" i="7"/>
  <c r="I120" i="7"/>
  <c r="G120" i="7"/>
  <c r="F120" i="7"/>
  <c r="I119" i="7"/>
  <c r="G119" i="7"/>
  <c r="F119" i="7"/>
  <c r="I118" i="7"/>
  <c r="G118" i="7"/>
  <c r="F118" i="7"/>
  <c r="I117" i="7"/>
  <c r="G117" i="7"/>
  <c r="F117" i="7"/>
  <c r="I113" i="7"/>
  <c r="R113" i="7" s="1"/>
  <c r="G113" i="7"/>
  <c r="F113" i="7"/>
  <c r="I112" i="7"/>
  <c r="R112" i="7" s="1"/>
  <c r="G112" i="7"/>
  <c r="F112" i="7"/>
  <c r="I111" i="7"/>
  <c r="R111" i="7" s="1"/>
  <c r="G111" i="7"/>
  <c r="F111" i="7"/>
  <c r="I110" i="7"/>
  <c r="R110" i="7" s="1"/>
  <c r="G110" i="7"/>
  <c r="F110" i="7"/>
  <c r="I109" i="7"/>
  <c r="R109" i="7" s="1"/>
  <c r="G109" i="7"/>
  <c r="F109" i="7"/>
  <c r="I108" i="7"/>
  <c r="R108" i="7" s="1"/>
  <c r="G108" i="7"/>
  <c r="F108" i="7"/>
  <c r="I107" i="7"/>
  <c r="R107" i="7" s="1"/>
  <c r="G107" i="7"/>
  <c r="F107" i="7"/>
  <c r="I106" i="7"/>
  <c r="G106" i="7"/>
  <c r="F106" i="7"/>
  <c r="I105" i="7"/>
  <c r="G105" i="7"/>
  <c r="F105" i="7"/>
  <c r="I104" i="7"/>
  <c r="G104" i="7"/>
  <c r="F104" i="7"/>
  <c r="I103" i="7"/>
  <c r="G103" i="7"/>
  <c r="F103" i="7"/>
  <c r="I99" i="7"/>
  <c r="R99" i="7" s="1"/>
  <c r="G99" i="7"/>
  <c r="F99" i="7"/>
  <c r="I98" i="7"/>
  <c r="R98" i="7" s="1"/>
  <c r="G98" i="7"/>
  <c r="F98" i="7"/>
  <c r="I97" i="7"/>
  <c r="R97" i="7" s="1"/>
  <c r="G97" i="7"/>
  <c r="F97" i="7"/>
  <c r="I96" i="7"/>
  <c r="R96" i="7" s="1"/>
  <c r="G96" i="7"/>
  <c r="F96" i="7"/>
  <c r="I95" i="7"/>
  <c r="R95" i="7" s="1"/>
  <c r="G95" i="7"/>
  <c r="F95" i="7"/>
  <c r="I94" i="7"/>
  <c r="R94" i="7" s="1"/>
  <c r="G94" i="7"/>
  <c r="F94" i="7"/>
  <c r="I93" i="7"/>
  <c r="R93" i="7" s="1"/>
  <c r="G93" i="7"/>
  <c r="F93" i="7"/>
  <c r="I92" i="7"/>
  <c r="G92" i="7"/>
  <c r="F92" i="7"/>
  <c r="I91" i="7"/>
  <c r="G91" i="7"/>
  <c r="F91" i="7"/>
  <c r="I90" i="7"/>
  <c r="G90" i="7"/>
  <c r="F90" i="7"/>
  <c r="I89" i="7"/>
  <c r="G89" i="7"/>
  <c r="F89" i="7"/>
  <c r="I85" i="7"/>
  <c r="R85" i="7" s="1"/>
  <c r="G85" i="7"/>
  <c r="F85" i="7"/>
  <c r="I84" i="7"/>
  <c r="R84" i="7" s="1"/>
  <c r="G84" i="7"/>
  <c r="F84" i="7"/>
  <c r="I83" i="7"/>
  <c r="R83" i="7" s="1"/>
  <c r="G83" i="7"/>
  <c r="F83" i="7"/>
  <c r="I82" i="7"/>
  <c r="R82" i="7" s="1"/>
  <c r="G82" i="7"/>
  <c r="F82" i="7"/>
  <c r="I81" i="7"/>
  <c r="R81" i="7" s="1"/>
  <c r="G81" i="7"/>
  <c r="F81" i="7"/>
  <c r="I80" i="7"/>
  <c r="R80" i="7" s="1"/>
  <c r="G80" i="7"/>
  <c r="F80" i="7"/>
  <c r="I79" i="7"/>
  <c r="R79" i="7" s="1"/>
  <c r="G79" i="7"/>
  <c r="F79" i="7"/>
  <c r="I78" i="7"/>
  <c r="G78" i="7"/>
  <c r="F78" i="7"/>
  <c r="I77" i="7"/>
  <c r="G77" i="7"/>
  <c r="F77" i="7"/>
  <c r="I76" i="7"/>
  <c r="G76" i="7"/>
  <c r="F76" i="7"/>
  <c r="I75" i="7"/>
  <c r="G75" i="7"/>
  <c r="F75" i="7"/>
  <c r="I71" i="7"/>
  <c r="R71" i="7" s="1"/>
  <c r="G71" i="7"/>
  <c r="F71" i="7"/>
  <c r="I70" i="7"/>
  <c r="R70" i="7" s="1"/>
  <c r="G70" i="7"/>
  <c r="F70" i="7"/>
  <c r="I69" i="7"/>
  <c r="R69" i="7" s="1"/>
  <c r="G69" i="7"/>
  <c r="F69" i="7"/>
  <c r="I68" i="7"/>
  <c r="R68" i="7" s="1"/>
  <c r="G68" i="7"/>
  <c r="F68" i="7"/>
  <c r="I67" i="7"/>
  <c r="R67" i="7" s="1"/>
  <c r="G67" i="7"/>
  <c r="F67" i="7"/>
  <c r="I66" i="7"/>
  <c r="R66" i="7" s="1"/>
  <c r="G66" i="7"/>
  <c r="F66" i="7"/>
  <c r="I65" i="7"/>
  <c r="G65" i="7"/>
  <c r="F65" i="7"/>
  <c r="I64" i="7"/>
  <c r="G64" i="7"/>
  <c r="F64" i="7"/>
  <c r="I63" i="7"/>
  <c r="G63" i="7"/>
  <c r="F63" i="7"/>
  <c r="I62" i="7"/>
  <c r="G62" i="7"/>
  <c r="F62" i="7"/>
  <c r="I61" i="7"/>
  <c r="G61" i="7"/>
  <c r="F61" i="7"/>
  <c r="I57" i="7"/>
  <c r="R57" i="7" s="1"/>
  <c r="G57" i="7"/>
  <c r="F57" i="7"/>
  <c r="I56" i="7"/>
  <c r="R56" i="7" s="1"/>
  <c r="G56" i="7"/>
  <c r="F56" i="7"/>
  <c r="I55" i="7"/>
  <c r="R55" i="7" s="1"/>
  <c r="G55" i="7"/>
  <c r="F55" i="7"/>
  <c r="I54" i="7"/>
  <c r="R54" i="7" s="1"/>
  <c r="G54" i="7"/>
  <c r="F54" i="7"/>
  <c r="I53" i="7"/>
  <c r="R53" i="7" s="1"/>
  <c r="G53" i="7"/>
  <c r="F53" i="7"/>
  <c r="I52" i="7"/>
  <c r="R52" i="7" s="1"/>
  <c r="G52" i="7"/>
  <c r="F52" i="7"/>
  <c r="I51" i="7"/>
  <c r="G51" i="7"/>
  <c r="F51" i="7"/>
  <c r="I50" i="7"/>
  <c r="G50" i="7"/>
  <c r="F50" i="7"/>
  <c r="I49" i="7"/>
  <c r="G49" i="7"/>
  <c r="F49" i="7"/>
  <c r="I48" i="7"/>
  <c r="G48" i="7"/>
  <c r="F48" i="7"/>
  <c r="I47" i="7"/>
  <c r="G47" i="7"/>
  <c r="F47" i="7"/>
  <c r="I43" i="7"/>
  <c r="R43" i="7" s="1"/>
  <c r="G43" i="7"/>
  <c r="F43" i="7"/>
  <c r="I42" i="7"/>
  <c r="R42" i="7" s="1"/>
  <c r="G42" i="7"/>
  <c r="F42" i="7"/>
  <c r="I41" i="7"/>
  <c r="R41" i="7" s="1"/>
  <c r="G41" i="7"/>
  <c r="F41" i="7"/>
  <c r="I40" i="7"/>
  <c r="R40" i="7" s="1"/>
  <c r="G40" i="7"/>
  <c r="F40" i="7"/>
  <c r="I39" i="7"/>
  <c r="R39" i="7" s="1"/>
  <c r="G39" i="7"/>
  <c r="F39" i="7"/>
  <c r="I38" i="7"/>
  <c r="G38" i="7"/>
  <c r="F38" i="7"/>
  <c r="I37" i="7"/>
  <c r="G37" i="7"/>
  <c r="F37" i="7"/>
  <c r="I36" i="7"/>
  <c r="G36" i="7"/>
  <c r="F36" i="7"/>
  <c r="I35" i="7"/>
  <c r="G35" i="7"/>
  <c r="F35" i="7"/>
  <c r="I34" i="7"/>
  <c r="G34" i="7"/>
  <c r="F34" i="7"/>
  <c r="I33" i="7"/>
  <c r="G33" i="7"/>
  <c r="F33" i="7"/>
  <c r="I29" i="7"/>
  <c r="R29" i="7" s="1"/>
  <c r="G29" i="7"/>
  <c r="F29" i="7"/>
  <c r="I28" i="7"/>
  <c r="R28" i="7" s="1"/>
  <c r="G28" i="7"/>
  <c r="F28" i="7"/>
  <c r="I27" i="7"/>
  <c r="R27" i="7" s="1"/>
  <c r="G27" i="7"/>
  <c r="F27" i="7"/>
  <c r="I26" i="7"/>
  <c r="R26" i="7" s="1"/>
  <c r="G26" i="7"/>
  <c r="F26" i="7"/>
  <c r="I25" i="7"/>
  <c r="R25" i="7" s="1"/>
  <c r="G25" i="7"/>
  <c r="F25" i="7"/>
  <c r="I24" i="7"/>
  <c r="G24" i="7"/>
  <c r="F24" i="7"/>
  <c r="I23" i="7"/>
  <c r="G23" i="7"/>
  <c r="F23" i="7"/>
  <c r="I22" i="7"/>
  <c r="G22" i="7"/>
  <c r="F22" i="7"/>
  <c r="I21" i="7"/>
  <c r="G21" i="7"/>
  <c r="F21" i="7"/>
  <c r="I20" i="7"/>
  <c r="G20" i="7"/>
  <c r="F20" i="7"/>
  <c r="I19" i="7"/>
  <c r="G19" i="7"/>
  <c r="F19" i="7"/>
  <c r="I15" i="7"/>
  <c r="R15" i="7" s="1"/>
  <c r="G15" i="7"/>
  <c r="F15" i="7"/>
  <c r="I14" i="7"/>
  <c r="R14" i="7" s="1"/>
  <c r="G14" i="7"/>
  <c r="F14" i="7"/>
  <c r="I13" i="7"/>
  <c r="R13" i="7" s="1"/>
  <c r="G13" i="7"/>
  <c r="F13" i="7"/>
  <c r="I12" i="7"/>
  <c r="R12" i="7" s="1"/>
  <c r="G12" i="7"/>
  <c r="F12" i="7"/>
  <c r="I11" i="7"/>
  <c r="G11" i="7"/>
  <c r="F11" i="7"/>
  <c r="I10" i="7"/>
  <c r="G10" i="7"/>
  <c r="F10" i="7"/>
  <c r="I9" i="7"/>
  <c r="G9" i="7"/>
  <c r="F9" i="7"/>
  <c r="I8" i="7"/>
  <c r="G8" i="7"/>
  <c r="F8" i="7"/>
  <c r="I7" i="7"/>
  <c r="G7" i="7"/>
  <c r="F7" i="7"/>
  <c r="I6" i="7"/>
  <c r="G6" i="7"/>
  <c r="F6" i="7"/>
  <c r="I5" i="7"/>
  <c r="G5" i="7"/>
  <c r="F5" i="7"/>
  <c r="I169" i="6"/>
  <c r="R169" i="6" s="1"/>
  <c r="G169" i="6"/>
  <c r="F169" i="6"/>
  <c r="I168" i="6"/>
  <c r="R168" i="6" s="1"/>
  <c r="G168" i="6"/>
  <c r="F168" i="6"/>
  <c r="I167" i="6"/>
  <c r="R167" i="6" s="1"/>
  <c r="G167" i="6"/>
  <c r="F167" i="6"/>
  <c r="I166" i="6"/>
  <c r="R166" i="6" s="1"/>
  <c r="G166" i="6"/>
  <c r="F166" i="6"/>
  <c r="I165" i="6"/>
  <c r="R165" i="6" s="1"/>
  <c r="G165" i="6"/>
  <c r="F165" i="6"/>
  <c r="I164" i="6"/>
  <c r="R164" i="6" s="1"/>
  <c r="G164" i="6"/>
  <c r="F164" i="6"/>
  <c r="I163" i="6"/>
  <c r="R163" i="6" s="1"/>
  <c r="G163" i="6"/>
  <c r="I162" i="6"/>
  <c r="G162" i="6"/>
  <c r="F162" i="6"/>
  <c r="I161" i="6"/>
  <c r="G161" i="6"/>
  <c r="F161" i="6"/>
  <c r="I160" i="6"/>
  <c r="R160" i="6" s="1"/>
  <c r="CQ15" i="6" s="1"/>
  <c r="G160" i="6"/>
  <c r="F160" i="6"/>
  <c r="I159" i="6"/>
  <c r="G159" i="6"/>
  <c r="F159" i="6"/>
  <c r="I155" i="6"/>
  <c r="R155" i="6" s="1"/>
  <c r="G155" i="6"/>
  <c r="F155" i="6"/>
  <c r="I154" i="6"/>
  <c r="R154" i="6" s="1"/>
  <c r="G154" i="6"/>
  <c r="F154" i="6"/>
  <c r="I153" i="6"/>
  <c r="R153" i="6" s="1"/>
  <c r="G153" i="6"/>
  <c r="F153" i="6"/>
  <c r="H153" i="6" s="1"/>
  <c r="Q153" i="6" s="1"/>
  <c r="S153" i="6" s="1"/>
  <c r="I152" i="6"/>
  <c r="R152" i="6" s="1"/>
  <c r="G152" i="6"/>
  <c r="F152" i="6"/>
  <c r="I151" i="6"/>
  <c r="R151" i="6" s="1"/>
  <c r="G151" i="6"/>
  <c r="F151" i="6"/>
  <c r="I150" i="6"/>
  <c r="R150" i="6" s="1"/>
  <c r="G150" i="6"/>
  <c r="F150" i="6"/>
  <c r="I149" i="6"/>
  <c r="G149" i="6"/>
  <c r="F149" i="6"/>
  <c r="I148" i="6"/>
  <c r="G148" i="6"/>
  <c r="F148" i="6"/>
  <c r="I147" i="6"/>
  <c r="G147" i="6"/>
  <c r="F147" i="6"/>
  <c r="I146" i="6"/>
  <c r="G146" i="6"/>
  <c r="F146" i="6"/>
  <c r="I145" i="6"/>
  <c r="G145" i="6"/>
  <c r="F145" i="6"/>
  <c r="I141" i="6"/>
  <c r="R141" i="6" s="1"/>
  <c r="G141" i="6"/>
  <c r="F141" i="6"/>
  <c r="I140" i="6"/>
  <c r="R140" i="6" s="1"/>
  <c r="G140" i="6"/>
  <c r="F140" i="6"/>
  <c r="I139" i="6"/>
  <c r="R139" i="6" s="1"/>
  <c r="G139" i="6"/>
  <c r="F139" i="6"/>
  <c r="I138" i="6"/>
  <c r="R138" i="6" s="1"/>
  <c r="G138" i="6"/>
  <c r="F138" i="6"/>
  <c r="I137" i="6"/>
  <c r="R137" i="6" s="1"/>
  <c r="G137" i="6"/>
  <c r="F137" i="6"/>
  <c r="I136" i="6"/>
  <c r="R136" i="6" s="1"/>
  <c r="G136" i="6"/>
  <c r="F136" i="6"/>
  <c r="I135" i="6"/>
  <c r="G135" i="6"/>
  <c r="F135" i="6"/>
  <c r="I134" i="6"/>
  <c r="G134" i="6"/>
  <c r="F134" i="6"/>
  <c r="H134" i="6" s="1"/>
  <c r="Q134" i="6" s="1"/>
  <c r="S134" i="6" s="1"/>
  <c r="I133" i="6"/>
  <c r="G133" i="6"/>
  <c r="F133" i="6"/>
  <c r="I132" i="6"/>
  <c r="G132" i="6"/>
  <c r="F132" i="6"/>
  <c r="I131" i="6"/>
  <c r="G131" i="6"/>
  <c r="F131" i="6"/>
  <c r="I127" i="6"/>
  <c r="R127" i="6" s="1"/>
  <c r="G127" i="6"/>
  <c r="F127" i="6"/>
  <c r="I126" i="6"/>
  <c r="R126" i="6" s="1"/>
  <c r="G126" i="6"/>
  <c r="F126" i="6"/>
  <c r="I125" i="6"/>
  <c r="R125" i="6" s="1"/>
  <c r="G125" i="6"/>
  <c r="F125" i="6"/>
  <c r="I124" i="6"/>
  <c r="R124" i="6" s="1"/>
  <c r="G124" i="6"/>
  <c r="F124" i="6"/>
  <c r="I123" i="6"/>
  <c r="R123" i="6" s="1"/>
  <c r="G123" i="6"/>
  <c r="F123" i="6"/>
  <c r="H123" i="6" s="1"/>
  <c r="Q123" i="6" s="1"/>
  <c r="S123" i="6" s="1"/>
  <c r="I122" i="6"/>
  <c r="R122" i="6" s="1"/>
  <c r="G122" i="6"/>
  <c r="F122" i="6"/>
  <c r="I121" i="6"/>
  <c r="R121" i="6" s="1"/>
  <c r="G121" i="6"/>
  <c r="F121" i="6"/>
  <c r="I120" i="6"/>
  <c r="G120" i="6"/>
  <c r="F120" i="6"/>
  <c r="I119" i="6"/>
  <c r="G119" i="6"/>
  <c r="F119" i="6"/>
  <c r="I118" i="6"/>
  <c r="G118" i="6"/>
  <c r="F118" i="6"/>
  <c r="I117" i="6"/>
  <c r="G117" i="6"/>
  <c r="F117" i="6"/>
  <c r="I113" i="6"/>
  <c r="R113" i="6" s="1"/>
  <c r="G113" i="6"/>
  <c r="F113" i="6"/>
  <c r="I112" i="6"/>
  <c r="R112" i="6" s="1"/>
  <c r="G112" i="6"/>
  <c r="F112" i="6"/>
  <c r="H112" i="6" s="1"/>
  <c r="Q112" i="6" s="1"/>
  <c r="S112" i="6" s="1"/>
  <c r="I111" i="6"/>
  <c r="R111" i="6" s="1"/>
  <c r="G111" i="6"/>
  <c r="F111" i="6"/>
  <c r="I110" i="6"/>
  <c r="R110" i="6" s="1"/>
  <c r="G110" i="6"/>
  <c r="F110" i="6"/>
  <c r="I109" i="6"/>
  <c r="R109" i="6" s="1"/>
  <c r="G109" i="6"/>
  <c r="F109" i="6"/>
  <c r="I108" i="6"/>
  <c r="R108" i="6" s="1"/>
  <c r="G108" i="6"/>
  <c r="F108" i="6"/>
  <c r="I107" i="6"/>
  <c r="G107" i="6"/>
  <c r="F107" i="6"/>
  <c r="I106" i="6"/>
  <c r="G106" i="6"/>
  <c r="F106" i="6"/>
  <c r="I105" i="6"/>
  <c r="G105" i="6"/>
  <c r="F105" i="6"/>
  <c r="I104" i="6"/>
  <c r="G104" i="6"/>
  <c r="F104" i="6"/>
  <c r="I103" i="6"/>
  <c r="G103" i="6"/>
  <c r="F103" i="6"/>
  <c r="I99" i="6"/>
  <c r="R99" i="6" s="1"/>
  <c r="G99" i="6"/>
  <c r="F99" i="6"/>
  <c r="I98" i="6"/>
  <c r="R98" i="6" s="1"/>
  <c r="G98" i="6"/>
  <c r="F98" i="6"/>
  <c r="I97" i="6"/>
  <c r="R97" i="6" s="1"/>
  <c r="G97" i="6"/>
  <c r="F97" i="6"/>
  <c r="I96" i="6"/>
  <c r="R96" i="6" s="1"/>
  <c r="G96" i="6"/>
  <c r="F96" i="6"/>
  <c r="I95" i="6"/>
  <c r="R95" i="6" s="1"/>
  <c r="G95" i="6"/>
  <c r="F95" i="6"/>
  <c r="I94" i="6"/>
  <c r="R94" i="6" s="1"/>
  <c r="G94" i="6"/>
  <c r="F94" i="6"/>
  <c r="I93" i="6"/>
  <c r="G93" i="6"/>
  <c r="F93" i="6"/>
  <c r="I92" i="6"/>
  <c r="G92" i="6"/>
  <c r="F92" i="6"/>
  <c r="I91" i="6"/>
  <c r="G91" i="6"/>
  <c r="F91" i="6"/>
  <c r="I90" i="6"/>
  <c r="G90" i="6"/>
  <c r="F90" i="6"/>
  <c r="I89" i="6"/>
  <c r="G89" i="6"/>
  <c r="F89" i="6"/>
  <c r="I85" i="6"/>
  <c r="R85" i="6" s="1"/>
  <c r="G85" i="6"/>
  <c r="F85" i="6"/>
  <c r="I84" i="6"/>
  <c r="R84" i="6" s="1"/>
  <c r="G84" i="6"/>
  <c r="F84" i="6"/>
  <c r="I83" i="6"/>
  <c r="R83" i="6" s="1"/>
  <c r="G83" i="6"/>
  <c r="F83" i="6"/>
  <c r="I82" i="6"/>
  <c r="R82" i="6" s="1"/>
  <c r="G82" i="6"/>
  <c r="F82" i="6"/>
  <c r="I81" i="6"/>
  <c r="R81" i="6" s="1"/>
  <c r="G81" i="6"/>
  <c r="F81" i="6"/>
  <c r="I80" i="6"/>
  <c r="R80" i="6" s="1"/>
  <c r="G80" i="6"/>
  <c r="F80" i="6"/>
  <c r="I79" i="6"/>
  <c r="G79" i="6"/>
  <c r="F79" i="6"/>
  <c r="I78" i="6"/>
  <c r="G78" i="6"/>
  <c r="F78" i="6"/>
  <c r="I77" i="6"/>
  <c r="G77" i="6"/>
  <c r="F77" i="6"/>
  <c r="I76" i="6"/>
  <c r="G76" i="6"/>
  <c r="F76" i="6"/>
  <c r="I75" i="6"/>
  <c r="G75" i="6"/>
  <c r="F75" i="6"/>
  <c r="I71" i="6"/>
  <c r="R71" i="6" s="1"/>
  <c r="G71" i="6"/>
  <c r="F71" i="6"/>
  <c r="I70" i="6"/>
  <c r="R70" i="6" s="1"/>
  <c r="G70" i="6"/>
  <c r="F70" i="6"/>
  <c r="I69" i="6"/>
  <c r="R69" i="6" s="1"/>
  <c r="G69" i="6"/>
  <c r="F69" i="6"/>
  <c r="I68" i="6"/>
  <c r="R68" i="6" s="1"/>
  <c r="G68" i="6"/>
  <c r="F68" i="6"/>
  <c r="I67" i="6"/>
  <c r="R67" i="6" s="1"/>
  <c r="G67" i="6"/>
  <c r="F67" i="6"/>
  <c r="I66" i="6"/>
  <c r="G66" i="6"/>
  <c r="F66" i="6"/>
  <c r="I65" i="6"/>
  <c r="G65" i="6"/>
  <c r="F65" i="6"/>
  <c r="I64" i="6"/>
  <c r="G64" i="6"/>
  <c r="F64" i="6"/>
  <c r="I63" i="6"/>
  <c r="G63" i="6"/>
  <c r="F63" i="6"/>
  <c r="I62" i="6"/>
  <c r="G62" i="6"/>
  <c r="F62" i="6"/>
  <c r="I61" i="6"/>
  <c r="G61" i="6"/>
  <c r="F61" i="6"/>
  <c r="H61" i="6" s="1"/>
  <c r="Q61" i="6" s="1"/>
  <c r="S61" i="6" s="1"/>
  <c r="I57" i="6"/>
  <c r="R57" i="6" s="1"/>
  <c r="G57" i="6"/>
  <c r="F57" i="6"/>
  <c r="I56" i="6"/>
  <c r="R56" i="6" s="1"/>
  <c r="G56" i="6"/>
  <c r="F56" i="6"/>
  <c r="I55" i="6"/>
  <c r="R55" i="6" s="1"/>
  <c r="G55" i="6"/>
  <c r="F55" i="6"/>
  <c r="I54" i="6"/>
  <c r="R54" i="6" s="1"/>
  <c r="G54" i="6"/>
  <c r="F54" i="6"/>
  <c r="H54" i="6" s="1"/>
  <c r="Q54" i="6" s="1"/>
  <c r="S54" i="6" s="1"/>
  <c r="I53" i="6"/>
  <c r="R53" i="6" s="1"/>
  <c r="G53" i="6"/>
  <c r="F53" i="6"/>
  <c r="I52" i="6"/>
  <c r="G52" i="6"/>
  <c r="F52" i="6"/>
  <c r="H52" i="6" s="1"/>
  <c r="Q52" i="6" s="1"/>
  <c r="S52" i="6" s="1"/>
  <c r="I51" i="6"/>
  <c r="G51" i="6"/>
  <c r="F51" i="6"/>
  <c r="I50" i="6"/>
  <c r="G50" i="6"/>
  <c r="F50" i="6"/>
  <c r="H50" i="6" s="1"/>
  <c r="Q50" i="6" s="1"/>
  <c r="S50" i="6" s="1"/>
  <c r="I49" i="6"/>
  <c r="G49" i="6"/>
  <c r="F49" i="6"/>
  <c r="I48" i="6"/>
  <c r="G48" i="6"/>
  <c r="F48" i="6"/>
  <c r="I47" i="6"/>
  <c r="G47" i="6"/>
  <c r="F47" i="6"/>
  <c r="I43" i="6"/>
  <c r="R43" i="6" s="1"/>
  <c r="G43" i="6"/>
  <c r="F43" i="6"/>
  <c r="H43" i="6" s="1"/>
  <c r="Q43" i="6" s="1"/>
  <c r="S43" i="6" s="1"/>
  <c r="I42" i="6"/>
  <c r="R42" i="6" s="1"/>
  <c r="G42" i="6"/>
  <c r="F42" i="6"/>
  <c r="I41" i="6"/>
  <c r="R41" i="6" s="1"/>
  <c r="G41" i="6"/>
  <c r="F41" i="6"/>
  <c r="I40" i="6"/>
  <c r="R40" i="6" s="1"/>
  <c r="G40" i="6"/>
  <c r="F40" i="6"/>
  <c r="I39" i="6"/>
  <c r="R39" i="6" s="1"/>
  <c r="G39" i="6"/>
  <c r="F39" i="6"/>
  <c r="H39" i="6" s="1"/>
  <c r="Q39" i="6" s="1"/>
  <c r="S39" i="6" s="1"/>
  <c r="I38" i="6"/>
  <c r="G38" i="6"/>
  <c r="F38" i="6"/>
  <c r="I37" i="6"/>
  <c r="G37" i="6"/>
  <c r="F37" i="6"/>
  <c r="I36" i="6"/>
  <c r="G36" i="6"/>
  <c r="F36" i="6"/>
  <c r="I35" i="6"/>
  <c r="G35" i="6"/>
  <c r="F35" i="6"/>
  <c r="H35" i="6" s="1"/>
  <c r="Q35" i="6" s="1"/>
  <c r="S35" i="6" s="1"/>
  <c r="I34" i="6"/>
  <c r="G34" i="6"/>
  <c r="F34" i="6"/>
  <c r="I33" i="6"/>
  <c r="G33" i="6"/>
  <c r="F33" i="6"/>
  <c r="I29" i="6"/>
  <c r="R29" i="6" s="1"/>
  <c r="G29" i="6"/>
  <c r="I28" i="6"/>
  <c r="R28" i="6" s="1"/>
  <c r="G28" i="6"/>
  <c r="I27" i="6"/>
  <c r="R27" i="6" s="1"/>
  <c r="G27" i="6"/>
  <c r="H27" i="6" s="1"/>
  <c r="Q27" i="6" s="1"/>
  <c r="S27" i="6" s="1"/>
  <c r="I26" i="6"/>
  <c r="R26" i="6" s="1"/>
  <c r="G26" i="6"/>
  <c r="I25" i="6"/>
  <c r="G25" i="6"/>
  <c r="F25" i="6"/>
  <c r="I24" i="6"/>
  <c r="G24" i="6"/>
  <c r="F24" i="6"/>
  <c r="I23" i="6"/>
  <c r="G23" i="6"/>
  <c r="F23" i="6"/>
  <c r="I22" i="6"/>
  <c r="G22" i="6"/>
  <c r="F22" i="6"/>
  <c r="I21" i="6"/>
  <c r="G21" i="6"/>
  <c r="F21" i="6"/>
  <c r="I20" i="6"/>
  <c r="G20" i="6"/>
  <c r="F20" i="6"/>
  <c r="I19" i="6"/>
  <c r="G19" i="6"/>
  <c r="F19" i="6"/>
  <c r="I15" i="6"/>
  <c r="R15" i="6" s="1"/>
  <c r="G15" i="6"/>
  <c r="F15" i="6"/>
  <c r="I14" i="6"/>
  <c r="R14" i="6" s="1"/>
  <c r="G14" i="6"/>
  <c r="F14" i="6"/>
  <c r="I13" i="6"/>
  <c r="R13" i="6" s="1"/>
  <c r="G13" i="6"/>
  <c r="F13" i="6"/>
  <c r="I12" i="6"/>
  <c r="G12" i="6"/>
  <c r="F12" i="6"/>
  <c r="I11" i="6"/>
  <c r="G11" i="6"/>
  <c r="F11" i="6"/>
  <c r="I10" i="6"/>
  <c r="G10" i="6"/>
  <c r="F10" i="6"/>
  <c r="I9" i="6"/>
  <c r="G9" i="6"/>
  <c r="F9" i="6"/>
  <c r="I8" i="6"/>
  <c r="G8" i="6"/>
  <c r="F8" i="6"/>
  <c r="I7" i="6"/>
  <c r="G7" i="6"/>
  <c r="F7" i="6"/>
  <c r="I6" i="6"/>
  <c r="G6" i="6"/>
  <c r="F6" i="6"/>
  <c r="I5" i="6"/>
  <c r="G5" i="6"/>
  <c r="F5" i="6"/>
  <c r="I169" i="5"/>
  <c r="R169" i="5" s="1"/>
  <c r="G169" i="5"/>
  <c r="F169" i="5"/>
  <c r="I168" i="5"/>
  <c r="R168" i="5" s="1"/>
  <c r="G168" i="5"/>
  <c r="F168" i="5"/>
  <c r="I167" i="5"/>
  <c r="R167" i="5" s="1"/>
  <c r="G167" i="5"/>
  <c r="F167" i="5"/>
  <c r="I166" i="5"/>
  <c r="R166" i="5" s="1"/>
  <c r="G166" i="5"/>
  <c r="F166" i="5"/>
  <c r="I165" i="5"/>
  <c r="R165" i="5" s="1"/>
  <c r="G165" i="5"/>
  <c r="F165" i="5"/>
  <c r="I164" i="5"/>
  <c r="R164" i="5" s="1"/>
  <c r="G164" i="5"/>
  <c r="F164" i="5"/>
  <c r="I163" i="5"/>
  <c r="R163" i="5" s="1"/>
  <c r="G163" i="5"/>
  <c r="F163" i="5"/>
  <c r="I162" i="5"/>
  <c r="G162" i="5"/>
  <c r="F162" i="5"/>
  <c r="I161" i="5"/>
  <c r="G161" i="5"/>
  <c r="F161" i="5"/>
  <c r="I160" i="5"/>
  <c r="G160" i="5"/>
  <c r="F160" i="5"/>
  <c r="I159" i="5"/>
  <c r="G159" i="5"/>
  <c r="F159" i="5"/>
  <c r="I155" i="5"/>
  <c r="R155" i="5" s="1"/>
  <c r="G155" i="5"/>
  <c r="F155" i="5"/>
  <c r="I154" i="5"/>
  <c r="R154" i="5" s="1"/>
  <c r="G154" i="5"/>
  <c r="F154" i="5"/>
  <c r="I153" i="5"/>
  <c r="R153" i="5" s="1"/>
  <c r="G153" i="5"/>
  <c r="F153" i="5"/>
  <c r="I152" i="5"/>
  <c r="R152" i="5" s="1"/>
  <c r="G152" i="5"/>
  <c r="F152" i="5"/>
  <c r="I151" i="5"/>
  <c r="R151" i="5" s="1"/>
  <c r="G151" i="5"/>
  <c r="F151" i="5"/>
  <c r="I150" i="5"/>
  <c r="R150" i="5" s="1"/>
  <c r="G150" i="5"/>
  <c r="F150" i="5"/>
  <c r="I149" i="5"/>
  <c r="R149" i="5" s="1"/>
  <c r="G149" i="5"/>
  <c r="F149" i="5"/>
  <c r="I148" i="5"/>
  <c r="G148" i="5"/>
  <c r="F148" i="5"/>
  <c r="I147" i="5"/>
  <c r="G147" i="5"/>
  <c r="F147" i="5"/>
  <c r="I146" i="5"/>
  <c r="G146" i="5"/>
  <c r="F146" i="5"/>
  <c r="I145" i="5"/>
  <c r="G145" i="5"/>
  <c r="F145" i="5"/>
  <c r="I141" i="5"/>
  <c r="R141" i="5" s="1"/>
  <c r="G141" i="5"/>
  <c r="F141" i="5"/>
  <c r="I140" i="5"/>
  <c r="R140" i="5" s="1"/>
  <c r="G140" i="5"/>
  <c r="F140" i="5"/>
  <c r="I139" i="5"/>
  <c r="R139" i="5" s="1"/>
  <c r="G139" i="5"/>
  <c r="F139" i="5"/>
  <c r="I138" i="5"/>
  <c r="R138" i="5" s="1"/>
  <c r="G138" i="5"/>
  <c r="F138" i="5"/>
  <c r="I137" i="5"/>
  <c r="R137" i="5" s="1"/>
  <c r="G137" i="5"/>
  <c r="F137" i="5"/>
  <c r="I136" i="5"/>
  <c r="R136" i="5" s="1"/>
  <c r="G136" i="5"/>
  <c r="F136" i="5"/>
  <c r="I135" i="5"/>
  <c r="G135" i="5"/>
  <c r="F135" i="5"/>
  <c r="I134" i="5"/>
  <c r="G134" i="5"/>
  <c r="F134" i="5"/>
  <c r="I133" i="5"/>
  <c r="G133" i="5"/>
  <c r="F133" i="5"/>
  <c r="I132" i="5"/>
  <c r="G132" i="5"/>
  <c r="F132" i="5"/>
  <c r="I131" i="5"/>
  <c r="G131" i="5"/>
  <c r="F131" i="5"/>
  <c r="I127" i="5"/>
  <c r="R127" i="5" s="1"/>
  <c r="G127" i="5"/>
  <c r="F127" i="5"/>
  <c r="I126" i="5"/>
  <c r="R126" i="5" s="1"/>
  <c r="G126" i="5"/>
  <c r="F126" i="5"/>
  <c r="I125" i="5"/>
  <c r="R125" i="5" s="1"/>
  <c r="G125" i="5"/>
  <c r="F125" i="5"/>
  <c r="I124" i="5"/>
  <c r="R124" i="5" s="1"/>
  <c r="G124" i="5"/>
  <c r="F124" i="5"/>
  <c r="I123" i="5"/>
  <c r="R123" i="5" s="1"/>
  <c r="G123" i="5"/>
  <c r="F123" i="5"/>
  <c r="I122" i="5"/>
  <c r="R122" i="5" s="1"/>
  <c r="G122" i="5"/>
  <c r="F122" i="5"/>
  <c r="I121" i="5"/>
  <c r="G121" i="5"/>
  <c r="F121" i="5"/>
  <c r="I120" i="5"/>
  <c r="G120" i="5"/>
  <c r="F120" i="5"/>
  <c r="I119" i="5"/>
  <c r="G119" i="5"/>
  <c r="F119" i="5"/>
  <c r="I118" i="5"/>
  <c r="G118" i="5"/>
  <c r="F118" i="5"/>
  <c r="I117" i="5"/>
  <c r="G117" i="5"/>
  <c r="F117" i="5"/>
  <c r="I113" i="5"/>
  <c r="R113" i="5" s="1"/>
  <c r="G113" i="5"/>
  <c r="F113" i="5"/>
  <c r="I112" i="5"/>
  <c r="R112" i="5" s="1"/>
  <c r="G112" i="5"/>
  <c r="F112" i="5"/>
  <c r="I111" i="5"/>
  <c r="R111" i="5" s="1"/>
  <c r="G111" i="5"/>
  <c r="F111" i="5"/>
  <c r="I110" i="5"/>
  <c r="R110" i="5" s="1"/>
  <c r="G110" i="5"/>
  <c r="F110" i="5"/>
  <c r="I109" i="5"/>
  <c r="R109" i="5" s="1"/>
  <c r="G109" i="5"/>
  <c r="F109" i="5"/>
  <c r="I108" i="5"/>
  <c r="G108" i="5"/>
  <c r="F108" i="5"/>
  <c r="I107" i="5"/>
  <c r="G107" i="5"/>
  <c r="F107" i="5"/>
  <c r="I106" i="5"/>
  <c r="G106" i="5"/>
  <c r="F106" i="5"/>
  <c r="I105" i="5"/>
  <c r="G105" i="5"/>
  <c r="F105" i="5"/>
  <c r="I104" i="5"/>
  <c r="G104" i="5"/>
  <c r="F104" i="5"/>
  <c r="I103" i="5"/>
  <c r="G103" i="5"/>
  <c r="F103" i="5"/>
  <c r="I99" i="5"/>
  <c r="R99" i="5" s="1"/>
  <c r="G99" i="5"/>
  <c r="F99" i="5"/>
  <c r="I98" i="5"/>
  <c r="R98" i="5" s="1"/>
  <c r="G98" i="5"/>
  <c r="F98" i="5"/>
  <c r="I97" i="5"/>
  <c r="R97" i="5" s="1"/>
  <c r="G97" i="5"/>
  <c r="F97" i="5"/>
  <c r="I96" i="5"/>
  <c r="R96" i="5" s="1"/>
  <c r="G96" i="5"/>
  <c r="F96" i="5"/>
  <c r="I95" i="5"/>
  <c r="R95" i="5" s="1"/>
  <c r="G95" i="5"/>
  <c r="F95" i="5"/>
  <c r="I94" i="5"/>
  <c r="G94" i="5"/>
  <c r="F94" i="5"/>
  <c r="I93" i="5"/>
  <c r="G93" i="5"/>
  <c r="F93" i="5"/>
  <c r="I92" i="5"/>
  <c r="G92" i="5"/>
  <c r="F92" i="5"/>
  <c r="I91" i="5"/>
  <c r="G91" i="5"/>
  <c r="F91" i="5"/>
  <c r="I90" i="5"/>
  <c r="G90" i="5"/>
  <c r="F90" i="5"/>
  <c r="I89" i="5"/>
  <c r="G89" i="5"/>
  <c r="F89" i="5"/>
  <c r="I85" i="5"/>
  <c r="R85" i="5" s="1"/>
  <c r="G85" i="5"/>
  <c r="F85" i="5"/>
  <c r="I84" i="5"/>
  <c r="R84" i="5" s="1"/>
  <c r="G84" i="5"/>
  <c r="F84" i="5"/>
  <c r="I83" i="5"/>
  <c r="R83" i="5" s="1"/>
  <c r="G83" i="5"/>
  <c r="F83" i="5"/>
  <c r="I82" i="5"/>
  <c r="R82" i="5" s="1"/>
  <c r="G82" i="5"/>
  <c r="F82" i="5"/>
  <c r="I81" i="5"/>
  <c r="R81" i="5" s="1"/>
  <c r="G81" i="5"/>
  <c r="F81" i="5"/>
  <c r="I80" i="5"/>
  <c r="G80" i="5"/>
  <c r="F80" i="5"/>
  <c r="I79" i="5"/>
  <c r="G79" i="5"/>
  <c r="F79" i="5"/>
  <c r="I78" i="5"/>
  <c r="G78" i="5"/>
  <c r="F78" i="5"/>
  <c r="I77" i="5"/>
  <c r="G77" i="5"/>
  <c r="F77" i="5"/>
  <c r="I76" i="5"/>
  <c r="G76" i="5"/>
  <c r="F76" i="5"/>
  <c r="I75" i="5"/>
  <c r="G75" i="5"/>
  <c r="F75" i="5"/>
  <c r="I71" i="5"/>
  <c r="R71" i="5" s="1"/>
  <c r="G71" i="5"/>
  <c r="F71" i="5"/>
  <c r="I70" i="5"/>
  <c r="R70" i="5" s="1"/>
  <c r="G70" i="5"/>
  <c r="F70" i="5"/>
  <c r="I69" i="5"/>
  <c r="R69" i="5" s="1"/>
  <c r="G69" i="5"/>
  <c r="F69" i="5"/>
  <c r="I68" i="5"/>
  <c r="R68" i="5" s="1"/>
  <c r="G68" i="5"/>
  <c r="F68" i="5"/>
  <c r="H68" i="5" s="1"/>
  <c r="Q68" i="5" s="1"/>
  <c r="S68" i="5" s="1"/>
  <c r="I67" i="5"/>
  <c r="R67" i="5" s="1"/>
  <c r="G67" i="5"/>
  <c r="F67" i="5"/>
  <c r="I66" i="5"/>
  <c r="G66" i="5"/>
  <c r="F66" i="5"/>
  <c r="I65" i="5"/>
  <c r="G65" i="5"/>
  <c r="F65" i="5"/>
  <c r="I64" i="5"/>
  <c r="G64" i="5"/>
  <c r="F64" i="5"/>
  <c r="I63" i="5"/>
  <c r="G63" i="5"/>
  <c r="F63" i="5"/>
  <c r="I62" i="5"/>
  <c r="G62" i="5"/>
  <c r="F62" i="5"/>
  <c r="I61" i="5"/>
  <c r="G61" i="5"/>
  <c r="F61" i="5"/>
  <c r="I57" i="5"/>
  <c r="R57" i="5" s="1"/>
  <c r="G57" i="5"/>
  <c r="F57" i="5"/>
  <c r="I56" i="5"/>
  <c r="R56" i="5" s="1"/>
  <c r="G56" i="5"/>
  <c r="F56" i="5"/>
  <c r="I55" i="5"/>
  <c r="R55" i="5" s="1"/>
  <c r="G55" i="5"/>
  <c r="F55" i="5"/>
  <c r="I54" i="5"/>
  <c r="R54" i="5" s="1"/>
  <c r="G54" i="5"/>
  <c r="F54" i="5"/>
  <c r="I53" i="5"/>
  <c r="G53" i="5"/>
  <c r="F53" i="5"/>
  <c r="I52" i="5"/>
  <c r="G52" i="5"/>
  <c r="F52" i="5"/>
  <c r="H52" i="5" s="1"/>
  <c r="Q52" i="5" s="1"/>
  <c r="S52" i="5" s="1"/>
  <c r="I51" i="5"/>
  <c r="G51" i="5"/>
  <c r="F51" i="5"/>
  <c r="I50" i="5"/>
  <c r="G50" i="5"/>
  <c r="F50" i="5"/>
  <c r="I49" i="5"/>
  <c r="G49" i="5"/>
  <c r="F49" i="5"/>
  <c r="I48" i="5"/>
  <c r="G48" i="5"/>
  <c r="F48" i="5"/>
  <c r="I47" i="5"/>
  <c r="G47" i="5"/>
  <c r="F47" i="5"/>
  <c r="I43" i="5"/>
  <c r="R43" i="5" s="1"/>
  <c r="G43" i="5"/>
  <c r="F43" i="5"/>
  <c r="I42" i="5"/>
  <c r="R42" i="5" s="1"/>
  <c r="G42" i="5"/>
  <c r="F42" i="5"/>
  <c r="I41" i="5"/>
  <c r="R41" i="5" s="1"/>
  <c r="G41" i="5"/>
  <c r="F41" i="5"/>
  <c r="I40" i="5"/>
  <c r="G40" i="5"/>
  <c r="F40" i="5"/>
  <c r="H40" i="5" s="1"/>
  <c r="Q40" i="5" s="1"/>
  <c r="S40" i="5" s="1"/>
  <c r="I39" i="5"/>
  <c r="G39" i="5"/>
  <c r="F39" i="5"/>
  <c r="H39" i="5" s="1"/>
  <c r="Q39" i="5" s="1"/>
  <c r="S39" i="5" s="1"/>
  <c r="I38" i="5"/>
  <c r="G38" i="5"/>
  <c r="F38" i="5"/>
  <c r="I37" i="5"/>
  <c r="G37" i="5"/>
  <c r="F37" i="5"/>
  <c r="I36" i="5"/>
  <c r="G36" i="5"/>
  <c r="F36" i="5"/>
  <c r="I35" i="5"/>
  <c r="G35" i="5"/>
  <c r="F35" i="5"/>
  <c r="I34" i="5"/>
  <c r="G34" i="5"/>
  <c r="F34" i="5"/>
  <c r="I33" i="5"/>
  <c r="G33" i="5"/>
  <c r="F33" i="5"/>
  <c r="I29" i="5"/>
  <c r="R29" i="5" s="1"/>
  <c r="G29" i="5"/>
  <c r="F29" i="5"/>
  <c r="I28" i="5"/>
  <c r="R28" i="5" s="1"/>
  <c r="G28" i="5"/>
  <c r="F28" i="5"/>
  <c r="I27" i="5"/>
  <c r="R27" i="5" s="1"/>
  <c r="G27" i="5"/>
  <c r="F27" i="5"/>
  <c r="H27" i="5" s="1"/>
  <c r="Q27" i="5" s="1"/>
  <c r="S27" i="5" s="1"/>
  <c r="I26" i="5"/>
  <c r="G26" i="5"/>
  <c r="F26" i="5"/>
  <c r="I25" i="5"/>
  <c r="G25" i="5"/>
  <c r="F25" i="5"/>
  <c r="I24" i="5"/>
  <c r="G24" i="5"/>
  <c r="F24" i="5"/>
  <c r="I23" i="5"/>
  <c r="G23" i="5"/>
  <c r="F23" i="5"/>
  <c r="I22" i="5"/>
  <c r="G22" i="5"/>
  <c r="F22" i="5"/>
  <c r="I21" i="5"/>
  <c r="G21" i="5"/>
  <c r="F21" i="5"/>
  <c r="I20" i="5"/>
  <c r="G20" i="5"/>
  <c r="F20" i="5"/>
  <c r="I19" i="5"/>
  <c r="G19" i="5"/>
  <c r="F19" i="5"/>
  <c r="I15" i="5"/>
  <c r="R15" i="5" s="1"/>
  <c r="G15" i="5"/>
  <c r="F15" i="5"/>
  <c r="I14" i="5"/>
  <c r="R14" i="5" s="1"/>
  <c r="G14" i="5"/>
  <c r="F14" i="5"/>
  <c r="I13" i="5"/>
  <c r="G13" i="5"/>
  <c r="F13" i="5"/>
  <c r="I12" i="5"/>
  <c r="G12" i="5"/>
  <c r="F12" i="5"/>
  <c r="I11" i="5"/>
  <c r="G11" i="5"/>
  <c r="F11" i="5"/>
  <c r="I10" i="5"/>
  <c r="G10" i="5"/>
  <c r="F10" i="5"/>
  <c r="I9" i="5"/>
  <c r="G9" i="5"/>
  <c r="F9" i="5"/>
  <c r="I8" i="5"/>
  <c r="G8" i="5"/>
  <c r="F8" i="5"/>
  <c r="I7" i="5"/>
  <c r="G7" i="5"/>
  <c r="F7" i="5"/>
  <c r="I6" i="5"/>
  <c r="G6" i="5"/>
  <c r="F6" i="5"/>
  <c r="I5" i="5"/>
  <c r="G5" i="5"/>
  <c r="F5" i="5"/>
  <c r="I169" i="3"/>
  <c r="R169" i="3" s="1"/>
  <c r="G169" i="3"/>
  <c r="F169" i="3"/>
  <c r="I168" i="3"/>
  <c r="R168" i="3" s="1"/>
  <c r="G168" i="3"/>
  <c r="F168" i="3"/>
  <c r="I167" i="3"/>
  <c r="R167" i="3" s="1"/>
  <c r="G167" i="3"/>
  <c r="F167" i="3"/>
  <c r="I166" i="3"/>
  <c r="R166" i="3" s="1"/>
  <c r="G166" i="3"/>
  <c r="F166" i="3"/>
  <c r="I165" i="3"/>
  <c r="R165" i="3" s="1"/>
  <c r="G165" i="3"/>
  <c r="F165" i="3"/>
  <c r="I164" i="3"/>
  <c r="R164" i="3" s="1"/>
  <c r="G164" i="3"/>
  <c r="F164" i="3"/>
  <c r="I163" i="3"/>
  <c r="G163" i="3"/>
  <c r="F163" i="3"/>
  <c r="I162" i="3"/>
  <c r="G162" i="3"/>
  <c r="F162" i="3"/>
  <c r="I161" i="3"/>
  <c r="G161" i="3"/>
  <c r="F161" i="3"/>
  <c r="I160" i="3"/>
  <c r="G160" i="3"/>
  <c r="F160" i="3"/>
  <c r="I159" i="3"/>
  <c r="G159" i="3"/>
  <c r="F159" i="3"/>
  <c r="I155" i="3"/>
  <c r="R155" i="3" s="1"/>
  <c r="G155" i="3"/>
  <c r="F155" i="3"/>
  <c r="I154" i="3"/>
  <c r="R154" i="3" s="1"/>
  <c r="G154" i="3"/>
  <c r="F154" i="3"/>
  <c r="I153" i="3"/>
  <c r="R153" i="3" s="1"/>
  <c r="G153" i="3"/>
  <c r="F153" i="3"/>
  <c r="I152" i="3"/>
  <c r="R152" i="3" s="1"/>
  <c r="G152" i="3"/>
  <c r="F152" i="3"/>
  <c r="I151" i="3"/>
  <c r="R151" i="3" s="1"/>
  <c r="G151" i="3"/>
  <c r="F151" i="3"/>
  <c r="I150" i="3"/>
  <c r="R150" i="3" s="1"/>
  <c r="G150" i="3"/>
  <c r="F150" i="3"/>
  <c r="I149" i="3"/>
  <c r="G149" i="3"/>
  <c r="F149" i="3"/>
  <c r="I148" i="3"/>
  <c r="G148" i="3"/>
  <c r="F148" i="3"/>
  <c r="I147" i="3"/>
  <c r="G147" i="3"/>
  <c r="F147" i="3"/>
  <c r="I146" i="3"/>
  <c r="G146" i="3"/>
  <c r="F146" i="3"/>
  <c r="I145" i="3"/>
  <c r="G145" i="3"/>
  <c r="F145" i="3"/>
  <c r="I141" i="3"/>
  <c r="R141" i="3" s="1"/>
  <c r="G141" i="3"/>
  <c r="F141" i="3"/>
  <c r="I140" i="3"/>
  <c r="R140" i="3" s="1"/>
  <c r="G140" i="3"/>
  <c r="F140" i="3"/>
  <c r="I139" i="3"/>
  <c r="R139" i="3" s="1"/>
  <c r="G139" i="3"/>
  <c r="F139" i="3"/>
  <c r="I138" i="3"/>
  <c r="R138" i="3" s="1"/>
  <c r="G138" i="3"/>
  <c r="F138" i="3"/>
  <c r="I137" i="3"/>
  <c r="R137" i="3" s="1"/>
  <c r="G137" i="3"/>
  <c r="F137" i="3"/>
  <c r="I136" i="3"/>
  <c r="G136" i="3"/>
  <c r="F136" i="3"/>
  <c r="I135" i="3"/>
  <c r="G135" i="3"/>
  <c r="F135" i="3"/>
  <c r="I134" i="3"/>
  <c r="G134" i="3"/>
  <c r="F134" i="3"/>
  <c r="I133" i="3"/>
  <c r="G133" i="3"/>
  <c r="F133" i="3"/>
  <c r="I132" i="3"/>
  <c r="G132" i="3"/>
  <c r="F132" i="3"/>
  <c r="I131" i="3"/>
  <c r="G131" i="3"/>
  <c r="F131" i="3"/>
  <c r="I127" i="3"/>
  <c r="R127" i="3" s="1"/>
  <c r="G127" i="3"/>
  <c r="F127" i="3"/>
  <c r="I126" i="3"/>
  <c r="R126" i="3" s="1"/>
  <c r="G126" i="3"/>
  <c r="F126" i="3"/>
  <c r="I125" i="3"/>
  <c r="R125" i="3" s="1"/>
  <c r="G125" i="3"/>
  <c r="F125" i="3"/>
  <c r="I124" i="3"/>
  <c r="R124" i="3" s="1"/>
  <c r="G124" i="3"/>
  <c r="F124" i="3"/>
  <c r="I123" i="3"/>
  <c r="R123" i="3" s="1"/>
  <c r="G123" i="3"/>
  <c r="F123" i="3"/>
  <c r="I122" i="3"/>
  <c r="G122" i="3"/>
  <c r="F122" i="3"/>
  <c r="I121" i="3"/>
  <c r="G121" i="3"/>
  <c r="F121" i="3"/>
  <c r="I120" i="3"/>
  <c r="G120" i="3"/>
  <c r="F120" i="3"/>
  <c r="I119" i="3"/>
  <c r="G119" i="3"/>
  <c r="F119" i="3"/>
  <c r="I118" i="3"/>
  <c r="G118" i="3"/>
  <c r="F118" i="3"/>
  <c r="I117" i="3"/>
  <c r="G117" i="3"/>
  <c r="F117" i="3"/>
  <c r="I113" i="3"/>
  <c r="R113" i="3" s="1"/>
  <c r="G113" i="3"/>
  <c r="F113" i="3"/>
  <c r="I112" i="3"/>
  <c r="R112" i="3" s="1"/>
  <c r="G112" i="3"/>
  <c r="F112" i="3"/>
  <c r="I111" i="3"/>
  <c r="R111" i="3" s="1"/>
  <c r="G111" i="3"/>
  <c r="F111" i="3"/>
  <c r="I110" i="3"/>
  <c r="R110" i="3" s="1"/>
  <c r="G110" i="3"/>
  <c r="F110" i="3"/>
  <c r="I109" i="3"/>
  <c r="R109" i="3" s="1"/>
  <c r="G109" i="3"/>
  <c r="F109" i="3"/>
  <c r="I108" i="3"/>
  <c r="G108" i="3"/>
  <c r="F108" i="3"/>
  <c r="I107" i="3"/>
  <c r="G107" i="3"/>
  <c r="F107" i="3"/>
  <c r="I106" i="3"/>
  <c r="G106" i="3"/>
  <c r="F106" i="3"/>
  <c r="I105" i="3"/>
  <c r="G105" i="3"/>
  <c r="F105" i="3"/>
  <c r="I104" i="3"/>
  <c r="G104" i="3"/>
  <c r="F104" i="3"/>
  <c r="I103" i="3"/>
  <c r="G103" i="3"/>
  <c r="F103" i="3"/>
  <c r="I99" i="3"/>
  <c r="R99" i="3" s="1"/>
  <c r="G99" i="3"/>
  <c r="F99" i="3"/>
  <c r="I98" i="3"/>
  <c r="R98" i="3" s="1"/>
  <c r="G98" i="3"/>
  <c r="F98" i="3"/>
  <c r="I97" i="3"/>
  <c r="R97" i="3" s="1"/>
  <c r="G97" i="3"/>
  <c r="F97" i="3"/>
  <c r="I96" i="3"/>
  <c r="R96" i="3" s="1"/>
  <c r="G96" i="3"/>
  <c r="F96" i="3"/>
  <c r="I95" i="3"/>
  <c r="G95" i="3"/>
  <c r="F95" i="3"/>
  <c r="I94" i="3"/>
  <c r="G94" i="3"/>
  <c r="F94" i="3"/>
  <c r="I93" i="3"/>
  <c r="G93" i="3"/>
  <c r="F93" i="3"/>
  <c r="I92" i="3"/>
  <c r="G92" i="3"/>
  <c r="F92" i="3"/>
  <c r="I91" i="3"/>
  <c r="G91" i="3"/>
  <c r="F91" i="3"/>
  <c r="I90" i="3"/>
  <c r="G90" i="3"/>
  <c r="F90" i="3"/>
  <c r="I89" i="3"/>
  <c r="G89" i="3"/>
  <c r="F89" i="3"/>
  <c r="I85" i="3"/>
  <c r="R85" i="3" s="1"/>
  <c r="G85" i="3"/>
  <c r="F85" i="3"/>
  <c r="I84" i="3"/>
  <c r="R84" i="3" s="1"/>
  <c r="G84" i="3"/>
  <c r="F84" i="3"/>
  <c r="I83" i="3"/>
  <c r="R83" i="3" s="1"/>
  <c r="G83" i="3"/>
  <c r="F83" i="3"/>
  <c r="I82" i="3"/>
  <c r="R82" i="3" s="1"/>
  <c r="G82" i="3"/>
  <c r="F82" i="3"/>
  <c r="I81" i="3"/>
  <c r="G81" i="3"/>
  <c r="F81" i="3"/>
  <c r="I80" i="3"/>
  <c r="G80" i="3"/>
  <c r="F80" i="3"/>
  <c r="I79" i="3"/>
  <c r="G79" i="3"/>
  <c r="F79" i="3"/>
  <c r="I78" i="3"/>
  <c r="G78" i="3"/>
  <c r="F78" i="3"/>
  <c r="I77" i="3"/>
  <c r="G77" i="3"/>
  <c r="F77" i="3"/>
  <c r="I76" i="3"/>
  <c r="G76" i="3"/>
  <c r="F76" i="3"/>
  <c r="I75" i="3"/>
  <c r="G75" i="3"/>
  <c r="F75" i="3"/>
  <c r="I71" i="3"/>
  <c r="R71" i="3" s="1"/>
  <c r="G71" i="3"/>
  <c r="F71" i="3"/>
  <c r="I70" i="3"/>
  <c r="R70" i="3" s="1"/>
  <c r="G70" i="3"/>
  <c r="F70" i="3"/>
  <c r="I69" i="3"/>
  <c r="R69" i="3" s="1"/>
  <c r="G69" i="3"/>
  <c r="F69" i="3"/>
  <c r="I68" i="3"/>
  <c r="G68" i="3"/>
  <c r="F68" i="3"/>
  <c r="I67" i="3"/>
  <c r="G67" i="3"/>
  <c r="F67" i="3"/>
  <c r="I66" i="3"/>
  <c r="G66" i="3"/>
  <c r="F66" i="3"/>
  <c r="I65" i="3"/>
  <c r="G65" i="3"/>
  <c r="F65" i="3"/>
  <c r="I64" i="3"/>
  <c r="G64" i="3"/>
  <c r="F64" i="3"/>
  <c r="I63" i="3"/>
  <c r="G63" i="3"/>
  <c r="F63" i="3"/>
  <c r="I62" i="3"/>
  <c r="G62" i="3"/>
  <c r="F62" i="3"/>
  <c r="I61" i="3"/>
  <c r="G61" i="3"/>
  <c r="F61" i="3"/>
  <c r="I57" i="3"/>
  <c r="R57" i="3" s="1"/>
  <c r="G57" i="3"/>
  <c r="F57" i="3"/>
  <c r="I56" i="3"/>
  <c r="R56" i="3" s="1"/>
  <c r="G56" i="3"/>
  <c r="F56" i="3"/>
  <c r="I55" i="3"/>
  <c r="G55" i="3"/>
  <c r="F55" i="3"/>
  <c r="I54" i="3"/>
  <c r="G54" i="3"/>
  <c r="F54" i="3"/>
  <c r="I53" i="3"/>
  <c r="G53" i="3"/>
  <c r="F53" i="3"/>
  <c r="I52" i="3"/>
  <c r="G52" i="3"/>
  <c r="F52" i="3"/>
  <c r="I51" i="3"/>
  <c r="G51" i="3"/>
  <c r="F51" i="3"/>
  <c r="I50" i="3"/>
  <c r="G50" i="3"/>
  <c r="F50" i="3"/>
  <c r="I49" i="3"/>
  <c r="G49" i="3"/>
  <c r="F49" i="3"/>
  <c r="I48" i="3"/>
  <c r="G48" i="3"/>
  <c r="F48" i="3"/>
  <c r="I47" i="3"/>
  <c r="G47" i="3"/>
  <c r="F47" i="3"/>
  <c r="I43" i="3"/>
  <c r="R43" i="3" s="1"/>
  <c r="G43" i="3"/>
  <c r="F43" i="3"/>
  <c r="I42" i="3"/>
  <c r="R42" i="3" s="1"/>
  <c r="G42" i="3"/>
  <c r="F42" i="3"/>
  <c r="I41" i="3"/>
  <c r="G41" i="3"/>
  <c r="F41" i="3"/>
  <c r="I40" i="3"/>
  <c r="G40" i="3"/>
  <c r="F40" i="3"/>
  <c r="I39" i="3"/>
  <c r="G39" i="3"/>
  <c r="F39" i="3"/>
  <c r="I38" i="3"/>
  <c r="G38" i="3"/>
  <c r="F38" i="3"/>
  <c r="I37" i="3"/>
  <c r="G37" i="3"/>
  <c r="F37" i="3"/>
  <c r="I36" i="3"/>
  <c r="G36" i="3"/>
  <c r="F36" i="3"/>
  <c r="I35" i="3"/>
  <c r="G35" i="3"/>
  <c r="F35" i="3"/>
  <c r="I34" i="3"/>
  <c r="G34" i="3"/>
  <c r="F34" i="3"/>
  <c r="I33" i="3"/>
  <c r="G33" i="3"/>
  <c r="F33" i="3"/>
  <c r="I29" i="3"/>
  <c r="R29" i="3" s="1"/>
  <c r="G29" i="3"/>
  <c r="F29" i="3"/>
  <c r="I28" i="3"/>
  <c r="R28" i="3" s="1"/>
  <c r="G28" i="3"/>
  <c r="F28" i="3"/>
  <c r="I27" i="3"/>
  <c r="G27" i="3"/>
  <c r="F27" i="3"/>
  <c r="I26" i="3"/>
  <c r="G26" i="3"/>
  <c r="F26" i="3"/>
  <c r="I25" i="3"/>
  <c r="G25" i="3"/>
  <c r="F25" i="3"/>
  <c r="I24" i="3"/>
  <c r="G24" i="3"/>
  <c r="F24" i="3"/>
  <c r="I23" i="3"/>
  <c r="G23" i="3"/>
  <c r="F23" i="3"/>
  <c r="I22" i="3"/>
  <c r="G22" i="3"/>
  <c r="F22" i="3"/>
  <c r="I21" i="3"/>
  <c r="G21" i="3"/>
  <c r="F21" i="3"/>
  <c r="I20" i="3"/>
  <c r="G20" i="3"/>
  <c r="F20" i="3"/>
  <c r="I19" i="3"/>
  <c r="G19" i="3"/>
  <c r="F19" i="3"/>
  <c r="I15" i="3"/>
  <c r="R15" i="3" s="1"/>
  <c r="G15" i="3"/>
  <c r="F15" i="3"/>
  <c r="I14" i="3"/>
  <c r="R14" i="3" s="1"/>
  <c r="G14" i="3"/>
  <c r="F14" i="3"/>
  <c r="I13" i="3"/>
  <c r="G13" i="3"/>
  <c r="F13" i="3"/>
  <c r="I12" i="3"/>
  <c r="G12" i="3"/>
  <c r="F12" i="3"/>
  <c r="I11" i="3"/>
  <c r="G11" i="3"/>
  <c r="F11" i="3"/>
  <c r="I10" i="3"/>
  <c r="G10" i="3"/>
  <c r="F10" i="3"/>
  <c r="I9" i="3"/>
  <c r="G9" i="3"/>
  <c r="F9" i="3"/>
  <c r="I8" i="3"/>
  <c r="G8" i="3"/>
  <c r="F8" i="3"/>
  <c r="I7" i="3"/>
  <c r="G7" i="3"/>
  <c r="F7" i="3"/>
  <c r="I6" i="3"/>
  <c r="G6" i="3"/>
  <c r="F6" i="3"/>
  <c r="I5" i="3"/>
  <c r="G5" i="3"/>
  <c r="F5" i="3"/>
  <c r="I169" i="2"/>
  <c r="R169" i="2" s="1"/>
  <c r="G169" i="2"/>
  <c r="F169" i="2"/>
  <c r="H169" i="2" s="1"/>
  <c r="Q169" i="2" s="1"/>
  <c r="S169" i="2" s="1"/>
  <c r="I168" i="2"/>
  <c r="R168" i="2" s="1"/>
  <c r="G168" i="2"/>
  <c r="F168" i="2"/>
  <c r="I167" i="2"/>
  <c r="R167" i="2" s="1"/>
  <c r="G167" i="2"/>
  <c r="F167" i="2"/>
  <c r="I166" i="2"/>
  <c r="R166" i="2" s="1"/>
  <c r="G166" i="2"/>
  <c r="F166" i="2"/>
  <c r="I165" i="2"/>
  <c r="R165" i="2" s="1"/>
  <c r="G165" i="2"/>
  <c r="F165" i="2"/>
  <c r="I164" i="2"/>
  <c r="G164" i="2"/>
  <c r="F164" i="2"/>
  <c r="I163" i="2"/>
  <c r="G163" i="2"/>
  <c r="F163" i="2"/>
  <c r="I162" i="2"/>
  <c r="G162" i="2"/>
  <c r="F162" i="2"/>
  <c r="I161" i="2"/>
  <c r="G161" i="2"/>
  <c r="F161" i="2"/>
  <c r="I160" i="2"/>
  <c r="G160" i="2"/>
  <c r="F160" i="2"/>
  <c r="I159" i="2"/>
  <c r="G159" i="2"/>
  <c r="F159" i="2"/>
  <c r="I155" i="2"/>
  <c r="R155" i="2" s="1"/>
  <c r="G155" i="2"/>
  <c r="F155" i="2"/>
  <c r="I154" i="2"/>
  <c r="R154" i="2" s="1"/>
  <c r="G154" i="2"/>
  <c r="F154" i="2"/>
  <c r="I153" i="2"/>
  <c r="R153" i="2" s="1"/>
  <c r="G153" i="2"/>
  <c r="F153" i="2"/>
  <c r="I152" i="2"/>
  <c r="R152" i="2" s="1"/>
  <c r="G152" i="2"/>
  <c r="F152" i="2"/>
  <c r="I151" i="2"/>
  <c r="R151" i="2" s="1"/>
  <c r="G151" i="2"/>
  <c r="F151" i="2"/>
  <c r="I150" i="2"/>
  <c r="G150" i="2"/>
  <c r="F150" i="2"/>
  <c r="I149" i="2"/>
  <c r="G149" i="2"/>
  <c r="F149" i="2"/>
  <c r="I148" i="2"/>
  <c r="G148" i="2"/>
  <c r="F148" i="2"/>
  <c r="I147" i="2"/>
  <c r="G147" i="2"/>
  <c r="F147" i="2"/>
  <c r="I146" i="2"/>
  <c r="G146" i="2"/>
  <c r="F146" i="2"/>
  <c r="I145" i="2"/>
  <c r="G145" i="2"/>
  <c r="F145" i="2"/>
  <c r="I141" i="2"/>
  <c r="R141" i="2" s="1"/>
  <c r="G141" i="2"/>
  <c r="F141" i="2"/>
  <c r="I140" i="2"/>
  <c r="R140" i="2" s="1"/>
  <c r="G140" i="2"/>
  <c r="F140" i="2"/>
  <c r="I139" i="2"/>
  <c r="R139" i="2" s="1"/>
  <c r="G139" i="2"/>
  <c r="F139" i="2"/>
  <c r="I138" i="2"/>
  <c r="R138" i="2" s="1"/>
  <c r="G138" i="2"/>
  <c r="F138" i="2"/>
  <c r="I137" i="2"/>
  <c r="G137" i="2"/>
  <c r="F137" i="2"/>
  <c r="I136" i="2"/>
  <c r="G136" i="2"/>
  <c r="F136" i="2"/>
  <c r="I135" i="2"/>
  <c r="G135" i="2"/>
  <c r="F135" i="2"/>
  <c r="I134" i="2"/>
  <c r="G134" i="2"/>
  <c r="F134" i="2"/>
  <c r="I133" i="2"/>
  <c r="G133" i="2"/>
  <c r="F133" i="2"/>
  <c r="I132" i="2"/>
  <c r="G132" i="2"/>
  <c r="F132" i="2"/>
  <c r="I131" i="2"/>
  <c r="G131" i="2"/>
  <c r="F131" i="2"/>
  <c r="I127" i="2"/>
  <c r="R127" i="2" s="1"/>
  <c r="G127" i="2"/>
  <c r="F127" i="2"/>
  <c r="I126" i="2"/>
  <c r="R126" i="2" s="1"/>
  <c r="G126" i="2"/>
  <c r="F126" i="2"/>
  <c r="I125" i="2"/>
  <c r="R125" i="2" s="1"/>
  <c r="G125" i="2"/>
  <c r="F125" i="2"/>
  <c r="I124" i="2"/>
  <c r="G124" i="2"/>
  <c r="F124" i="2"/>
  <c r="I123" i="2"/>
  <c r="G123" i="2"/>
  <c r="F123" i="2"/>
  <c r="I122" i="2"/>
  <c r="G122" i="2"/>
  <c r="F122" i="2"/>
  <c r="I121" i="2"/>
  <c r="G121" i="2"/>
  <c r="F121" i="2"/>
  <c r="I120" i="2"/>
  <c r="G120" i="2"/>
  <c r="F120" i="2"/>
  <c r="I119" i="2"/>
  <c r="G119" i="2"/>
  <c r="F119" i="2"/>
  <c r="I118" i="2"/>
  <c r="G118" i="2"/>
  <c r="F118" i="2"/>
  <c r="I117" i="2"/>
  <c r="G117" i="2"/>
  <c r="F117" i="2"/>
  <c r="I113" i="2"/>
  <c r="R113" i="2" s="1"/>
  <c r="G113" i="2"/>
  <c r="F113" i="2"/>
  <c r="I112" i="2"/>
  <c r="R112" i="2" s="1"/>
  <c r="G112" i="2"/>
  <c r="F112" i="2"/>
  <c r="I111" i="2"/>
  <c r="R111" i="2" s="1"/>
  <c r="G111" i="2"/>
  <c r="F111" i="2"/>
  <c r="I110" i="2"/>
  <c r="G110" i="2"/>
  <c r="F110" i="2"/>
  <c r="I109" i="2"/>
  <c r="G109" i="2"/>
  <c r="F109" i="2"/>
  <c r="H109" i="2" s="1"/>
  <c r="Q109" i="2" s="1"/>
  <c r="S109" i="2" s="1"/>
  <c r="I108" i="2"/>
  <c r="G108" i="2"/>
  <c r="F108" i="2"/>
  <c r="I107" i="2"/>
  <c r="G107" i="2"/>
  <c r="F107" i="2"/>
  <c r="I106" i="2"/>
  <c r="G106" i="2"/>
  <c r="F106" i="2"/>
  <c r="I105" i="2"/>
  <c r="G105" i="2"/>
  <c r="F105" i="2"/>
  <c r="I104" i="2"/>
  <c r="G104" i="2"/>
  <c r="F104" i="2"/>
  <c r="I103" i="2"/>
  <c r="G103" i="2"/>
  <c r="F103" i="2"/>
  <c r="I99" i="2"/>
  <c r="R99" i="2" s="1"/>
  <c r="G99" i="2"/>
  <c r="F99" i="2"/>
  <c r="I98" i="2"/>
  <c r="R98" i="2" s="1"/>
  <c r="G98" i="2"/>
  <c r="F98" i="2"/>
  <c r="I97" i="2"/>
  <c r="R97" i="2" s="1"/>
  <c r="G97" i="2"/>
  <c r="F97" i="2"/>
  <c r="I96" i="2"/>
  <c r="G96" i="2"/>
  <c r="F96" i="2"/>
  <c r="I95" i="2"/>
  <c r="G95" i="2"/>
  <c r="F95" i="2"/>
  <c r="I94" i="2"/>
  <c r="G94" i="2"/>
  <c r="F94" i="2"/>
  <c r="I93" i="2"/>
  <c r="G93" i="2"/>
  <c r="F93" i="2"/>
  <c r="I92" i="2"/>
  <c r="G92" i="2"/>
  <c r="F92" i="2"/>
  <c r="I91" i="2"/>
  <c r="G91" i="2"/>
  <c r="F91" i="2"/>
  <c r="I90" i="2"/>
  <c r="G90" i="2"/>
  <c r="F90" i="2"/>
  <c r="I89" i="2"/>
  <c r="G89" i="2"/>
  <c r="F89" i="2"/>
  <c r="I85" i="2"/>
  <c r="R85" i="2" s="1"/>
  <c r="G85" i="2"/>
  <c r="F85" i="2"/>
  <c r="I84" i="2"/>
  <c r="R84" i="2" s="1"/>
  <c r="G84" i="2"/>
  <c r="F84" i="2"/>
  <c r="I83" i="2"/>
  <c r="G83" i="2"/>
  <c r="F83" i="2"/>
  <c r="I82" i="2"/>
  <c r="G82" i="2"/>
  <c r="F82" i="2"/>
  <c r="I81" i="2"/>
  <c r="G81" i="2"/>
  <c r="F81" i="2"/>
  <c r="I80" i="2"/>
  <c r="G80" i="2"/>
  <c r="F80" i="2"/>
  <c r="I79" i="2"/>
  <c r="G79" i="2"/>
  <c r="F79" i="2"/>
  <c r="H79" i="2" s="1"/>
  <c r="Q79" i="2" s="1"/>
  <c r="S79" i="2" s="1"/>
  <c r="I78" i="2"/>
  <c r="G78" i="2"/>
  <c r="F78" i="2"/>
  <c r="I77" i="2"/>
  <c r="G77" i="2"/>
  <c r="F77" i="2"/>
  <c r="I76" i="2"/>
  <c r="G76" i="2"/>
  <c r="F76" i="2"/>
  <c r="I75" i="2"/>
  <c r="G75" i="2"/>
  <c r="F75" i="2"/>
  <c r="I71" i="2"/>
  <c r="R71" i="2" s="1"/>
  <c r="G71" i="2"/>
  <c r="F71" i="2"/>
  <c r="I70" i="2"/>
  <c r="R70" i="2" s="1"/>
  <c r="G70" i="2"/>
  <c r="F70" i="2"/>
  <c r="I69" i="2"/>
  <c r="G69" i="2"/>
  <c r="F69" i="2"/>
  <c r="I68" i="2"/>
  <c r="G68" i="2"/>
  <c r="F68" i="2"/>
  <c r="I67" i="2"/>
  <c r="G67" i="2"/>
  <c r="F67" i="2"/>
  <c r="I66" i="2"/>
  <c r="G66" i="2"/>
  <c r="F66" i="2"/>
  <c r="I65" i="2"/>
  <c r="G65" i="2"/>
  <c r="F65" i="2"/>
  <c r="I64" i="2"/>
  <c r="G64" i="2"/>
  <c r="F64" i="2"/>
  <c r="I63" i="2"/>
  <c r="G63" i="2"/>
  <c r="F63" i="2"/>
  <c r="I62" i="2"/>
  <c r="G62" i="2"/>
  <c r="F62" i="2"/>
  <c r="I61" i="2"/>
  <c r="G61" i="2"/>
  <c r="F61" i="2"/>
  <c r="I57" i="2"/>
  <c r="R57" i="2" s="1"/>
  <c r="G57" i="2"/>
  <c r="F57" i="2"/>
  <c r="I56" i="2"/>
  <c r="R56" i="2" s="1"/>
  <c r="G56" i="2"/>
  <c r="F56" i="2"/>
  <c r="I55" i="2"/>
  <c r="G55" i="2"/>
  <c r="F55" i="2"/>
  <c r="I54" i="2"/>
  <c r="G54" i="2"/>
  <c r="F54" i="2"/>
  <c r="I53" i="2"/>
  <c r="G53" i="2"/>
  <c r="F53" i="2"/>
  <c r="I52" i="2"/>
  <c r="G52" i="2"/>
  <c r="F52" i="2"/>
  <c r="I51" i="2"/>
  <c r="G51" i="2"/>
  <c r="F51" i="2"/>
  <c r="I50" i="2"/>
  <c r="G50" i="2"/>
  <c r="F50" i="2"/>
  <c r="I49" i="2"/>
  <c r="G49" i="2"/>
  <c r="F49" i="2"/>
  <c r="H49" i="2" s="1"/>
  <c r="Q49" i="2" s="1"/>
  <c r="S49" i="2" s="1"/>
  <c r="I48" i="2"/>
  <c r="G48" i="2"/>
  <c r="F48" i="2"/>
  <c r="I47" i="2"/>
  <c r="G47" i="2"/>
  <c r="F47" i="2"/>
  <c r="I43" i="2"/>
  <c r="R43" i="2" s="1"/>
  <c r="G43" i="2"/>
  <c r="F43" i="2"/>
  <c r="I42" i="2"/>
  <c r="G42" i="2"/>
  <c r="F42" i="2"/>
  <c r="I41" i="2"/>
  <c r="G41" i="2"/>
  <c r="F41" i="2"/>
  <c r="I40" i="2"/>
  <c r="I39" i="2"/>
  <c r="G39" i="2"/>
  <c r="F39" i="2"/>
  <c r="I38" i="2"/>
  <c r="G38" i="2"/>
  <c r="F38" i="2"/>
  <c r="I37" i="2"/>
  <c r="G37" i="2"/>
  <c r="F37" i="2"/>
  <c r="I36" i="2"/>
  <c r="G36" i="2"/>
  <c r="F36" i="2"/>
  <c r="I35" i="2"/>
  <c r="G35" i="2"/>
  <c r="F35" i="2"/>
  <c r="I34" i="2"/>
  <c r="G34" i="2"/>
  <c r="F34" i="2"/>
  <c r="I33" i="2"/>
  <c r="G33" i="2"/>
  <c r="F33" i="2"/>
  <c r="I29" i="2"/>
  <c r="R29" i="2" s="1"/>
  <c r="G29" i="2"/>
  <c r="F29" i="2"/>
  <c r="I28" i="2"/>
  <c r="G28" i="2"/>
  <c r="F28" i="2"/>
  <c r="I27" i="2"/>
  <c r="G27" i="2"/>
  <c r="F27" i="2"/>
  <c r="I26" i="2"/>
  <c r="G26" i="2"/>
  <c r="F26" i="2"/>
  <c r="I25" i="2"/>
  <c r="G25" i="2"/>
  <c r="F25" i="2"/>
  <c r="I24" i="2"/>
  <c r="G24" i="2"/>
  <c r="F24" i="2"/>
  <c r="I23" i="2"/>
  <c r="G23" i="2"/>
  <c r="F23" i="2"/>
  <c r="I22" i="2"/>
  <c r="G22" i="2"/>
  <c r="F22" i="2"/>
  <c r="I21" i="2"/>
  <c r="G21" i="2"/>
  <c r="F21" i="2"/>
  <c r="I20" i="2"/>
  <c r="G20" i="2"/>
  <c r="F20" i="2"/>
  <c r="I19" i="2"/>
  <c r="G19" i="2"/>
  <c r="F19" i="2"/>
  <c r="I15" i="2"/>
  <c r="R15" i="2" s="1"/>
  <c r="G15" i="2"/>
  <c r="F15" i="2"/>
  <c r="I14" i="2"/>
  <c r="G14" i="2"/>
  <c r="F14" i="2"/>
  <c r="I13" i="2"/>
  <c r="G13" i="2"/>
  <c r="F13" i="2"/>
  <c r="I12" i="2"/>
  <c r="G12" i="2"/>
  <c r="F12" i="2"/>
  <c r="I11" i="2"/>
  <c r="G11" i="2"/>
  <c r="F11" i="2"/>
  <c r="I10" i="2"/>
  <c r="G10" i="2"/>
  <c r="F10" i="2"/>
  <c r="I9" i="2"/>
  <c r="G9" i="2"/>
  <c r="F9" i="2"/>
  <c r="I8" i="2"/>
  <c r="G8" i="2"/>
  <c r="F8" i="2"/>
  <c r="I7" i="2"/>
  <c r="G7" i="2"/>
  <c r="F7" i="2"/>
  <c r="I6" i="2"/>
  <c r="G6" i="2"/>
  <c r="F6" i="2"/>
  <c r="I5" i="2"/>
  <c r="G5" i="2"/>
  <c r="F5" i="2"/>
  <c r="I169" i="1"/>
  <c r="R169" i="1" s="1"/>
  <c r="G169" i="1"/>
  <c r="F169" i="1"/>
  <c r="I168" i="1"/>
  <c r="R168" i="1" s="1"/>
  <c r="G168" i="1"/>
  <c r="F168" i="1"/>
  <c r="I167" i="1"/>
  <c r="G167" i="1"/>
  <c r="F167" i="1"/>
  <c r="I166" i="1"/>
  <c r="G166" i="1"/>
  <c r="F166" i="1"/>
  <c r="I165" i="1"/>
  <c r="G165" i="1"/>
  <c r="F165" i="1"/>
  <c r="I164" i="1"/>
  <c r="G164" i="1"/>
  <c r="F164" i="1"/>
  <c r="I163" i="1"/>
  <c r="G163" i="1"/>
  <c r="F163" i="1"/>
  <c r="I162" i="1"/>
  <c r="G162" i="1"/>
  <c r="F162" i="1"/>
  <c r="I161" i="1"/>
  <c r="G161" i="1"/>
  <c r="F161" i="1"/>
  <c r="I160" i="1"/>
  <c r="G160" i="1"/>
  <c r="F160" i="1"/>
  <c r="I159" i="1"/>
  <c r="G159" i="1"/>
  <c r="F159" i="1"/>
  <c r="I155" i="1"/>
  <c r="R155" i="1" s="1"/>
  <c r="G155" i="1"/>
  <c r="F155" i="1"/>
  <c r="I154" i="1"/>
  <c r="R154" i="1" s="1"/>
  <c r="G154" i="1"/>
  <c r="F154" i="1"/>
  <c r="I153" i="1"/>
  <c r="G153" i="1"/>
  <c r="F153" i="1"/>
  <c r="I152" i="1"/>
  <c r="G152" i="1"/>
  <c r="F152" i="1"/>
  <c r="I151" i="1"/>
  <c r="G151" i="1"/>
  <c r="F151" i="1"/>
  <c r="I150" i="1"/>
  <c r="G150" i="1"/>
  <c r="F150" i="1"/>
  <c r="I149" i="1"/>
  <c r="G149" i="1"/>
  <c r="F149" i="1"/>
  <c r="I148" i="1"/>
  <c r="G148" i="1"/>
  <c r="F148" i="1"/>
  <c r="I147" i="1"/>
  <c r="G147" i="1"/>
  <c r="F147" i="1"/>
  <c r="I146" i="1"/>
  <c r="G146" i="1"/>
  <c r="F146" i="1"/>
  <c r="I145" i="1"/>
  <c r="G145" i="1"/>
  <c r="F145" i="1"/>
  <c r="I141" i="1"/>
  <c r="R141" i="1" s="1"/>
  <c r="G141" i="1"/>
  <c r="F141" i="1"/>
  <c r="I140" i="1"/>
  <c r="G140" i="1"/>
  <c r="F140" i="1"/>
  <c r="I139" i="1"/>
  <c r="G139" i="1"/>
  <c r="F139" i="1"/>
  <c r="I138" i="1"/>
  <c r="G138" i="1"/>
  <c r="F138" i="1"/>
  <c r="I137" i="1"/>
  <c r="G137" i="1"/>
  <c r="F137" i="1"/>
  <c r="H137" i="1" s="1"/>
  <c r="Q137" i="1" s="1"/>
  <c r="S137" i="1" s="1"/>
  <c r="CA20" i="1" s="1"/>
  <c r="I136" i="1"/>
  <c r="G136" i="1"/>
  <c r="F136" i="1"/>
  <c r="I135" i="1"/>
  <c r="G135" i="1"/>
  <c r="F135" i="1"/>
  <c r="I134" i="1"/>
  <c r="G134" i="1"/>
  <c r="F134" i="1"/>
  <c r="I133" i="1"/>
  <c r="G133" i="1"/>
  <c r="F133" i="1"/>
  <c r="I132" i="1"/>
  <c r="G132" i="1"/>
  <c r="F132" i="1"/>
  <c r="I131" i="1"/>
  <c r="G131" i="1"/>
  <c r="F131" i="1"/>
  <c r="I127" i="1"/>
  <c r="R127" i="1" s="1"/>
  <c r="G127" i="1"/>
  <c r="F127" i="1"/>
  <c r="I126" i="1"/>
  <c r="R126" i="1" s="1"/>
  <c r="G126" i="1"/>
  <c r="F126" i="1"/>
  <c r="H126" i="1" s="1"/>
  <c r="Q126" i="1" s="1"/>
  <c r="S126" i="1" s="1"/>
  <c r="I125" i="1"/>
  <c r="G125" i="1"/>
  <c r="F125" i="1"/>
  <c r="I124" i="1"/>
  <c r="G124" i="1"/>
  <c r="F124" i="1"/>
  <c r="I123" i="1"/>
  <c r="G123" i="1"/>
  <c r="F123" i="1"/>
  <c r="I122" i="1"/>
  <c r="G122" i="1"/>
  <c r="F122" i="1"/>
  <c r="I121" i="1"/>
  <c r="G121" i="1"/>
  <c r="F121" i="1"/>
  <c r="I120" i="1"/>
  <c r="G120" i="1"/>
  <c r="F120" i="1"/>
  <c r="I119" i="1"/>
  <c r="G119" i="1"/>
  <c r="F119" i="1"/>
  <c r="I118" i="1"/>
  <c r="G118" i="1"/>
  <c r="F118" i="1"/>
  <c r="I117" i="1"/>
  <c r="G117" i="1"/>
  <c r="F117" i="1"/>
  <c r="I113" i="1"/>
  <c r="R113" i="1" s="1"/>
  <c r="G113" i="1"/>
  <c r="F113" i="1"/>
  <c r="I112" i="1"/>
  <c r="G112" i="1"/>
  <c r="F112" i="1"/>
  <c r="I111" i="1"/>
  <c r="G111" i="1"/>
  <c r="F111" i="1"/>
  <c r="I110" i="1"/>
  <c r="G110" i="1"/>
  <c r="F110" i="1"/>
  <c r="I109" i="1"/>
  <c r="G109" i="1"/>
  <c r="F109" i="1"/>
  <c r="I108" i="1"/>
  <c r="G108" i="1"/>
  <c r="F108" i="1"/>
  <c r="I107" i="1"/>
  <c r="G107" i="1"/>
  <c r="F107" i="1"/>
  <c r="H107" i="1" s="1"/>
  <c r="Q107" i="1" s="1"/>
  <c r="S107" i="1" s="1"/>
  <c r="BO18" i="1" s="1"/>
  <c r="I106" i="1"/>
  <c r="G106" i="1"/>
  <c r="F106" i="1"/>
  <c r="I105" i="1"/>
  <c r="G105" i="1"/>
  <c r="F105" i="1"/>
  <c r="I104" i="1"/>
  <c r="G104" i="1"/>
  <c r="F104" i="1"/>
  <c r="I103" i="1"/>
  <c r="G103" i="1"/>
  <c r="F103" i="1"/>
  <c r="I99" i="1"/>
  <c r="R99" i="1" s="1"/>
  <c r="G99" i="1"/>
  <c r="F99" i="1"/>
  <c r="I98" i="1"/>
  <c r="G98" i="1"/>
  <c r="F98" i="1"/>
  <c r="I97" i="1"/>
  <c r="G97" i="1"/>
  <c r="F97" i="1"/>
  <c r="I96" i="1"/>
  <c r="G96" i="1"/>
  <c r="F96" i="1"/>
  <c r="I95" i="1"/>
  <c r="G95" i="1"/>
  <c r="F95" i="1"/>
  <c r="I94" i="1"/>
  <c r="G94" i="1"/>
  <c r="F94" i="1"/>
  <c r="I93" i="1"/>
  <c r="G93" i="1"/>
  <c r="F93" i="1"/>
  <c r="I92" i="1"/>
  <c r="G92" i="1"/>
  <c r="F92" i="1"/>
  <c r="I91" i="1"/>
  <c r="G91" i="1"/>
  <c r="F91" i="1"/>
  <c r="I90" i="1"/>
  <c r="G90" i="1"/>
  <c r="F90" i="1"/>
  <c r="I89" i="1"/>
  <c r="G89" i="1"/>
  <c r="F89" i="1"/>
  <c r="I85" i="1"/>
  <c r="R85" i="1" s="1"/>
  <c r="G85" i="1"/>
  <c r="F85" i="1"/>
  <c r="I84" i="1"/>
  <c r="G84" i="1"/>
  <c r="F84" i="1"/>
  <c r="I83" i="1"/>
  <c r="G83" i="1"/>
  <c r="F83" i="1"/>
  <c r="I82" i="1"/>
  <c r="G82" i="1"/>
  <c r="F82" i="1"/>
  <c r="I81" i="1"/>
  <c r="G81" i="1"/>
  <c r="F81" i="1"/>
  <c r="I80" i="1"/>
  <c r="G80" i="1"/>
  <c r="F80" i="1"/>
  <c r="I79" i="1"/>
  <c r="G79" i="1"/>
  <c r="F79" i="1"/>
  <c r="I78" i="1"/>
  <c r="G78" i="1"/>
  <c r="F78" i="1"/>
  <c r="I77" i="1"/>
  <c r="G77" i="1"/>
  <c r="F77" i="1"/>
  <c r="I76" i="1"/>
  <c r="G76" i="1"/>
  <c r="F76" i="1"/>
  <c r="I75" i="1"/>
  <c r="G75" i="1"/>
  <c r="F75" i="1"/>
  <c r="I71" i="1"/>
  <c r="R71" i="1" s="1"/>
  <c r="G71" i="1"/>
  <c r="H71" i="1" s="1"/>
  <c r="Q71" i="1" s="1"/>
  <c r="S71" i="1" s="1"/>
  <c r="I70" i="1"/>
  <c r="G70" i="1"/>
  <c r="F70" i="1"/>
  <c r="I69" i="1"/>
  <c r="G69" i="1"/>
  <c r="F69" i="1"/>
  <c r="I68" i="1"/>
  <c r="G68" i="1"/>
  <c r="F68" i="1"/>
  <c r="I67" i="1"/>
  <c r="G67" i="1"/>
  <c r="F67" i="1"/>
  <c r="I66" i="1"/>
  <c r="G66" i="1"/>
  <c r="F66" i="1"/>
  <c r="I65" i="1"/>
  <c r="G65" i="1"/>
  <c r="F65" i="1"/>
  <c r="I64" i="1"/>
  <c r="G64" i="1"/>
  <c r="F64" i="1"/>
  <c r="I63" i="1"/>
  <c r="G63" i="1"/>
  <c r="F63" i="1"/>
  <c r="I62" i="1"/>
  <c r="G62" i="1"/>
  <c r="F62" i="1"/>
  <c r="I61" i="1"/>
  <c r="G61" i="1"/>
  <c r="F61" i="1"/>
  <c r="I57" i="1"/>
  <c r="R57" i="1" s="1"/>
  <c r="G57" i="1"/>
  <c r="F57" i="1"/>
  <c r="I56" i="1"/>
  <c r="G56" i="1"/>
  <c r="F56" i="1"/>
  <c r="I55" i="1"/>
  <c r="G55" i="1"/>
  <c r="F55" i="1"/>
  <c r="I54" i="1"/>
  <c r="G54" i="1"/>
  <c r="F54" i="1"/>
  <c r="I53" i="1"/>
  <c r="G53" i="1"/>
  <c r="F53" i="1"/>
  <c r="I52" i="1"/>
  <c r="G52" i="1"/>
  <c r="F52" i="1"/>
  <c r="I51" i="1"/>
  <c r="G51" i="1"/>
  <c r="F51" i="1"/>
  <c r="I50" i="1"/>
  <c r="G50" i="1"/>
  <c r="F50" i="1"/>
  <c r="I49" i="1"/>
  <c r="G49" i="1"/>
  <c r="F49" i="1"/>
  <c r="I48" i="1"/>
  <c r="G48" i="1"/>
  <c r="F48" i="1"/>
  <c r="I47" i="1"/>
  <c r="G47" i="1"/>
  <c r="F47" i="1"/>
  <c r="I43" i="1"/>
  <c r="G43" i="1"/>
  <c r="F43" i="1"/>
  <c r="I42" i="1"/>
  <c r="G42" i="1"/>
  <c r="F42" i="1"/>
  <c r="I41" i="1"/>
  <c r="G41" i="1"/>
  <c r="F41" i="1"/>
  <c r="I40" i="1"/>
  <c r="G40" i="1"/>
  <c r="F40" i="1"/>
  <c r="I39" i="1"/>
  <c r="G39" i="1"/>
  <c r="F39" i="1"/>
  <c r="I38" i="1"/>
  <c r="G38" i="1"/>
  <c r="F38" i="1"/>
  <c r="I37" i="1"/>
  <c r="G37" i="1"/>
  <c r="F37" i="1"/>
  <c r="I36" i="1"/>
  <c r="G36" i="1"/>
  <c r="F36" i="1"/>
  <c r="I35" i="1"/>
  <c r="G35" i="1"/>
  <c r="F35" i="1"/>
  <c r="I34" i="1"/>
  <c r="G34" i="1"/>
  <c r="F34" i="1"/>
  <c r="I33" i="1"/>
  <c r="G33" i="1"/>
  <c r="F33" i="1"/>
  <c r="I29" i="1"/>
  <c r="G29" i="1"/>
  <c r="F29" i="1"/>
  <c r="I28" i="1"/>
  <c r="G28" i="1"/>
  <c r="F28" i="1"/>
  <c r="I27" i="1"/>
  <c r="G27" i="1"/>
  <c r="F27" i="1"/>
  <c r="I26" i="1"/>
  <c r="G26" i="1"/>
  <c r="F26" i="1"/>
  <c r="I25" i="1"/>
  <c r="G25" i="1"/>
  <c r="F25" i="1"/>
  <c r="I24" i="1"/>
  <c r="G24" i="1"/>
  <c r="F24" i="1"/>
  <c r="I23" i="1"/>
  <c r="G23" i="1"/>
  <c r="F23" i="1"/>
  <c r="I22" i="1"/>
  <c r="G22" i="1"/>
  <c r="F22" i="1"/>
  <c r="I21" i="1"/>
  <c r="G21" i="1"/>
  <c r="F21" i="1"/>
  <c r="I20" i="1"/>
  <c r="G20" i="1"/>
  <c r="F20" i="1"/>
  <c r="I19" i="1"/>
  <c r="G19" i="1"/>
  <c r="F19" i="1"/>
  <c r="I6" i="1"/>
  <c r="I7" i="1"/>
  <c r="I8" i="1"/>
  <c r="I9" i="1"/>
  <c r="I10" i="1"/>
  <c r="I11" i="1"/>
  <c r="I12" i="1"/>
  <c r="I13" i="1"/>
  <c r="I14" i="1"/>
  <c r="I15" i="1"/>
  <c r="I5" i="1"/>
  <c r="G5" i="1"/>
  <c r="F5" i="1"/>
  <c r="G6" i="1"/>
  <c r="G7" i="1"/>
  <c r="G8" i="1"/>
  <c r="G9" i="1"/>
  <c r="G10" i="1"/>
  <c r="G11" i="1"/>
  <c r="G12" i="1"/>
  <c r="G13" i="1"/>
  <c r="G14" i="1"/>
  <c r="G15" i="1"/>
  <c r="F6" i="1"/>
  <c r="F7" i="1"/>
  <c r="F8" i="1"/>
  <c r="F9" i="1"/>
  <c r="F10" i="1"/>
  <c r="F11" i="1"/>
  <c r="F12" i="1"/>
  <c r="F13" i="1"/>
  <c r="F14" i="1"/>
  <c r="H14" i="1" s="1"/>
  <c r="Q14" i="1" s="1"/>
  <c r="S14" i="1" s="1"/>
  <c r="Y23" i="1" s="1"/>
  <c r="F15" i="1"/>
  <c r="H10" i="5" l="1"/>
  <c r="Q10" i="5" s="1"/>
  <c r="S10" i="5" s="1"/>
  <c r="H13" i="5"/>
  <c r="Q13" i="5" s="1"/>
  <c r="S13" i="5" s="1"/>
  <c r="H35" i="5"/>
  <c r="Q35" i="5" s="1"/>
  <c r="S35" i="5" s="1"/>
  <c r="H29" i="6"/>
  <c r="Q29" i="6" s="1"/>
  <c r="S29" i="6" s="1"/>
  <c r="U29" i="6" s="1"/>
  <c r="H67" i="12"/>
  <c r="Q67" i="12" s="1"/>
  <c r="S67" i="12" s="1"/>
  <c r="H48" i="5"/>
  <c r="Q48" i="5" s="1"/>
  <c r="S48" i="5" s="1"/>
  <c r="H56" i="5"/>
  <c r="Q56" i="5" s="1"/>
  <c r="S56" i="5" s="1"/>
  <c r="U56" i="5" s="1"/>
  <c r="H37" i="6"/>
  <c r="Q37" i="6" s="1"/>
  <c r="S37" i="6" s="1"/>
  <c r="AK18" i="6" s="1"/>
  <c r="H89" i="6"/>
  <c r="Q89" i="6" s="1"/>
  <c r="S89" i="6" s="1"/>
  <c r="H119" i="6"/>
  <c r="Q119" i="6" s="1"/>
  <c r="S119" i="6" s="1"/>
  <c r="H127" i="6"/>
  <c r="Q127" i="6" s="1"/>
  <c r="S127" i="6" s="1"/>
  <c r="H149" i="6"/>
  <c r="Q149" i="6" s="1"/>
  <c r="S149" i="6" s="1"/>
  <c r="CG18" i="6" s="1"/>
  <c r="H24" i="8"/>
  <c r="Q24" i="8" s="1"/>
  <c r="S24" i="8" s="1"/>
  <c r="H76" i="8"/>
  <c r="Q76" i="8" s="1"/>
  <c r="S76" i="8" s="1"/>
  <c r="H95" i="8"/>
  <c r="Q95" i="8" s="1"/>
  <c r="S95" i="8" s="1"/>
  <c r="H147" i="8"/>
  <c r="Q147" i="8" s="1"/>
  <c r="S147" i="8" s="1"/>
  <c r="CG16" i="8" s="1"/>
  <c r="H20" i="9"/>
  <c r="Q20" i="9" s="1"/>
  <c r="S20" i="9" s="1"/>
  <c r="H80" i="9"/>
  <c r="Q80" i="9" s="1"/>
  <c r="S80" i="9" s="1"/>
  <c r="H132" i="9"/>
  <c r="Q132" i="9" s="1"/>
  <c r="S132" i="9" s="1"/>
  <c r="H165" i="9"/>
  <c r="Q165" i="9" s="1"/>
  <c r="S165" i="9" s="1"/>
  <c r="U165" i="9" s="1"/>
  <c r="H19" i="10"/>
  <c r="Q19" i="10" s="1"/>
  <c r="S19" i="10" s="1"/>
  <c r="H38" i="10"/>
  <c r="Q38" i="10" s="1"/>
  <c r="S38" i="10" s="1"/>
  <c r="H49" i="10"/>
  <c r="Q49" i="10" s="1"/>
  <c r="S49" i="10" s="1"/>
  <c r="AQ16" i="10" s="1"/>
  <c r="H57" i="10"/>
  <c r="Q57" i="10" s="1"/>
  <c r="S57" i="10" s="1"/>
  <c r="T57" i="10" s="1"/>
  <c r="H109" i="10"/>
  <c r="Q109" i="10" s="1"/>
  <c r="S109" i="10" s="1"/>
  <c r="H169" i="10"/>
  <c r="Q169" i="10" s="1"/>
  <c r="S169" i="10" s="1"/>
  <c r="H25" i="11"/>
  <c r="Q25" i="11" s="1"/>
  <c r="S25" i="11" s="1"/>
  <c r="H55" i="11"/>
  <c r="Q55" i="11" s="1"/>
  <c r="S55" i="11" s="1"/>
  <c r="AQ22" i="11" s="1"/>
  <c r="H91" i="11"/>
  <c r="Q91" i="11" s="1"/>
  <c r="S91" i="11" s="1"/>
  <c r="H99" i="11"/>
  <c r="Q99" i="11" s="1"/>
  <c r="S99" i="11" s="1"/>
  <c r="H9" i="12"/>
  <c r="Q9" i="12" s="1"/>
  <c r="S9" i="12" s="1"/>
  <c r="Y18" i="12" s="1"/>
  <c r="H20" i="12"/>
  <c r="Q20" i="12" s="1"/>
  <c r="S20" i="12" s="1"/>
  <c r="AE15" i="12" s="1"/>
  <c r="H28" i="12"/>
  <c r="Q28" i="12" s="1"/>
  <c r="S28" i="12" s="1"/>
  <c r="H39" i="12"/>
  <c r="Q39" i="12" s="1"/>
  <c r="S39" i="12" s="1"/>
  <c r="H50" i="12"/>
  <c r="Q50" i="12" s="1"/>
  <c r="S50" i="12" s="1"/>
  <c r="H61" i="12"/>
  <c r="Q61" i="12" s="1"/>
  <c r="S61" i="12" s="1"/>
  <c r="U61" i="12" s="1"/>
  <c r="AY14" i="12" s="1"/>
  <c r="H69" i="12"/>
  <c r="Q69" i="12" s="1"/>
  <c r="S69" i="12" s="1"/>
  <c r="H80" i="12"/>
  <c r="Q80" i="12" s="1"/>
  <c r="S80" i="12" s="1"/>
  <c r="H91" i="12"/>
  <c r="Q91" i="12" s="1"/>
  <c r="S91" i="12" s="1"/>
  <c r="BI16" i="12" s="1"/>
  <c r="H99" i="12"/>
  <c r="Q99" i="12" s="1"/>
  <c r="S99" i="12" s="1"/>
  <c r="BI24" i="12" s="1"/>
  <c r="H110" i="12"/>
  <c r="Q110" i="12" s="1"/>
  <c r="S110" i="12" s="1"/>
  <c r="H121" i="12"/>
  <c r="Q121" i="12" s="1"/>
  <c r="S121" i="12" s="1"/>
  <c r="H132" i="12"/>
  <c r="Q132" i="12" s="1"/>
  <c r="S132" i="12" s="1"/>
  <c r="H140" i="12"/>
  <c r="Q140" i="12" s="1"/>
  <c r="S140" i="12" s="1"/>
  <c r="CA23" i="12" s="1"/>
  <c r="H151" i="12"/>
  <c r="Q151" i="12" s="1"/>
  <c r="S151" i="12" s="1"/>
  <c r="H162" i="12"/>
  <c r="Q162" i="12" s="1"/>
  <c r="S162" i="12" s="1"/>
  <c r="H133" i="1"/>
  <c r="Q133" i="1" s="1"/>
  <c r="S133" i="1" s="1"/>
  <c r="CA16" i="1" s="1"/>
  <c r="H141" i="1"/>
  <c r="Q141" i="1" s="1"/>
  <c r="S141" i="1" s="1"/>
  <c r="T141" i="1" s="1"/>
  <c r="H42" i="2"/>
  <c r="Q42" i="2" s="1"/>
  <c r="S42" i="2" s="1"/>
  <c r="H53" i="2"/>
  <c r="Q53" i="2" s="1"/>
  <c r="S53" i="2" s="1"/>
  <c r="H75" i="2"/>
  <c r="Q75" i="2" s="1"/>
  <c r="S75" i="2" s="1"/>
  <c r="H105" i="2"/>
  <c r="Q105" i="2" s="1"/>
  <c r="S105" i="2" s="1"/>
  <c r="BO16" i="2" s="1"/>
  <c r="H113" i="2"/>
  <c r="Q113" i="2" s="1"/>
  <c r="S113" i="2" s="1"/>
  <c r="H135" i="2"/>
  <c r="Q135" i="2" s="1"/>
  <c r="S135" i="2" s="1"/>
  <c r="CA18" i="2" s="1"/>
  <c r="H12" i="5"/>
  <c r="Q12" i="5" s="1"/>
  <c r="S12" i="5" s="1"/>
  <c r="U12" i="5" s="1"/>
  <c r="AA21" i="5" s="1"/>
  <c r="H23" i="5"/>
  <c r="Q23" i="5" s="1"/>
  <c r="S23" i="5" s="1"/>
  <c r="U23" i="5" s="1"/>
  <c r="AG18" i="5" s="1"/>
  <c r="H61" i="5"/>
  <c r="Q61" i="5" s="1"/>
  <c r="S61" i="5" s="1"/>
  <c r="H37" i="5"/>
  <c r="Q37" i="5" s="1"/>
  <c r="S37" i="5" s="1"/>
  <c r="H63" i="8"/>
  <c r="Q63" i="8" s="1"/>
  <c r="S63" i="8" s="1"/>
  <c r="H71" i="8"/>
  <c r="Q71" i="8" s="1"/>
  <c r="S71" i="8" s="1"/>
  <c r="T71" i="8" s="1"/>
  <c r="H97" i="12"/>
  <c r="Q97" i="12" s="1"/>
  <c r="S97" i="12" s="1"/>
  <c r="H119" i="12"/>
  <c r="Q119" i="12" s="1"/>
  <c r="S119" i="12" s="1"/>
  <c r="T119" i="12" s="1"/>
  <c r="BV16" i="12" s="1"/>
  <c r="H127" i="12"/>
  <c r="Q127" i="12" s="1"/>
  <c r="S127" i="12" s="1"/>
  <c r="U127" i="12" s="1"/>
  <c r="BW24" i="12" s="1"/>
  <c r="H166" i="12"/>
  <c r="Q166" i="12" s="1"/>
  <c r="S166" i="12" s="1"/>
  <c r="CM21" i="12" s="1"/>
  <c r="H14" i="5"/>
  <c r="Q14" i="5" s="1"/>
  <c r="S14" i="5" s="1"/>
  <c r="H25" i="5"/>
  <c r="Q25" i="5" s="1"/>
  <c r="S25" i="5" s="1"/>
  <c r="H36" i="5"/>
  <c r="Q36" i="5" s="1"/>
  <c r="S36" i="5" s="1"/>
  <c r="H47" i="5"/>
  <c r="Q47" i="5" s="1"/>
  <c r="S47" i="5" s="1"/>
  <c r="AQ14" i="5" s="1"/>
  <c r="Y19" i="5"/>
  <c r="T10" i="5"/>
  <c r="Z19" i="5" s="1"/>
  <c r="U10" i="5"/>
  <c r="AA19" i="5" s="1"/>
  <c r="AK20" i="5"/>
  <c r="T39" i="5"/>
  <c r="AL20" i="5" s="1"/>
  <c r="U39" i="5"/>
  <c r="AM20" i="5" s="1"/>
  <c r="U108" i="21"/>
  <c r="BQ19" i="21" s="1"/>
  <c r="BO19" i="21"/>
  <c r="T108" i="21"/>
  <c r="BP19" i="21" s="1"/>
  <c r="BO23" i="21"/>
  <c r="U112" i="21"/>
  <c r="BQ23" i="21" s="1"/>
  <c r="T112" i="21"/>
  <c r="BP23" i="21" s="1"/>
  <c r="AW14" i="5"/>
  <c r="T61" i="5"/>
  <c r="AX14" i="5" s="1"/>
  <c r="U61" i="5"/>
  <c r="AY14" i="5" s="1"/>
  <c r="BO18" i="21"/>
  <c r="U107" i="21"/>
  <c r="BQ18" i="21" s="1"/>
  <c r="T107" i="21"/>
  <c r="BP18" i="21" s="1"/>
  <c r="BO21" i="21"/>
  <c r="T110" i="21"/>
  <c r="BP21" i="21" s="1"/>
  <c r="U110" i="21"/>
  <c r="BQ21" i="21" s="1"/>
  <c r="BO22" i="21"/>
  <c r="T111" i="21"/>
  <c r="BP22" i="21" s="1"/>
  <c r="U111" i="21"/>
  <c r="BQ22" i="21" s="1"/>
  <c r="BO16" i="21"/>
  <c r="U105" i="21"/>
  <c r="BQ16" i="21" s="1"/>
  <c r="T105" i="21"/>
  <c r="BP16" i="21" s="1"/>
  <c r="AK21" i="5"/>
  <c r="U40" i="5"/>
  <c r="AM21" i="5" s="1"/>
  <c r="T40" i="5"/>
  <c r="AL21" i="5" s="1"/>
  <c r="U106" i="21"/>
  <c r="BQ17" i="21" s="1"/>
  <c r="BO17" i="21"/>
  <c r="T106" i="21"/>
  <c r="BP17" i="21" s="1"/>
  <c r="R36" i="1"/>
  <c r="AO17" i="1" s="1"/>
  <c r="AA32" i="1" s="1"/>
  <c r="R62" i="1"/>
  <c r="BA15" i="1" s="1"/>
  <c r="AC30" i="1" s="1"/>
  <c r="R80" i="1"/>
  <c r="BG19" i="1" s="1"/>
  <c r="AD34" i="1" s="1"/>
  <c r="R117" i="1"/>
  <c r="BY14" i="1" s="1"/>
  <c r="AG29" i="1" s="1"/>
  <c r="R121" i="1"/>
  <c r="BY18" i="1" s="1"/>
  <c r="AG33" i="1" s="1"/>
  <c r="R136" i="1"/>
  <c r="CE19" i="1" s="1"/>
  <c r="AH34" i="1" s="1"/>
  <c r="R162" i="1"/>
  <c r="CQ17" i="1" s="1"/>
  <c r="AJ32" i="1" s="1"/>
  <c r="R24" i="2"/>
  <c r="AI19" i="2" s="1"/>
  <c r="Z34" i="2" s="1"/>
  <c r="R28" i="2"/>
  <c r="AI23" i="2" s="1"/>
  <c r="Z38" i="2" s="1"/>
  <c r="R160" i="2"/>
  <c r="CQ15" i="2" s="1"/>
  <c r="AJ30" i="2" s="1"/>
  <c r="R7" i="3"/>
  <c r="AC16" i="3" s="1"/>
  <c r="R37" i="3"/>
  <c r="AO18" i="3" s="1"/>
  <c r="T14" i="5"/>
  <c r="U14" i="5"/>
  <c r="R19" i="5"/>
  <c r="AI14" i="5" s="1"/>
  <c r="R34" i="5"/>
  <c r="AO15" i="5" s="1"/>
  <c r="AN20" i="5"/>
  <c r="R39" i="5"/>
  <c r="AO20" i="5" s="1"/>
  <c r="R160" i="5"/>
  <c r="CQ15" i="5" s="1"/>
  <c r="U39" i="6"/>
  <c r="T39" i="6"/>
  <c r="AW14" i="6"/>
  <c r="T61" i="6"/>
  <c r="AX14" i="6" s="1"/>
  <c r="U61" i="6"/>
  <c r="AY14" i="6" s="1"/>
  <c r="R118" i="7"/>
  <c r="BY15" i="7" s="1"/>
  <c r="R159" i="7"/>
  <c r="CQ14" i="7" s="1"/>
  <c r="U15" i="8"/>
  <c r="T15" i="8"/>
  <c r="AH15" i="8"/>
  <c r="R20" i="8"/>
  <c r="AI15" i="8" s="1"/>
  <c r="T41" i="8"/>
  <c r="U41" i="8"/>
  <c r="AW16" i="8"/>
  <c r="T63" i="8"/>
  <c r="AX16" i="8" s="1"/>
  <c r="U63" i="8"/>
  <c r="AY16" i="8" s="1"/>
  <c r="BI14" i="8"/>
  <c r="U89" i="8"/>
  <c r="BK14" i="8" s="1"/>
  <c r="T89" i="8"/>
  <c r="BJ14" i="8" s="1"/>
  <c r="BL16" i="8"/>
  <c r="R91" i="8"/>
  <c r="BM16" i="8" s="1"/>
  <c r="T108" i="8"/>
  <c r="U108" i="8"/>
  <c r="T127" i="8"/>
  <c r="U127" i="8"/>
  <c r="R132" i="8"/>
  <c r="CE15" i="8" s="1"/>
  <c r="T153" i="8"/>
  <c r="U153" i="8"/>
  <c r="R162" i="8"/>
  <c r="CQ17" i="8" s="1"/>
  <c r="Y20" i="9"/>
  <c r="T11" i="9"/>
  <c r="Z20" i="9" s="1"/>
  <c r="U11" i="9"/>
  <c r="AA20" i="9" s="1"/>
  <c r="AB22" i="9"/>
  <c r="R13" i="9"/>
  <c r="AC22" i="9" s="1"/>
  <c r="T26" i="9"/>
  <c r="U26" i="9"/>
  <c r="R35" i="9"/>
  <c r="AO16" i="9" s="1"/>
  <c r="AQ19" i="9"/>
  <c r="U52" i="9"/>
  <c r="AS19" i="9" s="1"/>
  <c r="T52" i="9"/>
  <c r="AR19" i="9" s="1"/>
  <c r="T67" i="9"/>
  <c r="U67" i="9"/>
  <c r="R76" i="9"/>
  <c r="BG15" i="9" s="1"/>
  <c r="T93" i="9"/>
  <c r="U93" i="9"/>
  <c r="BU16" i="9"/>
  <c r="U119" i="9"/>
  <c r="BW16" i="9" s="1"/>
  <c r="T119" i="9"/>
  <c r="BV16" i="9" s="1"/>
  <c r="CA17" i="9"/>
  <c r="U134" i="9"/>
  <c r="CC17" i="9" s="1"/>
  <c r="T134" i="9"/>
  <c r="CB17" i="9" s="1"/>
  <c r="CG14" i="9"/>
  <c r="U145" i="9"/>
  <c r="CI14" i="9" s="1"/>
  <c r="T145" i="9"/>
  <c r="CH14" i="9" s="1"/>
  <c r="R147" i="9"/>
  <c r="CK16" i="9" s="1"/>
  <c r="R162" i="9"/>
  <c r="CQ17" i="9" s="1"/>
  <c r="Y19" i="10"/>
  <c r="U10" i="10"/>
  <c r="AA19" i="10" s="1"/>
  <c r="T10" i="10"/>
  <c r="Z19" i="10" s="1"/>
  <c r="R12" i="10"/>
  <c r="AC21" i="10" s="1"/>
  <c r="T29" i="10"/>
  <c r="U29" i="10"/>
  <c r="R34" i="10"/>
  <c r="AO15" i="10" s="1"/>
  <c r="AQ18" i="10"/>
  <c r="T51" i="10"/>
  <c r="AR18" i="10" s="1"/>
  <c r="U51" i="10"/>
  <c r="AS18" i="10" s="1"/>
  <c r="R131" i="10"/>
  <c r="CE14" i="10" s="1"/>
  <c r="R161" i="10"/>
  <c r="CQ16" i="10" s="1"/>
  <c r="Y17" i="11"/>
  <c r="T8" i="11"/>
  <c r="Z17" i="11" s="1"/>
  <c r="U8" i="11"/>
  <c r="AA17" i="11" s="1"/>
  <c r="R21" i="11"/>
  <c r="AI16" i="11" s="1"/>
  <c r="AQ16" i="11"/>
  <c r="T49" i="11"/>
  <c r="AR16" i="11" s="1"/>
  <c r="U49" i="11"/>
  <c r="AS16" i="11" s="1"/>
  <c r="AT18" i="11"/>
  <c r="R51" i="11"/>
  <c r="AU18" i="11" s="1"/>
  <c r="BC14" i="11"/>
  <c r="T75" i="11"/>
  <c r="BD14" i="11" s="1"/>
  <c r="U75" i="11"/>
  <c r="BE14" i="11" s="1"/>
  <c r="R77" i="11"/>
  <c r="BG16" i="11" s="1"/>
  <c r="R81" i="11"/>
  <c r="BG20" i="11" s="1"/>
  <c r="BL16" i="11"/>
  <c r="R91" i="11"/>
  <c r="BM16" i="11" s="1"/>
  <c r="R9" i="12"/>
  <c r="AC18" i="12" s="1"/>
  <c r="AH19" i="12"/>
  <c r="R24" i="12"/>
  <c r="AI19" i="12" s="1"/>
  <c r="R43" i="12"/>
  <c r="AO24" i="12" s="1"/>
  <c r="AW20" i="12"/>
  <c r="T67" i="12"/>
  <c r="AX20" i="12" s="1"/>
  <c r="U67" i="12"/>
  <c r="AY20" i="12" s="1"/>
  <c r="AZ22" i="12"/>
  <c r="R69" i="12"/>
  <c r="BA22" i="12" s="1"/>
  <c r="BF15" i="12"/>
  <c r="R76" i="12"/>
  <c r="BG15" i="12" s="1"/>
  <c r="BF19" i="12"/>
  <c r="R80" i="12"/>
  <c r="BG19" i="12" s="1"/>
  <c r="BL20" i="12"/>
  <c r="R95" i="12"/>
  <c r="BM20" i="12" s="1"/>
  <c r="R99" i="12"/>
  <c r="BM24" i="12" s="1"/>
  <c r="BR17" i="12"/>
  <c r="R106" i="12"/>
  <c r="BS17" i="12" s="1"/>
  <c r="BX14" i="12"/>
  <c r="R117" i="12"/>
  <c r="BY14" i="12" s="1"/>
  <c r="CD15" i="12"/>
  <c r="R132" i="12"/>
  <c r="CE15" i="12" s="1"/>
  <c r="CD19" i="12"/>
  <c r="R136" i="12"/>
  <c r="CE19" i="12" s="1"/>
  <c r="R12" i="1"/>
  <c r="AC21" i="1" s="1"/>
  <c r="Y36" i="1" s="1"/>
  <c r="R35" i="1"/>
  <c r="AO16" i="1" s="1"/>
  <c r="AA31" i="1" s="1"/>
  <c r="R54" i="1"/>
  <c r="AU21" i="1" s="1"/>
  <c r="AB36" i="1" s="1"/>
  <c r="R124" i="1"/>
  <c r="BY21" i="1" s="1"/>
  <c r="AG36" i="1" s="1"/>
  <c r="R12" i="2"/>
  <c r="AC21" i="2" s="1"/>
  <c r="Y36" i="2" s="1"/>
  <c r="AQ16" i="2"/>
  <c r="T49" i="2"/>
  <c r="AR16" i="2" s="1"/>
  <c r="U49" i="2"/>
  <c r="AS16" i="2" s="1"/>
  <c r="R51" i="2"/>
  <c r="AU18" i="2" s="1"/>
  <c r="AB33" i="2" s="1"/>
  <c r="BC18" i="2"/>
  <c r="T79" i="2"/>
  <c r="BD18" i="2" s="1"/>
  <c r="U79" i="2"/>
  <c r="BE18" i="2" s="1"/>
  <c r="U113" i="2"/>
  <c r="T113" i="2"/>
  <c r="R137" i="2"/>
  <c r="CE20" i="2" s="1"/>
  <c r="AH35" i="2" s="1"/>
  <c r="R148" i="2"/>
  <c r="CK17" i="2" s="1"/>
  <c r="AI32" i="2" s="1"/>
  <c r="R159" i="2"/>
  <c r="CQ14" i="2" s="1"/>
  <c r="AJ29" i="2" s="1"/>
  <c r="R163" i="2"/>
  <c r="CQ18" i="2" s="1"/>
  <c r="AJ33" i="2" s="1"/>
  <c r="T169" i="2"/>
  <c r="U169" i="2"/>
  <c r="R6" i="3"/>
  <c r="AC15" i="3" s="1"/>
  <c r="AB19" i="3"/>
  <c r="R10" i="3"/>
  <c r="AC19" i="3" s="1"/>
  <c r="R21" i="3"/>
  <c r="AI16" i="3" s="1"/>
  <c r="R25" i="3"/>
  <c r="AI20" i="3" s="1"/>
  <c r="R36" i="3"/>
  <c r="AO17" i="3" s="1"/>
  <c r="R40" i="3"/>
  <c r="AO21" i="3" s="1"/>
  <c r="R47" i="3"/>
  <c r="AU14" i="3" s="1"/>
  <c r="R51" i="3"/>
  <c r="AU18" i="3" s="1"/>
  <c r="R55" i="3"/>
  <c r="R62" i="3"/>
  <c r="BA15" i="3" s="1"/>
  <c r="R66" i="3"/>
  <c r="BA19" i="3" s="1"/>
  <c r="R77" i="3"/>
  <c r="BG16" i="3" s="1"/>
  <c r="R81" i="3"/>
  <c r="BG20" i="3" s="1"/>
  <c r="R92" i="3"/>
  <c r="BM17" i="3" s="1"/>
  <c r="R103" i="3"/>
  <c r="BS14" i="3" s="1"/>
  <c r="R107" i="3"/>
  <c r="BS18" i="3" s="1"/>
  <c r="R118" i="3"/>
  <c r="BY15" i="3" s="1"/>
  <c r="R122" i="3"/>
  <c r="BY19" i="3" s="1"/>
  <c r="R133" i="3"/>
  <c r="CE16" i="3" s="1"/>
  <c r="R148" i="3"/>
  <c r="CK17" i="3" s="1"/>
  <c r="R159" i="3"/>
  <c r="CQ14" i="3" s="1"/>
  <c r="R163" i="3"/>
  <c r="CQ18" i="3" s="1"/>
  <c r="H5" i="5"/>
  <c r="Q5" i="5" s="1"/>
  <c r="S5" i="5" s="1"/>
  <c r="R6" i="5"/>
  <c r="AC15" i="5" s="1"/>
  <c r="R11" i="5"/>
  <c r="AC20" i="5" s="1"/>
  <c r="Y22" i="5"/>
  <c r="T13" i="5"/>
  <c r="Z22" i="5" s="1"/>
  <c r="U13" i="5"/>
  <c r="AA22" i="5" s="1"/>
  <c r="R22" i="5"/>
  <c r="AI17" i="5" s="1"/>
  <c r="R26" i="5"/>
  <c r="AI21" i="5" s="1"/>
  <c r="H29" i="5"/>
  <c r="Q29" i="5" s="1"/>
  <c r="S29" i="5" s="1"/>
  <c r="R33" i="5"/>
  <c r="AO14" i="5" s="1"/>
  <c r="AK16" i="5"/>
  <c r="T35" i="5"/>
  <c r="AL16" i="5" s="1"/>
  <c r="U35" i="5"/>
  <c r="AM16" i="5" s="1"/>
  <c r="AN18" i="5"/>
  <c r="R37" i="5"/>
  <c r="AO18" i="5" s="1"/>
  <c r="H42" i="5"/>
  <c r="Q42" i="5" s="1"/>
  <c r="S42" i="5" s="1"/>
  <c r="AQ15" i="5"/>
  <c r="U48" i="5"/>
  <c r="AS15" i="5" s="1"/>
  <c r="T48" i="5"/>
  <c r="AR15" i="5" s="1"/>
  <c r="R50" i="5"/>
  <c r="AU17" i="5" s="1"/>
  <c r="AQ19" i="5"/>
  <c r="T52" i="5"/>
  <c r="AR19" i="5" s="1"/>
  <c r="U52" i="5"/>
  <c r="AS19" i="5" s="1"/>
  <c r="R62" i="5"/>
  <c r="BA15" i="5" s="1"/>
  <c r="R66" i="5"/>
  <c r="BA19" i="5" s="1"/>
  <c r="T68" i="5"/>
  <c r="U68" i="5"/>
  <c r="R77" i="5"/>
  <c r="BG16" i="5" s="1"/>
  <c r="H83" i="5"/>
  <c r="Q83" i="5" s="1"/>
  <c r="S83" i="5" s="1"/>
  <c r="R92" i="5"/>
  <c r="BM17" i="5" s="1"/>
  <c r="H94" i="5"/>
  <c r="Q94" i="5" s="1"/>
  <c r="S94" i="5" s="1"/>
  <c r="H98" i="5"/>
  <c r="Q98" i="5" s="1"/>
  <c r="S98" i="5" s="1"/>
  <c r="R103" i="5"/>
  <c r="BS14" i="5" s="1"/>
  <c r="R107" i="5"/>
  <c r="BS18" i="5" s="1"/>
  <c r="H109" i="5"/>
  <c r="Q109" i="5" s="1"/>
  <c r="S109" i="5" s="1"/>
  <c r="H113" i="5"/>
  <c r="Q113" i="5" s="1"/>
  <c r="S113" i="5" s="1"/>
  <c r="R118" i="5"/>
  <c r="BY15" i="5" s="1"/>
  <c r="H120" i="5"/>
  <c r="Q120" i="5" s="1"/>
  <c r="S120" i="5" s="1"/>
  <c r="H124" i="5"/>
  <c r="Q124" i="5" s="1"/>
  <c r="S124" i="5" s="1"/>
  <c r="R133" i="5"/>
  <c r="CE16" i="5" s="1"/>
  <c r="H139" i="5"/>
  <c r="Q139" i="5" s="1"/>
  <c r="S139" i="5" s="1"/>
  <c r="H146" i="5"/>
  <c r="Q146" i="5" s="1"/>
  <c r="S146" i="5" s="1"/>
  <c r="R148" i="5"/>
  <c r="CK17" i="5" s="1"/>
  <c r="H150" i="5"/>
  <c r="Q150" i="5" s="1"/>
  <c r="S150" i="5" s="1"/>
  <c r="H154" i="5"/>
  <c r="Q154" i="5" s="1"/>
  <c r="S154" i="5" s="1"/>
  <c r="R159" i="5"/>
  <c r="CQ14" i="5" s="1"/>
  <c r="H161" i="5"/>
  <c r="Q161" i="5" s="1"/>
  <c r="S161" i="5" s="1"/>
  <c r="H165" i="5"/>
  <c r="Q165" i="5" s="1"/>
  <c r="S165" i="5" s="1"/>
  <c r="H169" i="5"/>
  <c r="Q169" i="5" s="1"/>
  <c r="S169" i="5" s="1"/>
  <c r="R6" i="6"/>
  <c r="AC15" i="6" s="1"/>
  <c r="R10" i="6"/>
  <c r="AC19" i="6" s="1"/>
  <c r="H19" i="6"/>
  <c r="Q19" i="6" s="1"/>
  <c r="S19" i="6" s="1"/>
  <c r="R21" i="6"/>
  <c r="AI16" i="6" s="1"/>
  <c r="R25" i="6"/>
  <c r="AI20" i="6" s="1"/>
  <c r="R36" i="6"/>
  <c r="AO17" i="6" s="1"/>
  <c r="R47" i="6"/>
  <c r="AU14" i="6" s="1"/>
  <c r="R51" i="6"/>
  <c r="AU18" i="6" s="1"/>
  <c r="R62" i="6"/>
  <c r="BA15" i="6" s="1"/>
  <c r="R66" i="6"/>
  <c r="BA19" i="6" s="1"/>
  <c r="R77" i="6"/>
  <c r="BG16" i="6" s="1"/>
  <c r="R92" i="6"/>
  <c r="BM17" i="6" s="1"/>
  <c r="R103" i="6"/>
  <c r="BS14" i="6" s="1"/>
  <c r="R107" i="6"/>
  <c r="BS18" i="6" s="1"/>
  <c r="R118" i="6"/>
  <c r="BY15" i="6" s="1"/>
  <c r="R133" i="6"/>
  <c r="CE16" i="6" s="1"/>
  <c r="R148" i="6"/>
  <c r="CK17" i="6" s="1"/>
  <c r="R159" i="6"/>
  <c r="CQ14" i="6" s="1"/>
  <c r="R5" i="7"/>
  <c r="AC14" i="7" s="1"/>
  <c r="R9" i="7"/>
  <c r="AC18" i="7" s="1"/>
  <c r="R20" i="7"/>
  <c r="AI15" i="7" s="1"/>
  <c r="R24" i="7"/>
  <c r="AI19" i="7" s="1"/>
  <c r="H26" i="7"/>
  <c r="Q26" i="7" s="1"/>
  <c r="S26" i="7" s="1"/>
  <c r="R35" i="7"/>
  <c r="AO16" i="7" s="1"/>
  <c r="H37" i="7"/>
  <c r="Q37" i="7" s="1"/>
  <c r="S37" i="7" s="1"/>
  <c r="H41" i="7"/>
  <c r="Q41" i="7" s="1"/>
  <c r="S41" i="7" s="1"/>
  <c r="R50" i="7"/>
  <c r="AU17" i="7" s="1"/>
  <c r="H52" i="7"/>
  <c r="Q52" i="7" s="1"/>
  <c r="S52" i="7" s="1"/>
  <c r="H56" i="7"/>
  <c r="Q56" i="7" s="1"/>
  <c r="S56" i="7" s="1"/>
  <c r="R61" i="7"/>
  <c r="BA14" i="7" s="1"/>
  <c r="H63" i="7"/>
  <c r="Q63" i="7" s="1"/>
  <c r="S63" i="7" s="1"/>
  <c r="R65" i="7"/>
  <c r="BA18" i="7" s="1"/>
  <c r="R76" i="7"/>
  <c r="BG15" i="7" s="1"/>
  <c r="H78" i="7"/>
  <c r="Q78" i="7" s="1"/>
  <c r="S78" i="7" s="1"/>
  <c r="H82" i="7"/>
  <c r="Q82" i="7" s="1"/>
  <c r="S82" i="7" s="1"/>
  <c r="H89" i="7"/>
  <c r="Q89" i="7" s="1"/>
  <c r="S89" i="7" s="1"/>
  <c r="R91" i="7"/>
  <c r="BM16" i="7" s="1"/>
  <c r="H93" i="7"/>
  <c r="Q93" i="7" s="1"/>
  <c r="S93" i="7" s="1"/>
  <c r="H97" i="7"/>
  <c r="Q97" i="7" s="1"/>
  <c r="S97" i="7" s="1"/>
  <c r="H104" i="7"/>
  <c r="Q104" i="7" s="1"/>
  <c r="S104" i="7" s="1"/>
  <c r="R106" i="7"/>
  <c r="BS17" i="7" s="1"/>
  <c r="H112" i="7"/>
  <c r="Q112" i="7" s="1"/>
  <c r="S112" i="7" s="1"/>
  <c r="R117" i="7"/>
  <c r="BY14" i="7" s="1"/>
  <c r="H123" i="7"/>
  <c r="Q123" i="7" s="1"/>
  <c r="S123" i="7" s="1"/>
  <c r="H127" i="7"/>
  <c r="Q127" i="7" s="1"/>
  <c r="S127" i="7" s="1"/>
  <c r="R132" i="7"/>
  <c r="CE15" i="7" s="1"/>
  <c r="H134" i="7"/>
  <c r="Q134" i="7" s="1"/>
  <c r="S134" i="7" s="1"/>
  <c r="H138" i="7"/>
  <c r="Q138" i="7" s="1"/>
  <c r="S138" i="7" s="1"/>
  <c r="R147" i="7"/>
  <c r="CK16" i="7" s="1"/>
  <c r="H149" i="7"/>
  <c r="Q149" i="7" s="1"/>
  <c r="S149" i="7" s="1"/>
  <c r="H153" i="7"/>
  <c r="Q153" i="7" s="1"/>
  <c r="S153" i="7" s="1"/>
  <c r="H160" i="7"/>
  <c r="Q160" i="7" s="1"/>
  <c r="S160" i="7" s="1"/>
  <c r="R162" i="7"/>
  <c r="CQ17" i="7" s="1"/>
  <c r="H164" i="7"/>
  <c r="Q164" i="7" s="1"/>
  <c r="S164" i="7" s="1"/>
  <c r="H168" i="7"/>
  <c r="Q168" i="7" s="1"/>
  <c r="S168" i="7" s="1"/>
  <c r="R5" i="8"/>
  <c r="AC14" i="8" s="1"/>
  <c r="H7" i="8"/>
  <c r="Q7" i="8" s="1"/>
  <c r="S7" i="8" s="1"/>
  <c r="R9" i="8"/>
  <c r="AC18" i="8" s="1"/>
  <c r="H11" i="8"/>
  <c r="Q11" i="8" s="1"/>
  <c r="S11" i="8" s="1"/>
  <c r="R19" i="8"/>
  <c r="AI14" i="8" s="1"/>
  <c r="R23" i="8"/>
  <c r="AI18" i="8" s="1"/>
  <c r="R34" i="8"/>
  <c r="AO15" i="8" s="1"/>
  <c r="R38" i="8"/>
  <c r="AO19" i="8" s="1"/>
  <c r="R49" i="8"/>
  <c r="AU16" i="8" s="1"/>
  <c r="R64" i="8"/>
  <c r="BA17" i="8" s="1"/>
  <c r="R75" i="8"/>
  <c r="BG14" i="8" s="1"/>
  <c r="R90" i="8"/>
  <c r="BM15" i="8" s="1"/>
  <c r="R105" i="8"/>
  <c r="BS16" i="8" s="1"/>
  <c r="R131" i="8"/>
  <c r="CE14" i="8" s="1"/>
  <c r="R135" i="8"/>
  <c r="CE18" i="8" s="1"/>
  <c r="R146" i="8"/>
  <c r="CK15" i="8" s="1"/>
  <c r="R161" i="8"/>
  <c r="CQ16" i="8" s="1"/>
  <c r="R8" i="9"/>
  <c r="AC17" i="9" s="1"/>
  <c r="R12" i="9"/>
  <c r="AC21" i="9" s="1"/>
  <c r="R19" i="9"/>
  <c r="AI14" i="9" s="1"/>
  <c r="R23" i="9"/>
  <c r="AI18" i="9" s="1"/>
  <c r="R34" i="9"/>
  <c r="AO15" i="9" s="1"/>
  <c r="R38" i="9"/>
  <c r="AO19" i="9" s="1"/>
  <c r="R49" i="9"/>
  <c r="AU16" i="9" s="1"/>
  <c r="R64" i="9"/>
  <c r="BA17" i="9" s="1"/>
  <c r="R75" i="9"/>
  <c r="BG14" i="9" s="1"/>
  <c r="R90" i="9"/>
  <c r="BM15" i="9" s="1"/>
  <c r="R105" i="9"/>
  <c r="BS16" i="9" s="1"/>
  <c r="R131" i="9"/>
  <c r="CE14" i="9" s="1"/>
  <c r="R135" i="9"/>
  <c r="CE18" i="9" s="1"/>
  <c r="R146" i="9"/>
  <c r="CK15" i="9" s="1"/>
  <c r="R161" i="9"/>
  <c r="CQ16" i="9" s="1"/>
  <c r="R7" i="10"/>
  <c r="AC16" i="10" s="1"/>
  <c r="AB20" i="10"/>
  <c r="R11" i="10"/>
  <c r="AC20" i="10" s="1"/>
  <c r="R22" i="10"/>
  <c r="AI17" i="10" s="1"/>
  <c r="R33" i="10"/>
  <c r="AO14" i="10" s="1"/>
  <c r="R37" i="10"/>
  <c r="AO18" i="10" s="1"/>
  <c r="R48" i="10"/>
  <c r="AU15" i="10" s="1"/>
  <c r="R52" i="10"/>
  <c r="AU19" i="10" s="1"/>
  <c r="R63" i="10"/>
  <c r="BA16" i="10" s="1"/>
  <c r="R78" i="10"/>
  <c r="BG17" i="10" s="1"/>
  <c r="R89" i="10"/>
  <c r="BM14" i="10" s="1"/>
  <c r="R93" i="10"/>
  <c r="BM18" i="10" s="1"/>
  <c r="R104" i="10"/>
  <c r="BS15" i="10" s="1"/>
  <c r="R119" i="10"/>
  <c r="BY16" i="10" s="1"/>
  <c r="R134" i="10"/>
  <c r="CE17" i="10" s="1"/>
  <c r="R145" i="10"/>
  <c r="CK14" i="10" s="1"/>
  <c r="R149" i="10"/>
  <c r="CK18" i="10" s="1"/>
  <c r="R160" i="10"/>
  <c r="CQ15" i="10" s="1"/>
  <c r="R5" i="11"/>
  <c r="AC14" i="11" s="1"/>
  <c r="R9" i="11"/>
  <c r="AC18" i="11" s="1"/>
  <c r="R13" i="11"/>
  <c r="AC22" i="11" s="1"/>
  <c r="R20" i="11"/>
  <c r="AI15" i="11" s="1"/>
  <c r="R24" i="11"/>
  <c r="AI19" i="11" s="1"/>
  <c r="R28" i="11"/>
  <c r="AI23" i="11" s="1"/>
  <c r="R35" i="11"/>
  <c r="AO16" i="11" s="1"/>
  <c r="R39" i="11"/>
  <c r="AO20" i="11" s="1"/>
  <c r="R50" i="11"/>
  <c r="AU17" i="11" s="1"/>
  <c r="R54" i="11"/>
  <c r="AU21" i="11" s="1"/>
  <c r="R61" i="11"/>
  <c r="BA14" i="11" s="1"/>
  <c r="R65" i="11"/>
  <c r="BA18" i="11" s="1"/>
  <c r="R69" i="11"/>
  <c r="BA22" i="11" s="1"/>
  <c r="R76" i="11"/>
  <c r="BG15" i="11" s="1"/>
  <c r="BF19" i="11"/>
  <c r="R80" i="11"/>
  <c r="BG19" i="11" s="1"/>
  <c r="R90" i="11"/>
  <c r="BM15" i="11" s="1"/>
  <c r="R94" i="11"/>
  <c r="BM19" i="11" s="1"/>
  <c r="R8" i="12"/>
  <c r="AC17" i="12" s="1"/>
  <c r="R12" i="12"/>
  <c r="AC21" i="12" s="1"/>
  <c r="R19" i="12"/>
  <c r="AI14" i="12" s="1"/>
  <c r="R23" i="12"/>
  <c r="AI18" i="12" s="1"/>
  <c r="R27" i="12"/>
  <c r="AI22" i="12" s="1"/>
  <c r="R34" i="12"/>
  <c r="AO15" i="12" s="1"/>
  <c r="R38" i="12"/>
  <c r="AO19" i="12" s="1"/>
  <c r="R42" i="12"/>
  <c r="AO23" i="12" s="1"/>
  <c r="R49" i="12"/>
  <c r="AU16" i="12" s="1"/>
  <c r="R53" i="12"/>
  <c r="AU20" i="12" s="1"/>
  <c r="R57" i="12"/>
  <c r="AU24" i="12" s="1"/>
  <c r="R64" i="12"/>
  <c r="BA17" i="12" s="1"/>
  <c r="R68" i="12"/>
  <c r="BA21" i="12" s="1"/>
  <c r="R75" i="12"/>
  <c r="BG14" i="12" s="1"/>
  <c r="R79" i="12"/>
  <c r="BG18" i="12" s="1"/>
  <c r="R83" i="12"/>
  <c r="BG22" i="12" s="1"/>
  <c r="R90" i="12"/>
  <c r="BM15" i="12" s="1"/>
  <c r="R94" i="12"/>
  <c r="BM19" i="12" s="1"/>
  <c r="R98" i="12"/>
  <c r="BM23" i="12" s="1"/>
  <c r="R105" i="12"/>
  <c r="BS16" i="12" s="1"/>
  <c r="R109" i="12"/>
  <c r="BS20" i="12" s="1"/>
  <c r="R113" i="12"/>
  <c r="BS24" i="12" s="1"/>
  <c r="R120" i="12"/>
  <c r="BY17" i="12" s="1"/>
  <c r="R124" i="12"/>
  <c r="BY21" i="12" s="1"/>
  <c r="R131" i="12"/>
  <c r="CE14" i="12" s="1"/>
  <c r="R135" i="12"/>
  <c r="CE18" i="12" s="1"/>
  <c r="R139" i="12"/>
  <c r="CE22" i="12" s="1"/>
  <c r="R146" i="12"/>
  <c r="CK15" i="12" s="1"/>
  <c r="R150" i="12"/>
  <c r="CK19" i="12" s="1"/>
  <c r="R154" i="12"/>
  <c r="CK23" i="12" s="1"/>
  <c r="R161" i="12"/>
  <c r="CQ16" i="12" s="1"/>
  <c r="R165" i="12"/>
  <c r="CQ20" i="12" s="1"/>
  <c r="R9" i="1"/>
  <c r="AC18" i="1" s="1"/>
  <c r="Y33" i="1" s="1"/>
  <c r="R47" i="1"/>
  <c r="AU14" i="1" s="1"/>
  <c r="AB29" i="1" s="1"/>
  <c r="R70" i="1"/>
  <c r="BA23" i="1" s="1"/>
  <c r="AC38" i="1" s="1"/>
  <c r="R84" i="1"/>
  <c r="BG23" i="1" s="1"/>
  <c r="AD38" i="1" s="1"/>
  <c r="R132" i="1"/>
  <c r="CE15" i="1" s="1"/>
  <c r="AH30" i="1" s="1"/>
  <c r="R166" i="1"/>
  <c r="CQ21" i="1" s="1"/>
  <c r="AJ36" i="1" s="1"/>
  <c r="R5" i="2"/>
  <c r="AC14" i="2" s="1"/>
  <c r="Y29" i="2" s="1"/>
  <c r="R9" i="2"/>
  <c r="AC18" i="2" s="1"/>
  <c r="Y33" i="2" s="1"/>
  <c r="R39" i="2"/>
  <c r="AO20" i="2" s="1"/>
  <c r="AA35" i="2" s="1"/>
  <c r="R119" i="2"/>
  <c r="BY16" i="2" s="1"/>
  <c r="AG31" i="2" s="1"/>
  <c r="R145" i="2"/>
  <c r="CK14" i="2" s="1"/>
  <c r="AI29" i="2" s="1"/>
  <c r="R11" i="3"/>
  <c r="AC20" i="3" s="1"/>
  <c r="R33" i="3"/>
  <c r="AO14" i="3" s="1"/>
  <c r="R119" i="3"/>
  <c r="BY16" i="3" s="1"/>
  <c r="R160" i="3"/>
  <c r="CQ15" i="3" s="1"/>
  <c r="R23" i="5"/>
  <c r="AI18" i="5" s="1"/>
  <c r="AK18" i="5"/>
  <c r="T37" i="5"/>
  <c r="AL18" i="5" s="1"/>
  <c r="U37" i="5"/>
  <c r="AM18" i="5" s="1"/>
  <c r="R63" i="5"/>
  <c r="BA16" i="5" s="1"/>
  <c r="R89" i="5"/>
  <c r="BM14" i="5" s="1"/>
  <c r="T29" i="6"/>
  <c r="R33" i="6"/>
  <c r="AO14" i="6" s="1"/>
  <c r="R37" i="6"/>
  <c r="AO18" i="6" s="1"/>
  <c r="AQ17" i="6"/>
  <c r="T50" i="6"/>
  <c r="AR17" i="6" s="1"/>
  <c r="U50" i="6"/>
  <c r="AS17" i="6" s="1"/>
  <c r="AT19" i="6"/>
  <c r="R52" i="6"/>
  <c r="AU19" i="6" s="1"/>
  <c r="R145" i="6"/>
  <c r="CK14" i="6" s="1"/>
  <c r="AE17" i="8"/>
  <c r="T22" i="8"/>
  <c r="AF17" i="8" s="1"/>
  <c r="U22" i="8"/>
  <c r="AG17" i="8" s="1"/>
  <c r="AH19" i="8"/>
  <c r="R24" i="8"/>
  <c r="AI19" i="8" s="1"/>
  <c r="AK18" i="8"/>
  <c r="U37" i="8"/>
  <c r="AM18" i="8" s="1"/>
  <c r="T37" i="8"/>
  <c r="AL18" i="8" s="1"/>
  <c r="AQ15" i="8"/>
  <c r="U48" i="8"/>
  <c r="AS15" i="8" s="1"/>
  <c r="T48" i="8"/>
  <c r="AR15" i="8" s="1"/>
  <c r="AT17" i="8"/>
  <c r="R50" i="8"/>
  <c r="AU17" i="8" s="1"/>
  <c r="BC17" i="8"/>
  <c r="T78" i="8"/>
  <c r="BD17" i="8" s="1"/>
  <c r="U78" i="8"/>
  <c r="BE17" i="8" s="1"/>
  <c r="T93" i="8"/>
  <c r="U93" i="8"/>
  <c r="R106" i="8"/>
  <c r="BS17" i="8" s="1"/>
  <c r="BU16" i="8"/>
  <c r="T119" i="8"/>
  <c r="BV16" i="8" s="1"/>
  <c r="U119" i="8"/>
  <c r="BW16" i="8" s="1"/>
  <c r="U138" i="8"/>
  <c r="T138" i="8"/>
  <c r="R147" i="8"/>
  <c r="CK16" i="8" s="1"/>
  <c r="U164" i="8"/>
  <c r="T164" i="8"/>
  <c r="R5" i="9"/>
  <c r="AC14" i="9" s="1"/>
  <c r="AE17" i="9"/>
  <c r="T22" i="9"/>
  <c r="AF17" i="9" s="1"/>
  <c r="U22" i="9"/>
  <c r="AG17" i="9" s="1"/>
  <c r="AH19" i="9"/>
  <c r="R24" i="9"/>
  <c r="AI19" i="9" s="1"/>
  <c r="U41" i="9"/>
  <c r="T41" i="9"/>
  <c r="U56" i="9"/>
  <c r="T56" i="9"/>
  <c r="R61" i="9"/>
  <c r="BA14" i="9" s="1"/>
  <c r="R65" i="9"/>
  <c r="BA18" i="9" s="1"/>
  <c r="U82" i="9"/>
  <c r="T82" i="9"/>
  <c r="U97" i="9"/>
  <c r="T97" i="9"/>
  <c r="U112" i="9"/>
  <c r="T112" i="9"/>
  <c r="BX14" i="9"/>
  <c r="R117" i="9"/>
  <c r="BY14" i="9" s="1"/>
  <c r="U138" i="9"/>
  <c r="T138" i="9"/>
  <c r="CM15" i="9"/>
  <c r="T160" i="9"/>
  <c r="CN15" i="9" s="1"/>
  <c r="U160" i="9"/>
  <c r="CO15" i="9" s="1"/>
  <c r="AE16" i="10"/>
  <c r="T21" i="10"/>
  <c r="AF16" i="10" s="1"/>
  <c r="U21" i="10"/>
  <c r="AG16" i="10" s="1"/>
  <c r="R23" i="10"/>
  <c r="AI18" i="10" s="1"/>
  <c r="U40" i="10"/>
  <c r="T40" i="10"/>
  <c r="AW15" i="10"/>
  <c r="U62" i="10"/>
  <c r="AY15" i="10" s="1"/>
  <c r="T62" i="10"/>
  <c r="AX15" i="10" s="1"/>
  <c r="CJ15" i="10"/>
  <c r="R146" i="10"/>
  <c r="CK15" i="10" s="1"/>
  <c r="R10" i="11"/>
  <c r="AC19" i="11" s="1"/>
  <c r="AE22" i="11"/>
  <c r="T27" i="11"/>
  <c r="AF22" i="11" s="1"/>
  <c r="U27" i="11"/>
  <c r="AG22" i="11" s="1"/>
  <c r="AQ20" i="11"/>
  <c r="U53" i="11"/>
  <c r="AS20" i="11" s="1"/>
  <c r="T53" i="11"/>
  <c r="AR20" i="11" s="1"/>
  <c r="R55" i="11"/>
  <c r="AU22" i="11" s="1"/>
  <c r="AZ15" i="11"/>
  <c r="R62" i="11"/>
  <c r="BA15" i="11" s="1"/>
  <c r="BI18" i="11"/>
  <c r="U93" i="11"/>
  <c r="BK18" i="11" s="1"/>
  <c r="T93" i="11"/>
  <c r="BJ18" i="11" s="1"/>
  <c r="BL20" i="11"/>
  <c r="R95" i="11"/>
  <c r="BM20" i="11" s="1"/>
  <c r="AB14" i="12"/>
  <c r="R5" i="12"/>
  <c r="AC14" i="12" s="1"/>
  <c r="AB22" i="12"/>
  <c r="R13" i="12"/>
  <c r="AC22" i="12" s="1"/>
  <c r="R20" i="12"/>
  <c r="AI15" i="12" s="1"/>
  <c r="AH23" i="12"/>
  <c r="R28" i="12"/>
  <c r="AI23" i="12" s="1"/>
  <c r="AW16" i="12"/>
  <c r="U63" i="12"/>
  <c r="AY16" i="12" s="1"/>
  <c r="T63" i="12"/>
  <c r="AX16" i="12" s="1"/>
  <c r="AZ18" i="12"/>
  <c r="R65" i="12"/>
  <c r="BA18" i="12" s="1"/>
  <c r="R91" i="12"/>
  <c r="BM16" i="12" s="1"/>
  <c r="BR21" i="12"/>
  <c r="R110" i="12"/>
  <c r="BS21" i="12" s="1"/>
  <c r="BU24" i="12"/>
  <c r="T127" i="12"/>
  <c r="BV24" i="12" s="1"/>
  <c r="CJ16" i="12"/>
  <c r="R147" i="12"/>
  <c r="CK16" i="12" s="1"/>
  <c r="R166" i="12"/>
  <c r="CQ21" i="12" s="1"/>
  <c r="R24" i="1"/>
  <c r="AI19" i="1" s="1"/>
  <c r="Z34" i="1" s="1"/>
  <c r="R65" i="1"/>
  <c r="BA18" i="1" s="1"/>
  <c r="AC33" i="1" s="1"/>
  <c r="R69" i="1"/>
  <c r="BA22" i="1" s="1"/>
  <c r="AC37" i="1" s="1"/>
  <c r="R79" i="1"/>
  <c r="BG18" i="1" s="1"/>
  <c r="AD33" i="1" s="1"/>
  <c r="R83" i="1"/>
  <c r="BG22" i="1" s="1"/>
  <c r="AD37" i="1" s="1"/>
  <c r="R90" i="1"/>
  <c r="BM15" i="1" s="1"/>
  <c r="AE30" i="1" s="1"/>
  <c r="R120" i="1"/>
  <c r="BY17" i="1" s="1"/>
  <c r="AG32" i="1" s="1"/>
  <c r="R135" i="1"/>
  <c r="CE18" i="1" s="1"/>
  <c r="AH33" i="1" s="1"/>
  <c r="R146" i="1"/>
  <c r="CK15" i="1" s="1"/>
  <c r="AI30" i="1" s="1"/>
  <c r="R8" i="2"/>
  <c r="AC17" i="2" s="1"/>
  <c r="Y32" i="2" s="1"/>
  <c r="R38" i="2"/>
  <c r="AO19" i="2" s="1"/>
  <c r="AA34" i="2" s="1"/>
  <c r="R40" i="2"/>
  <c r="AO21" i="2" s="1"/>
  <c r="AA36" i="2" s="1"/>
  <c r="R47" i="2"/>
  <c r="AU14" i="2" s="1"/>
  <c r="AB29" i="2" s="1"/>
  <c r="R62" i="2"/>
  <c r="BA15" i="2" s="1"/>
  <c r="AC30" i="2" s="1"/>
  <c r="R66" i="2"/>
  <c r="BA19" i="2" s="1"/>
  <c r="AC34" i="2" s="1"/>
  <c r="T105" i="2"/>
  <c r="BP16" i="2" s="1"/>
  <c r="R107" i="2"/>
  <c r="BS18" i="2" s="1"/>
  <c r="AF33" i="2" s="1"/>
  <c r="R118" i="2"/>
  <c r="BY15" i="2" s="1"/>
  <c r="AG30" i="2" s="1"/>
  <c r="R133" i="2"/>
  <c r="CE16" i="2" s="1"/>
  <c r="AH31" i="2" s="1"/>
  <c r="R7" i="1"/>
  <c r="AC16" i="1" s="1"/>
  <c r="Y31" i="1" s="1"/>
  <c r="R64" i="1"/>
  <c r="BA17" i="1" s="1"/>
  <c r="AC32" i="1" s="1"/>
  <c r="R89" i="1"/>
  <c r="BM14" i="1" s="1"/>
  <c r="AE29" i="1" s="1"/>
  <c r="R104" i="1"/>
  <c r="BS15" i="1" s="1"/>
  <c r="AF30" i="1" s="1"/>
  <c r="R119" i="1"/>
  <c r="BY16" i="1" s="1"/>
  <c r="AG31" i="1" s="1"/>
  <c r="R134" i="1"/>
  <c r="CE17" i="1" s="1"/>
  <c r="AH32" i="1" s="1"/>
  <c r="R149" i="1"/>
  <c r="CK18" i="1" s="1"/>
  <c r="AI33" i="1" s="1"/>
  <c r="R164" i="1"/>
  <c r="CQ19" i="1" s="1"/>
  <c r="AJ34" i="1" s="1"/>
  <c r="R69" i="2"/>
  <c r="BA22" i="2" s="1"/>
  <c r="AC37" i="2" s="1"/>
  <c r="R54" i="3"/>
  <c r="AU21" i="3" s="1"/>
  <c r="R65" i="3"/>
  <c r="BA18" i="3" s="1"/>
  <c r="AB19" i="5"/>
  <c r="R10" i="5"/>
  <c r="AC19" i="5" s="1"/>
  <c r="R21" i="5"/>
  <c r="AI16" i="5" s="1"/>
  <c r="AH20" i="5"/>
  <c r="R25" i="5"/>
  <c r="AI20" i="5" s="1"/>
  <c r="R49" i="5"/>
  <c r="AU16" i="5" s="1"/>
  <c r="R65" i="5"/>
  <c r="BA18" i="5" s="1"/>
  <c r="R80" i="5"/>
  <c r="BG19" i="5" s="1"/>
  <c r="R91" i="5"/>
  <c r="BM16" i="5" s="1"/>
  <c r="R106" i="5"/>
  <c r="BS17" i="5" s="1"/>
  <c r="R117" i="5"/>
  <c r="BY14" i="5" s="1"/>
  <c r="R121" i="5"/>
  <c r="BY18" i="5" s="1"/>
  <c r="R132" i="5"/>
  <c r="CE15" i="5" s="1"/>
  <c r="AT17" i="6"/>
  <c r="R50" i="6"/>
  <c r="AU17" i="6" s="1"/>
  <c r="AZ14" i="6"/>
  <c r="R61" i="6"/>
  <c r="BA14" i="6" s="1"/>
  <c r="R65" i="6"/>
  <c r="BA18" i="6" s="1"/>
  <c r="T112" i="6"/>
  <c r="U112" i="6"/>
  <c r="R117" i="6"/>
  <c r="BY14" i="6" s="1"/>
  <c r="T123" i="6"/>
  <c r="U123" i="6"/>
  <c r="R132" i="6"/>
  <c r="CE15" i="6" s="1"/>
  <c r="R19" i="7"/>
  <c r="AI14" i="7" s="1"/>
  <c r="R23" i="7"/>
  <c r="AI18" i="7" s="1"/>
  <c r="R34" i="7"/>
  <c r="AO15" i="7" s="1"/>
  <c r="T14" i="8"/>
  <c r="U14" i="8"/>
  <c r="AE19" i="8"/>
  <c r="T24" i="8"/>
  <c r="AF19" i="8" s="1"/>
  <c r="U24" i="8"/>
  <c r="AG19" i="8" s="1"/>
  <c r="AN18" i="8"/>
  <c r="R37" i="8"/>
  <c r="AO18" i="8" s="1"/>
  <c r="AQ17" i="8"/>
  <c r="U50" i="8"/>
  <c r="AS17" i="8" s="1"/>
  <c r="T50" i="8"/>
  <c r="AR17" i="8" s="1"/>
  <c r="AZ16" i="8"/>
  <c r="R63" i="8"/>
  <c r="BA16" i="8" s="1"/>
  <c r="BC15" i="8"/>
  <c r="U76" i="8"/>
  <c r="BE15" i="8" s="1"/>
  <c r="T76" i="8"/>
  <c r="BD15" i="8" s="1"/>
  <c r="BF17" i="8"/>
  <c r="R78" i="8"/>
  <c r="BG17" i="8" s="1"/>
  <c r="U80" i="8"/>
  <c r="T80" i="8"/>
  <c r="BL14" i="8"/>
  <c r="R89" i="8"/>
  <c r="BM14" i="8" s="1"/>
  <c r="BI16" i="8"/>
  <c r="T91" i="8"/>
  <c r="BJ16" i="8" s="1"/>
  <c r="U91" i="8"/>
  <c r="BK16" i="8" s="1"/>
  <c r="T95" i="8"/>
  <c r="U95" i="8"/>
  <c r="BR15" i="8"/>
  <c r="R104" i="8"/>
  <c r="BS15" i="8" s="1"/>
  <c r="U110" i="8"/>
  <c r="T110" i="8"/>
  <c r="BX16" i="8"/>
  <c r="R119" i="8"/>
  <c r="BY16" i="8" s="1"/>
  <c r="U121" i="8"/>
  <c r="T121" i="8"/>
  <c r="CD17" i="8"/>
  <c r="R134" i="8"/>
  <c r="CE17" i="8" s="1"/>
  <c r="R145" i="8"/>
  <c r="CK14" i="8" s="1"/>
  <c r="CJ18" i="8"/>
  <c r="R149" i="8"/>
  <c r="CK18" i="8" s="1"/>
  <c r="CP15" i="8"/>
  <c r="R160" i="8"/>
  <c r="CQ15" i="8" s="1"/>
  <c r="AB16" i="9"/>
  <c r="R7" i="9"/>
  <c r="AC16" i="9" s="1"/>
  <c r="AB20" i="9"/>
  <c r="R11" i="9"/>
  <c r="AC20" i="9" s="1"/>
  <c r="Y22" i="9"/>
  <c r="U13" i="9"/>
  <c r="AA22" i="9" s="1"/>
  <c r="T13" i="9"/>
  <c r="Z22" i="9" s="1"/>
  <c r="AE15" i="9"/>
  <c r="U20" i="9"/>
  <c r="AG15" i="9" s="1"/>
  <c r="T20" i="9"/>
  <c r="AF15" i="9" s="1"/>
  <c r="AH17" i="9"/>
  <c r="R22" i="9"/>
  <c r="AI17" i="9" s="1"/>
  <c r="AE19" i="9"/>
  <c r="U24" i="9"/>
  <c r="AG19" i="9" s="1"/>
  <c r="T24" i="9"/>
  <c r="AF19" i="9" s="1"/>
  <c r="AN14" i="9"/>
  <c r="R33" i="9"/>
  <c r="AO14" i="9" s="1"/>
  <c r="AN18" i="9"/>
  <c r="R37" i="9"/>
  <c r="AO18" i="9" s="1"/>
  <c r="AT15" i="9"/>
  <c r="R48" i="9"/>
  <c r="AU15" i="9" s="1"/>
  <c r="AT19" i="9"/>
  <c r="R52" i="9"/>
  <c r="AU19" i="9" s="1"/>
  <c r="AZ16" i="9"/>
  <c r="R63" i="9"/>
  <c r="BA16" i="9" s="1"/>
  <c r="BF17" i="9"/>
  <c r="R78" i="9"/>
  <c r="BG17" i="9" s="1"/>
  <c r="U80" i="9"/>
  <c r="T80" i="9"/>
  <c r="U84" i="9"/>
  <c r="T84" i="9"/>
  <c r="BL14" i="9"/>
  <c r="R89" i="9"/>
  <c r="BM14" i="9" s="1"/>
  <c r="BR15" i="9"/>
  <c r="R104" i="9"/>
  <c r="BS15" i="9" s="1"/>
  <c r="U106" i="9"/>
  <c r="T106" i="9"/>
  <c r="BU14" i="9"/>
  <c r="T117" i="9"/>
  <c r="BV14" i="9" s="1"/>
  <c r="U117" i="9"/>
  <c r="BW14" i="9" s="1"/>
  <c r="BX16" i="9"/>
  <c r="R119" i="9"/>
  <c r="BY16" i="9" s="1"/>
  <c r="CA15" i="9"/>
  <c r="U132" i="9"/>
  <c r="CC15" i="9" s="1"/>
  <c r="T132" i="9"/>
  <c r="CB15" i="9" s="1"/>
  <c r="CD17" i="9"/>
  <c r="R134" i="9"/>
  <c r="CE17" i="9" s="1"/>
  <c r="CJ14" i="9"/>
  <c r="R145" i="9"/>
  <c r="CK14" i="9" s="1"/>
  <c r="CJ18" i="9"/>
  <c r="R149" i="9"/>
  <c r="CK18" i="9" s="1"/>
  <c r="CP15" i="9"/>
  <c r="R160" i="9"/>
  <c r="CQ15" i="9" s="1"/>
  <c r="T165" i="9"/>
  <c r="U169" i="9"/>
  <c r="T169" i="9"/>
  <c r="AB15" i="10"/>
  <c r="R6" i="10"/>
  <c r="AC15" i="10" s="1"/>
  <c r="AB19" i="10"/>
  <c r="R10" i="10"/>
  <c r="AC19" i="10" s="1"/>
  <c r="AE14" i="10"/>
  <c r="U19" i="10"/>
  <c r="AG14" i="10" s="1"/>
  <c r="T19" i="10"/>
  <c r="AF14" i="10" s="1"/>
  <c r="AH16" i="10"/>
  <c r="R21" i="10"/>
  <c r="AI16" i="10" s="1"/>
  <c r="AH20" i="10"/>
  <c r="R25" i="10"/>
  <c r="AI20" i="10" s="1"/>
  <c r="AN17" i="10"/>
  <c r="R36" i="10"/>
  <c r="AO17" i="10" s="1"/>
  <c r="AK19" i="10"/>
  <c r="T38" i="10"/>
  <c r="AL19" i="10" s="1"/>
  <c r="U38" i="10"/>
  <c r="AM19" i="10" s="1"/>
  <c r="AT14" i="10"/>
  <c r="R47" i="10"/>
  <c r="AU14" i="10" s="1"/>
  <c r="T49" i="10"/>
  <c r="AR16" i="10" s="1"/>
  <c r="U49" i="10"/>
  <c r="AS16" i="10" s="1"/>
  <c r="AT18" i="10"/>
  <c r="R51" i="10"/>
  <c r="AU18" i="10" s="1"/>
  <c r="T53" i="10"/>
  <c r="U53" i="10"/>
  <c r="AZ15" i="10"/>
  <c r="R62" i="10"/>
  <c r="BA15" i="10" s="1"/>
  <c r="R77" i="10"/>
  <c r="BG16" i="10" s="1"/>
  <c r="R92" i="10"/>
  <c r="BM17" i="10" s="1"/>
  <c r="R103" i="10"/>
  <c r="BS14" i="10" s="1"/>
  <c r="R107" i="10"/>
  <c r="BS18" i="10" s="1"/>
  <c r="T109" i="10"/>
  <c r="U109" i="10"/>
  <c r="U113" i="10"/>
  <c r="T113" i="10"/>
  <c r="R118" i="10"/>
  <c r="BY15" i="10" s="1"/>
  <c r="R133" i="10"/>
  <c r="CE16" i="10" s="1"/>
  <c r="CA18" i="10"/>
  <c r="T135" i="10"/>
  <c r="CB18" i="10" s="1"/>
  <c r="U135" i="10"/>
  <c r="CC18" i="10" s="1"/>
  <c r="CG15" i="10"/>
  <c r="T146" i="10"/>
  <c r="CH15" i="10" s="1"/>
  <c r="U146" i="10"/>
  <c r="CI15" i="10" s="1"/>
  <c r="R148" i="10"/>
  <c r="CK17" i="10" s="1"/>
  <c r="R159" i="10"/>
  <c r="CQ14" i="10" s="1"/>
  <c r="R163" i="10"/>
  <c r="CQ18" i="10" s="1"/>
  <c r="T165" i="10"/>
  <c r="U165" i="10"/>
  <c r="T169" i="10"/>
  <c r="U169" i="10"/>
  <c r="AB17" i="11"/>
  <c r="R8" i="11"/>
  <c r="AC17" i="11" s="1"/>
  <c r="R12" i="11"/>
  <c r="AC21" i="11" s="1"/>
  <c r="R19" i="11"/>
  <c r="AI14" i="11" s="1"/>
  <c r="AH18" i="11"/>
  <c r="R23" i="11"/>
  <c r="AI18" i="11" s="1"/>
  <c r="AE20" i="11"/>
  <c r="T25" i="11"/>
  <c r="AF20" i="11" s="1"/>
  <c r="U25" i="11"/>
  <c r="AG20" i="11" s="1"/>
  <c r="AH22" i="11"/>
  <c r="R27" i="11"/>
  <c r="AI22" i="11" s="1"/>
  <c r="R34" i="11"/>
  <c r="AO15" i="11" s="1"/>
  <c r="R38" i="11"/>
  <c r="AO19" i="11" s="1"/>
  <c r="R42" i="11"/>
  <c r="AO23" i="11" s="1"/>
  <c r="AT16" i="11"/>
  <c r="R49" i="11"/>
  <c r="AU16" i="11" s="1"/>
  <c r="AQ18" i="11"/>
  <c r="U51" i="11"/>
  <c r="AS18" i="11" s="1"/>
  <c r="T51" i="11"/>
  <c r="AR18" i="11" s="1"/>
  <c r="AT20" i="11"/>
  <c r="R53" i="11"/>
  <c r="AU20" i="11" s="1"/>
  <c r="U55" i="11"/>
  <c r="AS22" i="11" s="1"/>
  <c r="AW15" i="11"/>
  <c r="T62" i="11"/>
  <c r="AX15" i="11" s="1"/>
  <c r="U62" i="11"/>
  <c r="AY15" i="11" s="1"/>
  <c r="R64" i="11"/>
  <c r="BA17" i="11" s="1"/>
  <c r="R68" i="11"/>
  <c r="BA21" i="11" s="1"/>
  <c r="T70" i="11"/>
  <c r="U70" i="11"/>
  <c r="BF14" i="11"/>
  <c r="R75" i="11"/>
  <c r="BG14" i="11" s="1"/>
  <c r="R79" i="11"/>
  <c r="BG18" i="11" s="1"/>
  <c r="R89" i="11"/>
  <c r="BM14" i="11" s="1"/>
  <c r="BI16" i="11"/>
  <c r="T91" i="11"/>
  <c r="BJ16" i="11" s="1"/>
  <c r="U91" i="11"/>
  <c r="BK16" i="11" s="1"/>
  <c r="BL18" i="11"/>
  <c r="R93" i="11"/>
  <c r="BM18" i="11" s="1"/>
  <c r="BI20" i="11"/>
  <c r="T95" i="11"/>
  <c r="BJ20" i="11" s="1"/>
  <c r="U95" i="11"/>
  <c r="BK20" i="11" s="1"/>
  <c r="T99" i="11"/>
  <c r="U99" i="11"/>
  <c r="Y14" i="12"/>
  <c r="U5" i="12"/>
  <c r="AA14" i="12" s="1"/>
  <c r="T5" i="12"/>
  <c r="Z14" i="12" s="1"/>
  <c r="R7" i="12"/>
  <c r="AC16" i="12" s="1"/>
  <c r="R11" i="12"/>
  <c r="AC20" i="12" s="1"/>
  <c r="Y22" i="12"/>
  <c r="U13" i="12"/>
  <c r="AA22" i="12" s="1"/>
  <c r="T13" i="12"/>
  <c r="Z22" i="12" s="1"/>
  <c r="AB24" i="12"/>
  <c r="R15" i="12"/>
  <c r="AC24" i="12" s="1"/>
  <c r="R22" i="12"/>
  <c r="AI17" i="12" s="1"/>
  <c r="AE19" i="12"/>
  <c r="T24" i="12"/>
  <c r="AF19" i="12" s="1"/>
  <c r="U24" i="12"/>
  <c r="AG19" i="12" s="1"/>
  <c r="AH21" i="12"/>
  <c r="R26" i="12"/>
  <c r="AI21" i="12" s="1"/>
  <c r="AE23" i="12"/>
  <c r="U28" i="12"/>
  <c r="AG23" i="12" s="1"/>
  <c r="T28" i="12"/>
  <c r="AF23" i="12" s="1"/>
  <c r="R33" i="12"/>
  <c r="AO14" i="12" s="1"/>
  <c r="AK16" i="12"/>
  <c r="T35" i="12"/>
  <c r="AL16" i="12" s="1"/>
  <c r="U35" i="12"/>
  <c r="AM16" i="12" s="1"/>
  <c r="R37" i="12"/>
  <c r="AO18" i="12" s="1"/>
  <c r="AK20" i="12"/>
  <c r="U39" i="12"/>
  <c r="AM20" i="12" s="1"/>
  <c r="T39" i="12"/>
  <c r="AL20" i="12" s="1"/>
  <c r="R41" i="12"/>
  <c r="AO22" i="12" s="1"/>
  <c r="R48" i="12"/>
  <c r="AU15" i="12" s="1"/>
  <c r="AQ17" i="12"/>
  <c r="U50" i="12"/>
  <c r="AS17" i="12" s="1"/>
  <c r="T50" i="12"/>
  <c r="AR17" i="12" s="1"/>
  <c r="R52" i="12"/>
  <c r="AU19" i="12" s="1"/>
  <c r="AQ21" i="12"/>
  <c r="T54" i="12"/>
  <c r="AR21" i="12" s="1"/>
  <c r="U54" i="12"/>
  <c r="AS21" i="12" s="1"/>
  <c r="R56" i="12"/>
  <c r="AU23" i="12" s="1"/>
  <c r="AW14" i="12"/>
  <c r="AZ16" i="12"/>
  <c r="R63" i="12"/>
  <c r="BA16" i="12" s="1"/>
  <c r="AW18" i="12"/>
  <c r="T65" i="12"/>
  <c r="AX18" i="12" s="1"/>
  <c r="U65" i="12"/>
  <c r="AY18" i="12" s="1"/>
  <c r="AZ20" i="12"/>
  <c r="R67" i="12"/>
  <c r="BA20" i="12" s="1"/>
  <c r="AW22" i="12"/>
  <c r="U69" i="12"/>
  <c r="AY22" i="12" s="1"/>
  <c r="T69" i="12"/>
  <c r="AX22" i="12" s="1"/>
  <c r="AZ24" i="12"/>
  <c r="R71" i="12"/>
  <c r="BA24" i="12" s="1"/>
  <c r="BC15" i="12"/>
  <c r="U76" i="12"/>
  <c r="BE15" i="12" s="1"/>
  <c r="T76" i="12"/>
  <c r="BD15" i="12" s="1"/>
  <c r="R78" i="12"/>
  <c r="BG17" i="12" s="1"/>
  <c r="BC19" i="12"/>
  <c r="U80" i="12"/>
  <c r="BE19" i="12" s="1"/>
  <c r="T80" i="12"/>
  <c r="BD19" i="12" s="1"/>
  <c r="R82" i="12"/>
  <c r="BG21" i="12" s="1"/>
  <c r="BC23" i="12"/>
  <c r="T84" i="12"/>
  <c r="BD23" i="12" s="1"/>
  <c r="U84" i="12"/>
  <c r="BE23" i="12" s="1"/>
  <c r="R89" i="12"/>
  <c r="BM14" i="12" s="1"/>
  <c r="U91" i="12"/>
  <c r="BK16" i="12" s="1"/>
  <c r="R93" i="12"/>
  <c r="BM18" i="12" s="1"/>
  <c r="BI20" i="12"/>
  <c r="T95" i="12"/>
  <c r="BJ20" i="12" s="1"/>
  <c r="U95" i="12"/>
  <c r="BK20" i="12" s="1"/>
  <c r="BL22" i="12"/>
  <c r="R97" i="12"/>
  <c r="BM22" i="12" s="1"/>
  <c r="R104" i="12"/>
  <c r="BS15" i="12" s="1"/>
  <c r="BO17" i="12"/>
  <c r="T106" i="12"/>
  <c r="BP17" i="12" s="1"/>
  <c r="U106" i="12"/>
  <c r="BQ17" i="12" s="1"/>
  <c r="R108" i="12"/>
  <c r="BS19" i="12" s="1"/>
  <c r="BO21" i="12"/>
  <c r="U110" i="12"/>
  <c r="BQ21" i="12" s="1"/>
  <c r="T110" i="12"/>
  <c r="BP21" i="12" s="1"/>
  <c r="R112" i="12"/>
  <c r="BS23" i="12" s="1"/>
  <c r="BU14" i="12"/>
  <c r="T117" i="12"/>
  <c r="BV14" i="12" s="1"/>
  <c r="U117" i="12"/>
  <c r="BW14" i="12" s="1"/>
  <c r="R119" i="12"/>
  <c r="BY16" i="12" s="1"/>
  <c r="BU18" i="12"/>
  <c r="T121" i="12"/>
  <c r="BV18" i="12" s="1"/>
  <c r="U121" i="12"/>
  <c r="BW18" i="12" s="1"/>
  <c r="R123" i="12"/>
  <c r="BY20" i="12" s="1"/>
  <c r="BU22" i="12"/>
  <c r="T125" i="12"/>
  <c r="BV22" i="12" s="1"/>
  <c r="U125" i="12"/>
  <c r="BW22" i="12" s="1"/>
  <c r="R127" i="12"/>
  <c r="BY24" i="12" s="1"/>
  <c r="CA15" i="12"/>
  <c r="U132" i="12"/>
  <c r="CC15" i="12" s="1"/>
  <c r="T132" i="12"/>
  <c r="CB15" i="12" s="1"/>
  <c r="R134" i="12"/>
  <c r="CE17" i="12" s="1"/>
  <c r="CA19" i="12"/>
  <c r="U136" i="12"/>
  <c r="CC19" i="12" s="1"/>
  <c r="T136" i="12"/>
  <c r="CB19" i="12" s="1"/>
  <c r="R138" i="12"/>
  <c r="CE21" i="12" s="1"/>
  <c r="U140" i="12"/>
  <c r="CC23" i="12" s="1"/>
  <c r="R145" i="12"/>
  <c r="CK14" i="12" s="1"/>
  <c r="CG16" i="12"/>
  <c r="U147" i="12"/>
  <c r="CI16" i="12" s="1"/>
  <c r="T147" i="12"/>
  <c r="CH16" i="12" s="1"/>
  <c r="R149" i="12"/>
  <c r="CK18" i="12" s="1"/>
  <c r="CG20" i="12"/>
  <c r="U151" i="12"/>
  <c r="CI20" i="12" s="1"/>
  <c r="T151" i="12"/>
  <c r="CH20" i="12" s="1"/>
  <c r="R153" i="12"/>
  <c r="CK22" i="12" s="1"/>
  <c r="CG24" i="12"/>
  <c r="U155" i="12"/>
  <c r="CI24" i="12" s="1"/>
  <c r="T155" i="12"/>
  <c r="CH24" i="12" s="1"/>
  <c r="R160" i="12"/>
  <c r="CQ15" i="12" s="1"/>
  <c r="CM17" i="12"/>
  <c r="T162" i="12"/>
  <c r="CN17" i="12" s="1"/>
  <c r="U162" i="12"/>
  <c r="CO17" i="12" s="1"/>
  <c r="R164" i="12"/>
  <c r="CQ19" i="12" s="1"/>
  <c r="R168" i="12"/>
  <c r="CQ23" i="12" s="1"/>
  <c r="R13" i="1"/>
  <c r="AC22" i="1" s="1"/>
  <c r="Y37" i="1" s="1"/>
  <c r="R21" i="1"/>
  <c r="AI16" i="1" s="1"/>
  <c r="Z31" i="1" s="1"/>
  <c r="R25" i="1"/>
  <c r="AI20" i="1" s="1"/>
  <c r="Z35" i="1" s="1"/>
  <c r="R29" i="1"/>
  <c r="AI24" i="1" s="1"/>
  <c r="Z39" i="1" s="1"/>
  <c r="R40" i="1"/>
  <c r="AO21" i="1" s="1"/>
  <c r="AA36" i="1" s="1"/>
  <c r="R51" i="1"/>
  <c r="AU18" i="1" s="1"/>
  <c r="AB33" i="1" s="1"/>
  <c r="R55" i="1"/>
  <c r="AU22" i="1" s="1"/>
  <c r="AB37" i="1" s="1"/>
  <c r="R66" i="1"/>
  <c r="BA19" i="1" s="1"/>
  <c r="AC34" i="1" s="1"/>
  <c r="R76" i="1"/>
  <c r="BG15" i="1" s="1"/>
  <c r="AD30" i="1" s="1"/>
  <c r="R91" i="1"/>
  <c r="BM16" i="1" s="1"/>
  <c r="AE31" i="1" s="1"/>
  <c r="R95" i="1"/>
  <c r="BM20" i="1" s="1"/>
  <c r="AE35" i="1" s="1"/>
  <c r="R106" i="1"/>
  <c r="BS17" i="1" s="1"/>
  <c r="AF32" i="1" s="1"/>
  <c r="R110" i="1"/>
  <c r="BS21" i="1" s="1"/>
  <c r="AF36" i="1" s="1"/>
  <c r="R125" i="1"/>
  <c r="BY22" i="1" s="1"/>
  <c r="AG37" i="1" s="1"/>
  <c r="R140" i="1"/>
  <c r="CE23" i="1" s="1"/>
  <c r="AH38" i="1" s="1"/>
  <c r="R147" i="1"/>
  <c r="CK16" i="1" s="1"/>
  <c r="AI31" i="1" s="1"/>
  <c r="R151" i="1"/>
  <c r="CK20" i="1" s="1"/>
  <c r="AI35" i="1" s="1"/>
  <c r="R13" i="2"/>
  <c r="AC22" i="2" s="1"/>
  <c r="Y37" i="2" s="1"/>
  <c r="R20" i="2"/>
  <c r="AI15" i="2" s="1"/>
  <c r="Z30" i="2" s="1"/>
  <c r="R35" i="2"/>
  <c r="AO16" i="2" s="1"/>
  <c r="AA31" i="2" s="1"/>
  <c r="R41" i="2"/>
  <c r="AO22" i="2" s="1"/>
  <c r="AA37" i="2" s="1"/>
  <c r="R48" i="2"/>
  <c r="AU15" i="2" s="1"/>
  <c r="AB30" i="2" s="1"/>
  <c r="R52" i="2"/>
  <c r="AU19" i="2" s="1"/>
  <c r="AB34" i="2" s="1"/>
  <c r="R63" i="2"/>
  <c r="BA16" i="2" s="1"/>
  <c r="AC31" i="2" s="1"/>
  <c r="R67" i="2"/>
  <c r="BA20" i="2" s="1"/>
  <c r="AC35" i="2" s="1"/>
  <c r="R78" i="2"/>
  <c r="BG17" i="2" s="1"/>
  <c r="AD32" i="2" s="1"/>
  <c r="R82" i="2"/>
  <c r="BG21" i="2" s="1"/>
  <c r="AD36" i="2" s="1"/>
  <c r="R89" i="2"/>
  <c r="BM14" i="2" s="1"/>
  <c r="AE29" i="2" s="1"/>
  <c r="R93" i="2"/>
  <c r="BM18" i="2" s="1"/>
  <c r="AE33" i="2" s="1"/>
  <c r="R104" i="2"/>
  <c r="BS15" i="2" s="1"/>
  <c r="AF30" i="2" s="1"/>
  <c r="R108" i="2"/>
  <c r="BS19" i="2" s="1"/>
  <c r="AF34" i="2" s="1"/>
  <c r="R123" i="2"/>
  <c r="BY20" i="2" s="1"/>
  <c r="AG35" i="2" s="1"/>
  <c r="R134" i="2"/>
  <c r="CE17" i="2" s="1"/>
  <c r="AH32" i="2" s="1"/>
  <c r="R149" i="2"/>
  <c r="CK18" i="2" s="1"/>
  <c r="AI33" i="2" s="1"/>
  <c r="R164" i="2"/>
  <c r="CQ19" i="2" s="1"/>
  <c r="AJ34" i="2" s="1"/>
  <c r="R22" i="3"/>
  <c r="AI17" i="3" s="1"/>
  <c r="R26" i="3"/>
  <c r="AI21" i="3" s="1"/>
  <c r="R41" i="3"/>
  <c r="AO22" i="3" s="1"/>
  <c r="R48" i="3"/>
  <c r="AU15" i="3" s="1"/>
  <c r="R52" i="3"/>
  <c r="AU19" i="3" s="1"/>
  <c r="R63" i="3"/>
  <c r="BA16" i="3" s="1"/>
  <c r="R67" i="3"/>
  <c r="BA20" i="3" s="1"/>
  <c r="R78" i="3"/>
  <c r="BG17" i="3" s="1"/>
  <c r="R89" i="3"/>
  <c r="BM14" i="3" s="1"/>
  <c r="R93" i="3"/>
  <c r="BM18" i="3" s="1"/>
  <c r="R104" i="3"/>
  <c r="BS15" i="3" s="1"/>
  <c r="R108" i="3"/>
  <c r="BS19" i="3" s="1"/>
  <c r="R134" i="3"/>
  <c r="CE17" i="3" s="1"/>
  <c r="R145" i="3"/>
  <c r="CK14" i="3" s="1"/>
  <c r="R149" i="3"/>
  <c r="CK18" i="3" s="1"/>
  <c r="R7" i="5"/>
  <c r="AC16" i="5" s="1"/>
  <c r="R12" i="5"/>
  <c r="AC21" i="5" s="1"/>
  <c r="AE20" i="5"/>
  <c r="U25" i="5"/>
  <c r="AG20" i="5" s="1"/>
  <c r="T25" i="5"/>
  <c r="AF20" i="5" s="1"/>
  <c r="AK17" i="5"/>
  <c r="T36" i="5"/>
  <c r="AL17" i="5" s="1"/>
  <c r="U36" i="5"/>
  <c r="AM17" i="5" s="1"/>
  <c r="R38" i="5"/>
  <c r="AO19" i="5" s="1"/>
  <c r="AN21" i="5"/>
  <c r="R40" i="5"/>
  <c r="AO21" i="5" s="1"/>
  <c r="R47" i="5"/>
  <c r="AU14" i="5" s="1"/>
  <c r="R51" i="5"/>
  <c r="AU18" i="5" s="1"/>
  <c r="R78" i="5"/>
  <c r="BG17" i="5" s="1"/>
  <c r="R93" i="5"/>
  <c r="BM18" i="5" s="1"/>
  <c r="R104" i="5"/>
  <c r="BS15" i="5" s="1"/>
  <c r="R108" i="5"/>
  <c r="BS19" i="5" s="1"/>
  <c r="R119" i="5"/>
  <c r="BY16" i="5" s="1"/>
  <c r="R134" i="5"/>
  <c r="CE17" i="5" s="1"/>
  <c r="R145" i="5"/>
  <c r="CK14" i="5" s="1"/>
  <c r="R7" i="6"/>
  <c r="AC16" i="6" s="1"/>
  <c r="R11" i="6"/>
  <c r="AC20" i="6" s="1"/>
  <c r="R22" i="6"/>
  <c r="AI17" i="6" s="1"/>
  <c r="U27" i="6"/>
  <c r="T27" i="6"/>
  <c r="AK16" i="6"/>
  <c r="U35" i="6"/>
  <c r="AM16" i="6" s="1"/>
  <c r="T35" i="6"/>
  <c r="AL16" i="6" s="1"/>
  <c r="T43" i="6"/>
  <c r="U43" i="6"/>
  <c r="R48" i="6"/>
  <c r="AU15" i="6" s="1"/>
  <c r="U54" i="6"/>
  <c r="T54" i="6"/>
  <c r="R63" i="6"/>
  <c r="BA16" i="6" s="1"/>
  <c r="R78" i="6"/>
  <c r="BG17" i="6" s="1"/>
  <c r="BL14" i="6"/>
  <c r="R89" i="6"/>
  <c r="BM14" i="6" s="1"/>
  <c r="R93" i="6"/>
  <c r="BM18" i="6" s="1"/>
  <c r="R104" i="6"/>
  <c r="BS15" i="6" s="1"/>
  <c r="BX16" i="6"/>
  <c r="R119" i="6"/>
  <c r="BY16" i="6" s="1"/>
  <c r="CD17" i="6"/>
  <c r="R134" i="6"/>
  <c r="CE17" i="6" s="1"/>
  <c r="R149" i="6"/>
  <c r="CK18" i="6" s="1"/>
  <c r="R6" i="7"/>
  <c r="AC15" i="7" s="1"/>
  <c r="R10" i="7"/>
  <c r="AC19" i="7" s="1"/>
  <c r="R21" i="7"/>
  <c r="AI16" i="7" s="1"/>
  <c r="R36" i="7"/>
  <c r="AO17" i="7" s="1"/>
  <c r="R47" i="7"/>
  <c r="AU14" i="7" s="1"/>
  <c r="R51" i="7"/>
  <c r="AU18" i="7" s="1"/>
  <c r="R62" i="7"/>
  <c r="BA15" i="7" s="1"/>
  <c r="R77" i="7"/>
  <c r="BG16" i="7" s="1"/>
  <c r="R92" i="7"/>
  <c r="BM17" i="7" s="1"/>
  <c r="R103" i="7"/>
  <c r="BS14" i="7" s="1"/>
  <c r="R133" i="7"/>
  <c r="CE16" i="7" s="1"/>
  <c r="R148" i="7"/>
  <c r="CK17" i="7" s="1"/>
  <c r="R6" i="8"/>
  <c r="AC15" i="8" s="1"/>
  <c r="R10" i="8"/>
  <c r="AC19" i="8" s="1"/>
  <c r="U26" i="8"/>
  <c r="T26" i="8"/>
  <c r="AK14" i="8"/>
  <c r="U33" i="8"/>
  <c r="AM14" i="8" s="1"/>
  <c r="T33" i="8"/>
  <c r="AL14" i="8" s="1"/>
  <c r="R35" i="8"/>
  <c r="AO16" i="8" s="1"/>
  <c r="T52" i="8"/>
  <c r="U52" i="8"/>
  <c r="T56" i="8"/>
  <c r="U56" i="8"/>
  <c r="R61" i="8"/>
  <c r="BA14" i="8" s="1"/>
  <c r="T67" i="8"/>
  <c r="U67" i="8"/>
  <c r="BF15" i="8"/>
  <c r="R76" i="8"/>
  <c r="BG15" i="8" s="1"/>
  <c r="T82" i="8"/>
  <c r="U82" i="8"/>
  <c r="U97" i="8"/>
  <c r="T97" i="8"/>
  <c r="BO15" i="8"/>
  <c r="T104" i="8"/>
  <c r="BP15" i="8" s="1"/>
  <c r="U104" i="8"/>
  <c r="BQ15" i="8" s="1"/>
  <c r="U112" i="8"/>
  <c r="T112" i="8"/>
  <c r="R117" i="8"/>
  <c r="BY14" i="8" s="1"/>
  <c r="U123" i="8"/>
  <c r="T123" i="8"/>
  <c r="CA17" i="8"/>
  <c r="U134" i="8"/>
  <c r="CC17" i="8" s="1"/>
  <c r="T134" i="8"/>
  <c r="CB17" i="8" s="1"/>
  <c r="CG18" i="8"/>
  <c r="T149" i="8"/>
  <c r="CH18" i="8" s="1"/>
  <c r="U149" i="8"/>
  <c r="CI18" i="8" s="1"/>
  <c r="CM15" i="8"/>
  <c r="U160" i="8"/>
  <c r="CO15" i="8" s="1"/>
  <c r="T160" i="8"/>
  <c r="CN15" i="8" s="1"/>
  <c r="T168" i="8"/>
  <c r="U168" i="8"/>
  <c r="Y16" i="9"/>
  <c r="T7" i="9"/>
  <c r="Z16" i="9" s="1"/>
  <c r="U7" i="9"/>
  <c r="AA16" i="9" s="1"/>
  <c r="R9" i="9"/>
  <c r="AC18" i="9" s="1"/>
  <c r="T15" i="9"/>
  <c r="U15" i="9"/>
  <c r="AH15" i="9"/>
  <c r="R20" i="9"/>
  <c r="AI15" i="9" s="1"/>
  <c r="AK14" i="9"/>
  <c r="T33" i="9"/>
  <c r="AL14" i="9" s="1"/>
  <c r="U33" i="9"/>
  <c r="AM14" i="9" s="1"/>
  <c r="AK18" i="9"/>
  <c r="U37" i="9"/>
  <c r="AM18" i="9" s="1"/>
  <c r="T37" i="9"/>
  <c r="AL18" i="9" s="1"/>
  <c r="AQ15" i="9"/>
  <c r="T48" i="9"/>
  <c r="AR15" i="9" s="1"/>
  <c r="U48" i="9"/>
  <c r="AS15" i="9" s="1"/>
  <c r="R50" i="9"/>
  <c r="AU17" i="9" s="1"/>
  <c r="AW16" i="9"/>
  <c r="U63" i="9"/>
  <c r="AY16" i="9" s="1"/>
  <c r="T63" i="9"/>
  <c r="AX16" i="9" s="1"/>
  <c r="T71" i="9"/>
  <c r="U71" i="9"/>
  <c r="BC17" i="9"/>
  <c r="U78" i="9"/>
  <c r="BE17" i="9" s="1"/>
  <c r="T78" i="9"/>
  <c r="BD17" i="9" s="1"/>
  <c r="BI14" i="9"/>
  <c r="U89" i="9"/>
  <c r="BK14" i="9" s="1"/>
  <c r="T89" i="9"/>
  <c r="BJ14" i="9" s="1"/>
  <c r="R91" i="9"/>
  <c r="BM16" i="9" s="1"/>
  <c r="BO15" i="9"/>
  <c r="T104" i="9"/>
  <c r="BP15" i="9" s="1"/>
  <c r="U104" i="9"/>
  <c r="BQ15" i="9" s="1"/>
  <c r="U108" i="9"/>
  <c r="T108" i="9"/>
  <c r="T123" i="9"/>
  <c r="U123" i="9"/>
  <c r="U127" i="9"/>
  <c r="T127" i="9"/>
  <c r="CD15" i="9"/>
  <c r="R132" i="9"/>
  <c r="CE15" i="9" s="1"/>
  <c r="CG18" i="9"/>
  <c r="T149" i="9"/>
  <c r="CH18" i="9" s="1"/>
  <c r="U149" i="9"/>
  <c r="CI18" i="9" s="1"/>
  <c r="U153" i="9"/>
  <c r="T153" i="9"/>
  <c r="Y15" i="10"/>
  <c r="U6" i="10"/>
  <c r="AA15" i="10" s="1"/>
  <c r="T6" i="10"/>
  <c r="Z15" i="10" s="1"/>
  <c r="R8" i="10"/>
  <c r="AC17" i="10" s="1"/>
  <c r="U14" i="10"/>
  <c r="T14" i="10"/>
  <c r="AH14" i="10"/>
  <c r="R19" i="10"/>
  <c r="AI14" i="10" s="1"/>
  <c r="AE20" i="10"/>
  <c r="U25" i="10"/>
  <c r="AG20" i="10" s="1"/>
  <c r="T25" i="10"/>
  <c r="AF20" i="10" s="1"/>
  <c r="AK17" i="10"/>
  <c r="T36" i="10"/>
  <c r="AL17" i="10" s="1"/>
  <c r="U36" i="10"/>
  <c r="AM17" i="10" s="1"/>
  <c r="AN19" i="10"/>
  <c r="R38" i="10"/>
  <c r="AO19" i="10" s="1"/>
  <c r="AQ14" i="10"/>
  <c r="T47" i="10"/>
  <c r="AR14" i="10" s="1"/>
  <c r="U47" i="10"/>
  <c r="AS14" i="10" s="1"/>
  <c r="R49" i="10"/>
  <c r="AU16" i="10" s="1"/>
  <c r="T55" i="10"/>
  <c r="U55" i="10"/>
  <c r="R64" i="10"/>
  <c r="BA17" i="10" s="1"/>
  <c r="R75" i="10"/>
  <c r="BG14" i="10" s="1"/>
  <c r="R79" i="10"/>
  <c r="BG18" i="10" s="1"/>
  <c r="R90" i="10"/>
  <c r="BM15" i="10" s="1"/>
  <c r="R105" i="10"/>
  <c r="BS16" i="10" s="1"/>
  <c r="R120" i="10"/>
  <c r="BY17" i="10" s="1"/>
  <c r="CD18" i="10"/>
  <c r="R135" i="10"/>
  <c r="CE18" i="10" s="1"/>
  <c r="R6" i="11"/>
  <c r="AC15" i="11" s="1"/>
  <c r="R14" i="11"/>
  <c r="AC23" i="11" s="1"/>
  <c r="AE18" i="11"/>
  <c r="T23" i="11"/>
  <c r="AF18" i="11" s="1"/>
  <c r="U23" i="11"/>
  <c r="AG18" i="11" s="1"/>
  <c r="AH20" i="11"/>
  <c r="R25" i="11"/>
  <c r="AI20" i="11" s="1"/>
  <c r="R29" i="11"/>
  <c r="AI24" i="11" s="1"/>
  <c r="R36" i="11"/>
  <c r="AO17" i="11" s="1"/>
  <c r="R40" i="11"/>
  <c r="AO21" i="11" s="1"/>
  <c r="R47" i="11"/>
  <c r="AU14" i="11" s="1"/>
  <c r="T57" i="11"/>
  <c r="U57" i="11"/>
  <c r="R66" i="11"/>
  <c r="BA19" i="11" s="1"/>
  <c r="T83" i="11"/>
  <c r="U83" i="11"/>
  <c r="T97" i="11"/>
  <c r="U97" i="11"/>
  <c r="Y24" i="12"/>
  <c r="U15" i="12"/>
  <c r="AA24" i="12" s="1"/>
  <c r="T15" i="12"/>
  <c r="Z24" i="12" s="1"/>
  <c r="AE21" i="12"/>
  <c r="T26" i="12"/>
  <c r="AF21" i="12" s="1"/>
  <c r="U26" i="12"/>
  <c r="AG21" i="12" s="1"/>
  <c r="AN16" i="12"/>
  <c r="R35" i="12"/>
  <c r="AO16" i="12" s="1"/>
  <c r="AN20" i="12"/>
  <c r="R39" i="12"/>
  <c r="AO20" i="12" s="1"/>
  <c r="AT17" i="12"/>
  <c r="R50" i="12"/>
  <c r="AU17" i="12" s="1"/>
  <c r="AZ14" i="12"/>
  <c r="R61" i="12"/>
  <c r="BA14" i="12" s="1"/>
  <c r="AW24" i="12"/>
  <c r="U71" i="12"/>
  <c r="AY24" i="12" s="1"/>
  <c r="T71" i="12"/>
  <c r="AX24" i="12" s="1"/>
  <c r="BF23" i="12"/>
  <c r="R84" i="12"/>
  <c r="BG23" i="12" s="1"/>
  <c r="BI22" i="12"/>
  <c r="U97" i="12"/>
  <c r="BK22" i="12" s="1"/>
  <c r="T97" i="12"/>
  <c r="BJ22" i="12" s="1"/>
  <c r="BU16" i="12"/>
  <c r="BX18" i="12"/>
  <c r="R121" i="12"/>
  <c r="BY18" i="12" s="1"/>
  <c r="BX22" i="12"/>
  <c r="R125" i="12"/>
  <c r="BY22" i="12" s="1"/>
  <c r="R140" i="12"/>
  <c r="CE23" i="12" s="1"/>
  <c r="CJ20" i="12"/>
  <c r="R151" i="12"/>
  <c r="CK20" i="12" s="1"/>
  <c r="CJ24" i="12"/>
  <c r="R155" i="12"/>
  <c r="CK24" i="12" s="1"/>
  <c r="CP17" i="12"/>
  <c r="R162" i="12"/>
  <c r="CQ17" i="12" s="1"/>
  <c r="R5" i="1"/>
  <c r="AC14" i="1" s="1"/>
  <c r="Y29" i="1" s="1"/>
  <c r="AB14" i="1"/>
  <c r="R8" i="1"/>
  <c r="AC17" i="1" s="1"/>
  <c r="Y32" i="1" s="1"/>
  <c r="R20" i="1"/>
  <c r="AI15" i="1" s="1"/>
  <c r="Z30" i="1" s="1"/>
  <c r="R28" i="1"/>
  <c r="AI23" i="1" s="1"/>
  <c r="Z38" i="1" s="1"/>
  <c r="R39" i="1"/>
  <c r="AO20" i="1" s="1"/>
  <c r="AA35" i="1" s="1"/>
  <c r="R43" i="1"/>
  <c r="AO24" i="1" s="1"/>
  <c r="AA39" i="1" s="1"/>
  <c r="R50" i="1"/>
  <c r="AU17" i="1" s="1"/>
  <c r="AB32" i="1" s="1"/>
  <c r="R61" i="1"/>
  <c r="BA14" i="1" s="1"/>
  <c r="AC29" i="1" s="1"/>
  <c r="R75" i="1"/>
  <c r="BG14" i="1" s="1"/>
  <c r="AD29" i="1" s="1"/>
  <c r="R94" i="1"/>
  <c r="BM19" i="1" s="1"/>
  <c r="AE34" i="1" s="1"/>
  <c r="R98" i="1"/>
  <c r="BM23" i="1" s="1"/>
  <c r="AE38" i="1" s="1"/>
  <c r="R105" i="1"/>
  <c r="BS16" i="1" s="1"/>
  <c r="AF31" i="1" s="1"/>
  <c r="R109" i="1"/>
  <c r="BS20" i="1" s="1"/>
  <c r="AF35" i="1" s="1"/>
  <c r="R131" i="1"/>
  <c r="CE14" i="1" s="1"/>
  <c r="AH29" i="1" s="1"/>
  <c r="R139" i="1"/>
  <c r="CE22" i="1" s="1"/>
  <c r="AH37" i="1" s="1"/>
  <c r="R150" i="1"/>
  <c r="CK19" i="1" s="1"/>
  <c r="AI34" i="1" s="1"/>
  <c r="R161" i="1"/>
  <c r="CQ16" i="1" s="1"/>
  <c r="AJ31" i="1" s="1"/>
  <c r="R165" i="1"/>
  <c r="CQ20" i="1" s="1"/>
  <c r="AJ35" i="1" s="1"/>
  <c r="R19" i="2"/>
  <c r="AI14" i="2" s="1"/>
  <c r="Z29" i="2" s="1"/>
  <c r="R23" i="2"/>
  <c r="AI18" i="2" s="1"/>
  <c r="Z33" i="2" s="1"/>
  <c r="R27" i="2"/>
  <c r="AI22" i="2" s="1"/>
  <c r="Z37" i="2" s="1"/>
  <c r="R34" i="2"/>
  <c r="AO15" i="2" s="1"/>
  <c r="AA30" i="2" s="1"/>
  <c r="AK23" i="2"/>
  <c r="T42" i="2"/>
  <c r="AL23" i="2" s="1"/>
  <c r="U42" i="2"/>
  <c r="AM23" i="2" s="1"/>
  <c r="AQ20" i="2"/>
  <c r="U53" i="2"/>
  <c r="AS20" i="2" s="1"/>
  <c r="T53" i="2"/>
  <c r="AR20" i="2" s="1"/>
  <c r="R55" i="2"/>
  <c r="AU22" i="2" s="1"/>
  <c r="AB37" i="2" s="1"/>
  <c r="BC14" i="2"/>
  <c r="U75" i="2"/>
  <c r="BE14" i="2" s="1"/>
  <c r="T75" i="2"/>
  <c r="BD14" i="2" s="1"/>
  <c r="R77" i="2"/>
  <c r="BG16" i="2" s="1"/>
  <c r="AD31" i="2" s="1"/>
  <c r="R81" i="2"/>
  <c r="BG20" i="2" s="1"/>
  <c r="AD35" i="2" s="1"/>
  <c r="R92" i="2"/>
  <c r="BM17" i="2" s="1"/>
  <c r="AE32" i="2" s="1"/>
  <c r="R96" i="2"/>
  <c r="BM21" i="2" s="1"/>
  <c r="AE36" i="2" s="1"/>
  <c r="R103" i="2"/>
  <c r="BS14" i="2" s="1"/>
  <c r="AF29" i="2" s="1"/>
  <c r="BO20" i="2"/>
  <c r="U109" i="2"/>
  <c r="BQ20" i="2" s="1"/>
  <c r="T109" i="2"/>
  <c r="BP20" i="2" s="1"/>
  <c r="R122" i="2"/>
  <c r="BY19" i="2" s="1"/>
  <c r="AG34" i="2" s="1"/>
  <c r="R15" i="1"/>
  <c r="AC24" i="1" s="1"/>
  <c r="Y39" i="1" s="1"/>
  <c r="R11" i="1"/>
  <c r="AC20" i="1" s="1"/>
  <c r="Y35" i="1" s="1"/>
  <c r="R19" i="1"/>
  <c r="AI14" i="1" s="1"/>
  <c r="Z29" i="1" s="1"/>
  <c r="R23" i="1"/>
  <c r="AI18" i="1" s="1"/>
  <c r="Z33" i="1" s="1"/>
  <c r="R27" i="1"/>
  <c r="AI22" i="1" s="1"/>
  <c r="Z37" i="1" s="1"/>
  <c r="R34" i="1"/>
  <c r="AO15" i="1" s="1"/>
  <c r="AA30" i="1" s="1"/>
  <c r="R38" i="1"/>
  <c r="AO19" i="1" s="1"/>
  <c r="AA34" i="1" s="1"/>
  <c r="R42" i="1"/>
  <c r="AO23" i="1" s="1"/>
  <c r="AA38" i="1" s="1"/>
  <c r="R49" i="1"/>
  <c r="AU16" i="1" s="1"/>
  <c r="AB31" i="1" s="1"/>
  <c r="R53" i="1"/>
  <c r="AU20" i="1" s="1"/>
  <c r="AB35" i="1" s="1"/>
  <c r="R68" i="1"/>
  <c r="BA21" i="1" s="1"/>
  <c r="AC36" i="1" s="1"/>
  <c r="R78" i="1"/>
  <c r="BG17" i="1" s="1"/>
  <c r="AD32" i="1" s="1"/>
  <c r="R82" i="1"/>
  <c r="BG21" i="1" s="1"/>
  <c r="AD36" i="1" s="1"/>
  <c r="R93" i="1"/>
  <c r="BM18" i="1" s="1"/>
  <c r="AE33" i="1" s="1"/>
  <c r="R97" i="1"/>
  <c r="BM22" i="1" s="1"/>
  <c r="AE37" i="1" s="1"/>
  <c r="R108" i="1"/>
  <c r="BS19" i="1" s="1"/>
  <c r="AF34" i="1" s="1"/>
  <c r="R112" i="1"/>
  <c r="BS23" i="1" s="1"/>
  <c r="AF38" i="1" s="1"/>
  <c r="R123" i="1"/>
  <c r="BY20" i="1" s="1"/>
  <c r="AG35" i="1" s="1"/>
  <c r="R138" i="1"/>
  <c r="CE21" i="1" s="1"/>
  <c r="AH36" i="1" s="1"/>
  <c r="R145" i="1"/>
  <c r="CK14" i="1" s="1"/>
  <c r="AI29" i="1" s="1"/>
  <c r="R153" i="1"/>
  <c r="CK22" i="1" s="1"/>
  <c r="AI37" i="1" s="1"/>
  <c r="R160" i="1"/>
  <c r="CQ15" i="1" s="1"/>
  <c r="AJ30" i="1" s="1"/>
  <c r="R7" i="2"/>
  <c r="AC16" i="2" s="1"/>
  <c r="Y31" i="2" s="1"/>
  <c r="R11" i="2"/>
  <c r="AC20" i="2" s="1"/>
  <c r="Y35" i="2" s="1"/>
  <c r="R22" i="2"/>
  <c r="AI17" i="2" s="1"/>
  <c r="Z32" i="2" s="1"/>
  <c r="R26" i="2"/>
  <c r="AI21" i="2" s="1"/>
  <c r="Z36" i="2" s="1"/>
  <c r="R33" i="2"/>
  <c r="AO14" i="2" s="1"/>
  <c r="AA29" i="2" s="1"/>
  <c r="R37" i="2"/>
  <c r="AO18" i="2" s="1"/>
  <c r="AA33" i="2" s="1"/>
  <c r="R50" i="2"/>
  <c r="AU17" i="2" s="1"/>
  <c r="AB32" i="2" s="1"/>
  <c r="R54" i="2"/>
  <c r="AU21" i="2" s="1"/>
  <c r="AB36" i="2" s="1"/>
  <c r="R61" i="2"/>
  <c r="BA14" i="2" s="1"/>
  <c r="AC29" i="2" s="1"/>
  <c r="R65" i="2"/>
  <c r="BA18" i="2" s="1"/>
  <c r="AC33" i="2" s="1"/>
  <c r="R76" i="2"/>
  <c r="BG15" i="2" s="1"/>
  <c r="AD30" i="2" s="1"/>
  <c r="R80" i="2"/>
  <c r="BG19" i="2" s="1"/>
  <c r="AD34" i="2" s="1"/>
  <c r="R91" i="2"/>
  <c r="BM16" i="2" s="1"/>
  <c r="AE31" i="2" s="1"/>
  <c r="R95" i="2"/>
  <c r="BM20" i="2" s="1"/>
  <c r="AE35" i="2" s="1"/>
  <c r="R106" i="2"/>
  <c r="BS17" i="2" s="1"/>
  <c r="AF32" i="2" s="1"/>
  <c r="R110" i="2"/>
  <c r="BS21" i="2" s="1"/>
  <c r="AF36" i="2" s="1"/>
  <c r="R117" i="2"/>
  <c r="BY14" i="2" s="1"/>
  <c r="AG29" i="2" s="1"/>
  <c r="R121" i="2"/>
  <c r="BY18" i="2" s="1"/>
  <c r="AG33" i="2" s="1"/>
  <c r="R132" i="2"/>
  <c r="CE15" i="2" s="1"/>
  <c r="AH30" i="2" s="1"/>
  <c r="R136" i="2"/>
  <c r="CE19" i="2" s="1"/>
  <c r="AH34" i="2" s="1"/>
  <c r="R147" i="2"/>
  <c r="CK16" i="2" s="1"/>
  <c r="AI31" i="2" s="1"/>
  <c r="R162" i="2"/>
  <c r="CQ17" i="2" s="1"/>
  <c r="AJ32" i="2" s="1"/>
  <c r="R5" i="3"/>
  <c r="AC14" i="3" s="1"/>
  <c r="R9" i="3"/>
  <c r="AC18" i="3" s="1"/>
  <c r="R13" i="3"/>
  <c r="AC22" i="3" s="1"/>
  <c r="R20" i="3"/>
  <c r="AI15" i="3" s="1"/>
  <c r="R24" i="3"/>
  <c r="AI19" i="3" s="1"/>
  <c r="R35" i="3"/>
  <c r="AO16" i="3" s="1"/>
  <c r="R39" i="3"/>
  <c r="AO20" i="3" s="1"/>
  <c r="R50" i="3"/>
  <c r="AU17" i="3" s="1"/>
  <c r="R61" i="3"/>
  <c r="BA14" i="3" s="1"/>
  <c r="R76" i="3"/>
  <c r="BG15" i="3" s="1"/>
  <c r="R80" i="3"/>
  <c r="BG19" i="3" s="1"/>
  <c r="R91" i="3"/>
  <c r="BM16" i="3" s="1"/>
  <c r="R95" i="3"/>
  <c r="BM20" i="3" s="1"/>
  <c r="R106" i="3"/>
  <c r="BS17" i="3" s="1"/>
  <c r="R117" i="3"/>
  <c r="BY14" i="3" s="1"/>
  <c r="R121" i="3"/>
  <c r="BY18" i="3" s="1"/>
  <c r="R132" i="3"/>
  <c r="CE15" i="3" s="1"/>
  <c r="R136" i="3"/>
  <c r="CE19" i="3" s="1"/>
  <c r="R147" i="3"/>
  <c r="CK16" i="3" s="1"/>
  <c r="R162" i="3"/>
  <c r="CQ17" i="3" s="1"/>
  <c r="AB14" i="5"/>
  <c r="R5" i="5"/>
  <c r="AC14" i="5" s="1"/>
  <c r="R9" i="5"/>
  <c r="AC18" i="5" s="1"/>
  <c r="Y21" i="5"/>
  <c r="T27" i="5"/>
  <c r="U27" i="5"/>
  <c r="H28" i="5"/>
  <c r="Q28" i="5" s="1"/>
  <c r="S28" i="5" s="1"/>
  <c r="AN17" i="5"/>
  <c r="R36" i="5"/>
  <c r="AO17" i="5" s="1"/>
  <c r="T47" i="5"/>
  <c r="AR14" i="5" s="1"/>
  <c r="R53" i="5"/>
  <c r="AU20" i="5" s="1"/>
  <c r="AZ14" i="5"/>
  <c r="R61" i="5"/>
  <c r="BA14" i="5" s="1"/>
  <c r="R76" i="5"/>
  <c r="BG15" i="5" s="1"/>
  <c r="R147" i="5"/>
  <c r="CK16" i="5" s="1"/>
  <c r="R162" i="5"/>
  <c r="CQ17" i="5" s="1"/>
  <c r="R5" i="6"/>
  <c r="AC14" i="6" s="1"/>
  <c r="R9" i="6"/>
  <c r="AC18" i="6" s="1"/>
  <c r="R20" i="6"/>
  <c r="AI15" i="6" s="1"/>
  <c r="R24" i="6"/>
  <c r="AI19" i="6" s="1"/>
  <c r="H26" i="6"/>
  <c r="Q26" i="6" s="1"/>
  <c r="S26" i="6" s="1"/>
  <c r="AN16" i="6"/>
  <c r="R35" i="6"/>
  <c r="AO16" i="6" s="1"/>
  <c r="AQ19" i="6"/>
  <c r="T52" i="6"/>
  <c r="AR19" i="6" s="1"/>
  <c r="U52" i="6"/>
  <c r="AS19" i="6" s="1"/>
  <c r="R76" i="6"/>
  <c r="BG15" i="6" s="1"/>
  <c r="BI14" i="6"/>
  <c r="U89" i="6"/>
  <c r="BK14" i="6" s="1"/>
  <c r="T89" i="6"/>
  <c r="BJ14" i="6" s="1"/>
  <c r="R91" i="6"/>
  <c r="BM16" i="6" s="1"/>
  <c r="R106" i="6"/>
  <c r="BS17" i="6" s="1"/>
  <c r="BU16" i="6"/>
  <c r="T119" i="6"/>
  <c r="BV16" i="6" s="1"/>
  <c r="U119" i="6"/>
  <c r="BW16" i="6" s="1"/>
  <c r="T127" i="6"/>
  <c r="U127" i="6"/>
  <c r="CA17" i="6"/>
  <c r="U134" i="6"/>
  <c r="CC17" i="6" s="1"/>
  <c r="T134" i="6"/>
  <c r="CB17" i="6" s="1"/>
  <c r="R147" i="6"/>
  <c r="CK16" i="6" s="1"/>
  <c r="T153" i="6"/>
  <c r="U153" i="6"/>
  <c r="R162" i="6"/>
  <c r="CQ17" i="6" s="1"/>
  <c r="R8" i="7"/>
  <c r="AC17" i="7" s="1"/>
  <c r="R38" i="7"/>
  <c r="AO19" i="7" s="1"/>
  <c r="R49" i="7"/>
  <c r="AU16" i="7" s="1"/>
  <c r="R64" i="7"/>
  <c r="BA17" i="7" s="1"/>
  <c r="R75" i="7"/>
  <c r="BG14" i="7" s="1"/>
  <c r="R90" i="7"/>
  <c r="BM15" i="7" s="1"/>
  <c r="R105" i="7"/>
  <c r="BS16" i="7" s="1"/>
  <c r="R120" i="7"/>
  <c r="BY17" i="7" s="1"/>
  <c r="R131" i="7"/>
  <c r="CE14" i="7" s="1"/>
  <c r="R135" i="7"/>
  <c r="CE18" i="7" s="1"/>
  <c r="R146" i="7"/>
  <c r="CK15" i="7" s="1"/>
  <c r="R161" i="7"/>
  <c r="CQ16" i="7" s="1"/>
  <c r="R8" i="8"/>
  <c r="AC17" i="8" s="1"/>
  <c r="AE15" i="8"/>
  <c r="T20" i="8"/>
  <c r="AF15" i="8" s="1"/>
  <c r="U20" i="8"/>
  <c r="AG15" i="8" s="1"/>
  <c r="AH17" i="8"/>
  <c r="R22" i="8"/>
  <c r="AI17" i="8" s="1"/>
  <c r="T28" i="8"/>
  <c r="U28" i="8"/>
  <c r="AN14" i="8"/>
  <c r="R33" i="8"/>
  <c r="AO14" i="8" s="1"/>
  <c r="T39" i="8"/>
  <c r="U39" i="8"/>
  <c r="AT15" i="8"/>
  <c r="R48" i="8"/>
  <c r="AU15" i="8" s="1"/>
  <c r="R14" i="1"/>
  <c r="AC23" i="1" s="1"/>
  <c r="Y38" i="1" s="1"/>
  <c r="AB23" i="1"/>
  <c r="R10" i="1"/>
  <c r="AC19" i="1" s="1"/>
  <c r="Y34" i="1" s="1"/>
  <c r="R6" i="1"/>
  <c r="AC15" i="1" s="1"/>
  <c r="Y30" i="1" s="1"/>
  <c r="H20" i="1"/>
  <c r="Q20" i="1" s="1"/>
  <c r="S20" i="1" s="1"/>
  <c r="AE15" i="1" s="1"/>
  <c r="R22" i="1"/>
  <c r="AI17" i="1" s="1"/>
  <c r="Z32" i="1" s="1"/>
  <c r="H24" i="1"/>
  <c r="Q24" i="1" s="1"/>
  <c r="S24" i="1" s="1"/>
  <c r="AE19" i="1" s="1"/>
  <c r="R26" i="1"/>
  <c r="AI21" i="1" s="1"/>
  <c r="Z36" i="1" s="1"/>
  <c r="H28" i="1"/>
  <c r="Q28" i="1" s="1"/>
  <c r="S28" i="1" s="1"/>
  <c r="AE23" i="1" s="1"/>
  <c r="R33" i="1"/>
  <c r="AO14" i="1" s="1"/>
  <c r="AA29" i="1" s="1"/>
  <c r="H35" i="1"/>
  <c r="Q35" i="1" s="1"/>
  <c r="S35" i="1" s="1"/>
  <c r="AK16" i="1" s="1"/>
  <c r="R37" i="1"/>
  <c r="AO18" i="1" s="1"/>
  <c r="AA33" i="1" s="1"/>
  <c r="H39" i="1"/>
  <c r="Q39" i="1" s="1"/>
  <c r="S39" i="1" s="1"/>
  <c r="AK20" i="1" s="1"/>
  <c r="R41" i="1"/>
  <c r="AO22" i="1" s="1"/>
  <c r="AA37" i="1" s="1"/>
  <c r="H43" i="1"/>
  <c r="Q43" i="1" s="1"/>
  <c r="S43" i="1" s="1"/>
  <c r="AK24" i="1" s="1"/>
  <c r="R48" i="1"/>
  <c r="AU15" i="1" s="1"/>
  <c r="AB30" i="1" s="1"/>
  <c r="H50" i="1"/>
  <c r="Q50" i="1" s="1"/>
  <c r="S50" i="1" s="1"/>
  <c r="AQ17" i="1" s="1"/>
  <c r="R52" i="1"/>
  <c r="AU19" i="1" s="1"/>
  <c r="AB34" i="1" s="1"/>
  <c r="H54" i="1"/>
  <c r="Q54" i="1" s="1"/>
  <c r="S54" i="1" s="1"/>
  <c r="AQ21" i="1" s="1"/>
  <c r="R56" i="1"/>
  <c r="AU23" i="1" s="1"/>
  <c r="AB38" i="1" s="1"/>
  <c r="R63" i="1"/>
  <c r="BA16" i="1" s="1"/>
  <c r="AC31" i="1" s="1"/>
  <c r="H65" i="1"/>
  <c r="Q65" i="1" s="1"/>
  <c r="S65" i="1" s="1"/>
  <c r="AW18" i="1" s="1"/>
  <c r="R67" i="1"/>
  <c r="BA20" i="1" s="1"/>
  <c r="AC35" i="1" s="1"/>
  <c r="H69" i="1"/>
  <c r="Q69" i="1" s="1"/>
  <c r="S69" i="1" s="1"/>
  <c r="AW22" i="1" s="1"/>
  <c r="H75" i="1"/>
  <c r="Q75" i="1" s="1"/>
  <c r="S75" i="1" s="1"/>
  <c r="BC14" i="1" s="1"/>
  <c r="R77" i="1"/>
  <c r="BG16" i="1" s="1"/>
  <c r="AD31" i="1" s="1"/>
  <c r="H79" i="1"/>
  <c r="Q79" i="1" s="1"/>
  <c r="S79" i="1" s="1"/>
  <c r="BC18" i="1" s="1"/>
  <c r="R81" i="1"/>
  <c r="BG20" i="1" s="1"/>
  <c r="AD35" i="1" s="1"/>
  <c r="H83" i="1"/>
  <c r="Q83" i="1" s="1"/>
  <c r="S83" i="1" s="1"/>
  <c r="BC22" i="1" s="1"/>
  <c r="H90" i="1"/>
  <c r="Q90" i="1" s="1"/>
  <c r="S90" i="1" s="1"/>
  <c r="BI15" i="1" s="1"/>
  <c r="R92" i="1"/>
  <c r="BM17" i="1" s="1"/>
  <c r="AE32" i="1" s="1"/>
  <c r="H94" i="1"/>
  <c r="Q94" i="1" s="1"/>
  <c r="S94" i="1" s="1"/>
  <c r="BI19" i="1" s="1"/>
  <c r="R96" i="1"/>
  <c r="BM21" i="1" s="1"/>
  <c r="AE36" i="1" s="1"/>
  <c r="H98" i="1"/>
  <c r="Q98" i="1" s="1"/>
  <c r="S98" i="1" s="1"/>
  <c r="BI23" i="1" s="1"/>
  <c r="R103" i="1"/>
  <c r="BS14" i="1" s="1"/>
  <c r="AF29" i="1" s="1"/>
  <c r="H105" i="1"/>
  <c r="Q105" i="1" s="1"/>
  <c r="S105" i="1" s="1"/>
  <c r="BO16" i="1" s="1"/>
  <c r="R107" i="1"/>
  <c r="BS18" i="1" s="1"/>
  <c r="AF33" i="1" s="1"/>
  <c r="BR18" i="1"/>
  <c r="H109" i="1"/>
  <c r="Q109" i="1" s="1"/>
  <c r="S109" i="1" s="1"/>
  <c r="BO20" i="1" s="1"/>
  <c r="R111" i="1"/>
  <c r="BS22" i="1" s="1"/>
  <c r="AF37" i="1" s="1"/>
  <c r="H113" i="1"/>
  <c r="Q113" i="1" s="1"/>
  <c r="S113" i="1" s="1"/>
  <c r="U113" i="1" s="1"/>
  <c r="R118" i="1"/>
  <c r="BY15" i="1" s="1"/>
  <c r="AG30" i="1" s="1"/>
  <c r="H120" i="1"/>
  <c r="Q120" i="1" s="1"/>
  <c r="S120" i="1" s="1"/>
  <c r="BU17" i="1" s="1"/>
  <c r="R122" i="1"/>
  <c r="BY19" i="1" s="1"/>
  <c r="AG34" i="1" s="1"/>
  <c r="H124" i="1"/>
  <c r="Q124" i="1" s="1"/>
  <c r="S124" i="1" s="1"/>
  <c r="BU21" i="1" s="1"/>
  <c r="H131" i="1"/>
  <c r="Q131" i="1" s="1"/>
  <c r="S131" i="1" s="1"/>
  <c r="CA14" i="1" s="1"/>
  <c r="R133" i="1"/>
  <c r="CE16" i="1" s="1"/>
  <c r="AH31" i="1" s="1"/>
  <c r="H135" i="1"/>
  <c r="Q135" i="1" s="1"/>
  <c r="S135" i="1" s="1"/>
  <c r="CA18" i="1" s="1"/>
  <c r="R137" i="1"/>
  <c r="CE20" i="1" s="1"/>
  <c r="AH35" i="1" s="1"/>
  <c r="CD20" i="1"/>
  <c r="H139" i="1"/>
  <c r="Q139" i="1" s="1"/>
  <c r="S139" i="1" s="1"/>
  <c r="CA22" i="1" s="1"/>
  <c r="H146" i="1"/>
  <c r="Q146" i="1" s="1"/>
  <c r="S146" i="1" s="1"/>
  <c r="CG15" i="1" s="1"/>
  <c r="R148" i="1"/>
  <c r="CK17" i="1" s="1"/>
  <c r="AI32" i="1" s="1"/>
  <c r="H150" i="1"/>
  <c r="Q150" i="1" s="1"/>
  <c r="S150" i="1" s="1"/>
  <c r="CG19" i="1" s="1"/>
  <c r="R152" i="1"/>
  <c r="CK21" i="1" s="1"/>
  <c r="AI36" i="1" s="1"/>
  <c r="H154" i="1"/>
  <c r="Q154" i="1" s="1"/>
  <c r="S154" i="1" s="1"/>
  <c r="T154" i="1" s="1"/>
  <c r="R159" i="1"/>
  <c r="CQ14" i="1" s="1"/>
  <c r="AJ29" i="1" s="1"/>
  <c r="R163" i="1"/>
  <c r="CQ18" i="1" s="1"/>
  <c r="AJ33" i="1" s="1"/>
  <c r="R167" i="1"/>
  <c r="CQ22" i="1" s="1"/>
  <c r="AJ37" i="1" s="1"/>
  <c r="R6" i="2"/>
  <c r="AC15" i="2" s="1"/>
  <c r="Y30" i="2" s="1"/>
  <c r="H8" i="2"/>
  <c r="Q8" i="2" s="1"/>
  <c r="S8" i="2" s="1"/>
  <c r="R10" i="2"/>
  <c r="AC19" i="2" s="1"/>
  <c r="Y34" i="2" s="1"/>
  <c r="H12" i="2"/>
  <c r="Q12" i="2" s="1"/>
  <c r="S12" i="2" s="1"/>
  <c r="R14" i="2"/>
  <c r="AC23" i="2" s="1"/>
  <c r="Y38" i="2" s="1"/>
  <c r="H19" i="2"/>
  <c r="Q19" i="2" s="1"/>
  <c r="S19" i="2" s="1"/>
  <c r="R21" i="2"/>
  <c r="AI16" i="2" s="1"/>
  <c r="Z31" i="2" s="1"/>
  <c r="H23" i="2"/>
  <c r="Q23" i="2" s="1"/>
  <c r="S23" i="2" s="1"/>
  <c r="R25" i="2"/>
  <c r="AI20" i="2" s="1"/>
  <c r="Z35" i="2" s="1"/>
  <c r="H27" i="2"/>
  <c r="Q27" i="2" s="1"/>
  <c r="S27" i="2" s="1"/>
  <c r="H34" i="2"/>
  <c r="Q34" i="2" s="1"/>
  <c r="S34" i="2" s="1"/>
  <c r="R36" i="2"/>
  <c r="AO17" i="2" s="1"/>
  <c r="AA32" i="2" s="1"/>
  <c r="H38" i="2"/>
  <c r="Q38" i="2" s="1"/>
  <c r="S38" i="2" s="1"/>
  <c r="AN23" i="2"/>
  <c r="R42" i="2"/>
  <c r="AO23" i="2" s="1"/>
  <c r="AA38" i="2" s="1"/>
  <c r="H47" i="2"/>
  <c r="Q47" i="2" s="1"/>
  <c r="S47" i="2" s="1"/>
  <c r="AT16" i="2"/>
  <c r="R49" i="2"/>
  <c r="AU16" i="2" s="1"/>
  <c r="AB31" i="2" s="1"/>
  <c r="H51" i="2"/>
  <c r="Q51" i="2" s="1"/>
  <c r="S51" i="2" s="1"/>
  <c r="AT20" i="2"/>
  <c r="R53" i="2"/>
  <c r="AU20" i="2" s="1"/>
  <c r="AB35" i="2" s="1"/>
  <c r="H55" i="2"/>
  <c r="Q55" i="2" s="1"/>
  <c r="S55" i="2" s="1"/>
  <c r="H62" i="2"/>
  <c r="Q62" i="2" s="1"/>
  <c r="S62" i="2" s="1"/>
  <c r="R64" i="2"/>
  <c r="BA17" i="2" s="1"/>
  <c r="AC32" i="2" s="1"/>
  <c r="R68" i="2"/>
  <c r="BA21" i="2" s="1"/>
  <c r="AC36" i="2" s="1"/>
  <c r="BF14" i="2"/>
  <c r="R75" i="2"/>
  <c r="BG14" i="2" s="1"/>
  <c r="AD29" i="2" s="1"/>
  <c r="BF18" i="2"/>
  <c r="R79" i="2"/>
  <c r="BG18" i="2" s="1"/>
  <c r="AD33" i="2" s="1"/>
  <c r="R83" i="2"/>
  <c r="BG22" i="2" s="1"/>
  <c r="AD37" i="2" s="1"/>
  <c r="R90" i="2"/>
  <c r="BM15" i="2" s="1"/>
  <c r="AE30" i="2" s="1"/>
  <c r="R94" i="2"/>
  <c r="BM19" i="2" s="1"/>
  <c r="AE34" i="2" s="1"/>
  <c r="BR16" i="2"/>
  <c r="R105" i="2"/>
  <c r="BS16" i="2" s="1"/>
  <c r="AF31" i="2" s="1"/>
  <c r="BR20" i="2"/>
  <c r="R109" i="2"/>
  <c r="BS20" i="2" s="1"/>
  <c r="AF35" i="2" s="1"/>
  <c r="R120" i="2"/>
  <c r="BY17" i="2" s="1"/>
  <c r="AG32" i="2" s="1"/>
  <c r="R124" i="2"/>
  <c r="BY21" i="2" s="1"/>
  <c r="AG36" i="2" s="1"/>
  <c r="R131" i="2"/>
  <c r="CE14" i="2" s="1"/>
  <c r="AH29" i="2" s="1"/>
  <c r="R135" i="2"/>
  <c r="CE18" i="2" s="1"/>
  <c r="AH33" i="2" s="1"/>
  <c r="R146" i="2"/>
  <c r="CK15" i="2" s="1"/>
  <c r="AI30" i="2" s="1"/>
  <c r="R150" i="2"/>
  <c r="CK19" i="2" s="1"/>
  <c r="AI34" i="2" s="1"/>
  <c r="R161" i="2"/>
  <c r="CQ16" i="2" s="1"/>
  <c r="AJ31" i="2" s="1"/>
  <c r="R8" i="3"/>
  <c r="AC17" i="3" s="1"/>
  <c r="R12" i="3"/>
  <c r="AC21" i="3" s="1"/>
  <c r="R19" i="3"/>
  <c r="AI14" i="3" s="1"/>
  <c r="H21" i="3"/>
  <c r="Q21" i="3" s="1"/>
  <c r="S21" i="3" s="1"/>
  <c r="R23" i="3"/>
  <c r="AI18" i="3" s="1"/>
  <c r="AH22" i="3"/>
  <c r="R27" i="3"/>
  <c r="AI22" i="3" s="1"/>
  <c r="H29" i="3"/>
  <c r="Q29" i="3" s="1"/>
  <c r="S29" i="3" s="1"/>
  <c r="R34" i="3"/>
  <c r="AO15" i="3" s="1"/>
  <c r="H36" i="3"/>
  <c r="Q36" i="3" s="1"/>
  <c r="S36" i="3" s="1"/>
  <c r="R38" i="3"/>
  <c r="AO19" i="3" s="1"/>
  <c r="H40" i="3"/>
  <c r="Q40" i="3" s="1"/>
  <c r="S40" i="3" s="1"/>
  <c r="H47" i="3"/>
  <c r="Q47" i="3" s="1"/>
  <c r="S47" i="3" s="1"/>
  <c r="R49" i="3"/>
  <c r="AU16" i="3" s="1"/>
  <c r="H51" i="3"/>
  <c r="Q51" i="3" s="1"/>
  <c r="S51" i="3" s="1"/>
  <c r="R53" i="3"/>
  <c r="AU20" i="3" s="1"/>
  <c r="H55" i="3"/>
  <c r="Q55" i="3" s="1"/>
  <c r="S55" i="3" s="1"/>
  <c r="H62" i="3"/>
  <c r="Q62" i="3" s="1"/>
  <c r="S62" i="3" s="1"/>
  <c r="R64" i="3"/>
  <c r="BA17" i="3" s="1"/>
  <c r="R68" i="3"/>
  <c r="BA21" i="3" s="1"/>
  <c r="R75" i="3"/>
  <c r="BG14" i="3" s="1"/>
  <c r="BF18" i="3"/>
  <c r="R79" i="3"/>
  <c r="BG18" i="3" s="1"/>
  <c r="R90" i="3"/>
  <c r="BM15" i="3" s="1"/>
  <c r="R94" i="3"/>
  <c r="BM19" i="3" s="1"/>
  <c r="R105" i="3"/>
  <c r="BS16" i="3" s="1"/>
  <c r="R120" i="3"/>
  <c r="BY17" i="3" s="1"/>
  <c r="R131" i="3"/>
  <c r="CE14" i="3" s="1"/>
  <c r="R135" i="3"/>
  <c r="CE18" i="3" s="1"/>
  <c r="R146" i="3"/>
  <c r="CK15" i="3" s="1"/>
  <c r="R161" i="3"/>
  <c r="CQ16" i="3" s="1"/>
  <c r="R8" i="5"/>
  <c r="AC17" i="5" s="1"/>
  <c r="AB22" i="5"/>
  <c r="R13" i="5"/>
  <c r="AC22" i="5" s="1"/>
  <c r="R20" i="5"/>
  <c r="AI15" i="5" s="1"/>
  <c r="H22" i="5"/>
  <c r="Q22" i="5" s="1"/>
  <c r="S22" i="5" s="1"/>
  <c r="R24" i="5"/>
  <c r="AI19" i="5" s="1"/>
  <c r="H26" i="5"/>
  <c r="Q26" i="5" s="1"/>
  <c r="S26" i="5" s="1"/>
  <c r="H33" i="5"/>
  <c r="Q33" i="5" s="1"/>
  <c r="S33" i="5" s="1"/>
  <c r="AN16" i="5"/>
  <c r="R35" i="5"/>
  <c r="AO16" i="5" s="1"/>
  <c r="H43" i="5"/>
  <c r="Q43" i="5" s="1"/>
  <c r="S43" i="5" s="1"/>
  <c r="AT15" i="5"/>
  <c r="R48" i="5"/>
  <c r="AU15" i="5" s="1"/>
  <c r="H50" i="5"/>
  <c r="Q50" i="5" s="1"/>
  <c r="S50" i="5" s="1"/>
  <c r="AT19" i="5"/>
  <c r="R52" i="5"/>
  <c r="AU19" i="5" s="1"/>
  <c r="H54" i="5"/>
  <c r="Q54" i="5" s="1"/>
  <c r="S54" i="5" s="1"/>
  <c r="H55" i="5"/>
  <c r="Q55" i="5" s="1"/>
  <c r="S55" i="5" s="1"/>
  <c r="R64" i="5"/>
  <c r="BA17" i="5" s="1"/>
  <c r="R75" i="5"/>
  <c r="BG14" i="5" s="1"/>
  <c r="H77" i="5"/>
  <c r="Q77" i="5" s="1"/>
  <c r="S77" i="5" s="1"/>
  <c r="R79" i="5"/>
  <c r="BG18" i="5" s="1"/>
  <c r="H81" i="5"/>
  <c r="Q81" i="5" s="1"/>
  <c r="S81" i="5" s="1"/>
  <c r="H85" i="5"/>
  <c r="Q85" i="5" s="1"/>
  <c r="S85" i="5" s="1"/>
  <c r="R90" i="5"/>
  <c r="BM15" i="5" s="1"/>
  <c r="R94" i="5"/>
  <c r="BM19" i="5" s="1"/>
  <c r="H96" i="5"/>
  <c r="Q96" i="5" s="1"/>
  <c r="S96" i="5" s="1"/>
  <c r="H103" i="5"/>
  <c r="Q103" i="5" s="1"/>
  <c r="S103" i="5" s="1"/>
  <c r="R105" i="5"/>
  <c r="BS16" i="5" s="1"/>
  <c r="H107" i="5"/>
  <c r="Q107" i="5" s="1"/>
  <c r="S107" i="5" s="1"/>
  <c r="H111" i="5"/>
  <c r="Q111" i="5" s="1"/>
  <c r="S111" i="5" s="1"/>
  <c r="H118" i="5"/>
  <c r="Q118" i="5" s="1"/>
  <c r="S118" i="5" s="1"/>
  <c r="BX17" i="5"/>
  <c r="R120" i="5"/>
  <c r="BY17" i="5" s="1"/>
  <c r="H122" i="5"/>
  <c r="Q122" i="5" s="1"/>
  <c r="S122" i="5" s="1"/>
  <c r="H126" i="5"/>
  <c r="Q126" i="5" s="1"/>
  <c r="S126" i="5" s="1"/>
  <c r="R131" i="5"/>
  <c r="CE14" i="5" s="1"/>
  <c r="R135" i="5"/>
  <c r="CE18" i="5" s="1"/>
  <c r="H137" i="5"/>
  <c r="Q137" i="5" s="1"/>
  <c r="S137" i="5" s="1"/>
  <c r="H141" i="5"/>
  <c r="Q141" i="5" s="1"/>
  <c r="S141" i="5" s="1"/>
  <c r="R146" i="5"/>
  <c r="CK15" i="5" s="1"/>
  <c r="H148" i="5"/>
  <c r="Q148" i="5" s="1"/>
  <c r="S148" i="5" s="1"/>
  <c r="H152" i="5"/>
  <c r="Q152" i="5" s="1"/>
  <c r="S152" i="5" s="1"/>
  <c r="CP16" i="5"/>
  <c r="R161" i="5"/>
  <c r="CQ16" i="5" s="1"/>
  <c r="H163" i="5"/>
  <c r="Q163" i="5" s="1"/>
  <c r="S163" i="5" s="1"/>
  <c r="H167" i="5"/>
  <c r="Q167" i="5" s="1"/>
  <c r="S167" i="5" s="1"/>
  <c r="H6" i="6"/>
  <c r="Q6" i="6" s="1"/>
  <c r="S6" i="6" s="1"/>
  <c r="R8" i="6"/>
  <c r="AC17" i="6" s="1"/>
  <c r="H10" i="6"/>
  <c r="Q10" i="6" s="1"/>
  <c r="S10" i="6" s="1"/>
  <c r="R12" i="6"/>
  <c r="AC21" i="6" s="1"/>
  <c r="H14" i="6"/>
  <c r="Q14" i="6" s="1"/>
  <c r="S14" i="6" s="1"/>
  <c r="R19" i="6"/>
  <c r="AI14" i="6" s="1"/>
  <c r="R23" i="6"/>
  <c r="AI18" i="6" s="1"/>
  <c r="R34" i="6"/>
  <c r="AO15" i="6" s="1"/>
  <c r="R38" i="6"/>
  <c r="AO19" i="6" s="1"/>
  <c r="R49" i="6"/>
  <c r="AU16" i="6" s="1"/>
  <c r="R64" i="6"/>
  <c r="BA17" i="6" s="1"/>
  <c r="R75" i="6"/>
  <c r="BG14" i="6" s="1"/>
  <c r="R79" i="6"/>
  <c r="BG18" i="6" s="1"/>
  <c r="R90" i="6"/>
  <c r="BM15" i="6" s="1"/>
  <c r="R105" i="6"/>
  <c r="BS16" i="6" s="1"/>
  <c r="R120" i="6"/>
  <c r="BY17" i="6" s="1"/>
  <c r="R131" i="6"/>
  <c r="CE14" i="6" s="1"/>
  <c r="R135" i="6"/>
  <c r="CE18" i="6" s="1"/>
  <c r="R146" i="6"/>
  <c r="CK15" i="6" s="1"/>
  <c r="R161" i="6"/>
  <c r="CQ16" i="6" s="1"/>
  <c r="H163" i="6"/>
  <c r="Q163" i="6" s="1"/>
  <c r="S163" i="6" s="1"/>
  <c r="H5" i="7"/>
  <c r="Q5" i="7" s="1"/>
  <c r="S5" i="7" s="1"/>
  <c r="R7" i="7"/>
  <c r="AC16" i="7" s="1"/>
  <c r="H9" i="7"/>
  <c r="Q9" i="7" s="1"/>
  <c r="S9" i="7" s="1"/>
  <c r="R11" i="7"/>
  <c r="AC20" i="7" s="1"/>
  <c r="H13" i="7"/>
  <c r="Q13" i="7" s="1"/>
  <c r="S13" i="7" s="1"/>
  <c r="R22" i="7"/>
  <c r="AI17" i="7" s="1"/>
  <c r="H28" i="7"/>
  <c r="Q28" i="7" s="1"/>
  <c r="S28" i="7" s="1"/>
  <c r="R33" i="7"/>
  <c r="AO14" i="7" s="1"/>
  <c r="H35" i="7"/>
  <c r="Q35" i="7" s="1"/>
  <c r="S35" i="7" s="1"/>
  <c r="AN18" i="7"/>
  <c r="R37" i="7"/>
  <c r="AO18" i="7" s="1"/>
  <c r="H39" i="7"/>
  <c r="Q39" i="7" s="1"/>
  <c r="S39" i="7" s="1"/>
  <c r="H43" i="7"/>
  <c r="Q43" i="7" s="1"/>
  <c r="S43" i="7" s="1"/>
  <c r="R48" i="7"/>
  <c r="AU15" i="7" s="1"/>
  <c r="H50" i="7"/>
  <c r="Q50" i="7" s="1"/>
  <c r="S50" i="7" s="1"/>
  <c r="H54" i="7"/>
  <c r="Q54" i="7" s="1"/>
  <c r="S54" i="7" s="1"/>
  <c r="R63" i="7"/>
  <c r="BA16" i="7" s="1"/>
  <c r="H65" i="7"/>
  <c r="Q65" i="7" s="1"/>
  <c r="S65" i="7" s="1"/>
  <c r="H69" i="7"/>
  <c r="Q69" i="7" s="1"/>
  <c r="S69" i="7" s="1"/>
  <c r="H76" i="7"/>
  <c r="Q76" i="7" s="1"/>
  <c r="S76" i="7" s="1"/>
  <c r="R78" i="7"/>
  <c r="BG17" i="7" s="1"/>
  <c r="H80" i="7"/>
  <c r="Q80" i="7" s="1"/>
  <c r="S80" i="7" s="1"/>
  <c r="H84" i="7"/>
  <c r="Q84" i="7" s="1"/>
  <c r="S84" i="7" s="1"/>
  <c r="BL14" i="7"/>
  <c r="R89" i="7"/>
  <c r="BM14" i="7" s="1"/>
  <c r="H91" i="7"/>
  <c r="Q91" i="7" s="1"/>
  <c r="S91" i="7" s="1"/>
  <c r="H95" i="7"/>
  <c r="Q95" i="7" s="1"/>
  <c r="S95" i="7" s="1"/>
  <c r="H99" i="7"/>
  <c r="Q99" i="7" s="1"/>
  <c r="S99" i="7" s="1"/>
  <c r="R104" i="7"/>
  <c r="BS15" i="7" s="1"/>
  <c r="H106" i="7"/>
  <c r="Q106" i="7" s="1"/>
  <c r="S106" i="7" s="1"/>
  <c r="H110" i="7"/>
  <c r="Q110" i="7" s="1"/>
  <c r="S110" i="7" s="1"/>
  <c r="H117" i="7"/>
  <c r="Q117" i="7" s="1"/>
  <c r="S117" i="7" s="1"/>
  <c r="R119" i="7"/>
  <c r="BY16" i="7" s="1"/>
  <c r="H121" i="7"/>
  <c r="Q121" i="7" s="1"/>
  <c r="S121" i="7" s="1"/>
  <c r="H125" i="7"/>
  <c r="Q125" i="7" s="1"/>
  <c r="S125" i="7" s="1"/>
  <c r="R134" i="7"/>
  <c r="CE17" i="7" s="1"/>
  <c r="H136" i="7"/>
  <c r="Q136" i="7" s="1"/>
  <c r="S136" i="7" s="1"/>
  <c r="H140" i="7"/>
  <c r="Q140" i="7" s="1"/>
  <c r="S140" i="7" s="1"/>
  <c r="R145" i="7"/>
  <c r="CK14" i="7" s="1"/>
  <c r="H147" i="7"/>
  <c r="Q147" i="7" s="1"/>
  <c r="S147" i="7" s="1"/>
  <c r="CJ18" i="7"/>
  <c r="R149" i="7"/>
  <c r="CK18" i="7" s="1"/>
  <c r="H151" i="7"/>
  <c r="Q151" i="7" s="1"/>
  <c r="S151" i="7" s="1"/>
  <c r="H155" i="7"/>
  <c r="Q155" i="7" s="1"/>
  <c r="S155" i="7" s="1"/>
  <c r="R160" i="7"/>
  <c r="CQ15" i="7" s="1"/>
  <c r="H166" i="7"/>
  <c r="Q166" i="7" s="1"/>
  <c r="S166" i="7" s="1"/>
  <c r="AB16" i="8"/>
  <c r="R7" i="8"/>
  <c r="AC16" i="8" s="1"/>
  <c r="AB20" i="8"/>
  <c r="R11" i="8"/>
  <c r="AC20" i="8" s="1"/>
  <c r="H13" i="8"/>
  <c r="Q13" i="8" s="1"/>
  <c r="S13" i="8" s="1"/>
  <c r="R21" i="8"/>
  <c r="AI16" i="8" s="1"/>
  <c r="R36" i="8"/>
  <c r="AO17" i="8" s="1"/>
  <c r="R47" i="8"/>
  <c r="AU14" i="8" s="1"/>
  <c r="R51" i="8"/>
  <c r="AU18" i="8" s="1"/>
  <c r="R62" i="8"/>
  <c r="BA15" i="8" s="1"/>
  <c r="R77" i="8"/>
  <c r="BG16" i="8" s="1"/>
  <c r="R92" i="8"/>
  <c r="BM17" i="8" s="1"/>
  <c r="R103" i="8"/>
  <c r="BS14" i="8" s="1"/>
  <c r="R118" i="8"/>
  <c r="BY15" i="8" s="1"/>
  <c r="R133" i="8"/>
  <c r="CE16" i="8" s="1"/>
  <c r="R148" i="8"/>
  <c r="CK17" i="8" s="1"/>
  <c r="R159" i="8"/>
  <c r="CQ14" i="8" s="1"/>
  <c r="R6" i="9"/>
  <c r="AC15" i="9" s="1"/>
  <c r="R10" i="9"/>
  <c r="AC19" i="9" s="1"/>
  <c r="R21" i="9"/>
  <c r="AI16" i="9" s="1"/>
  <c r="R25" i="9"/>
  <c r="AI20" i="9" s="1"/>
  <c r="R36" i="9"/>
  <c r="AO17" i="9" s="1"/>
  <c r="R47" i="9"/>
  <c r="AU14" i="9" s="1"/>
  <c r="R51" i="9"/>
  <c r="AU18" i="9" s="1"/>
  <c r="R62" i="9"/>
  <c r="BA15" i="9" s="1"/>
  <c r="R77" i="9"/>
  <c r="BG16" i="9" s="1"/>
  <c r="R92" i="9"/>
  <c r="BM17" i="9" s="1"/>
  <c r="R103" i="9"/>
  <c r="BS14" i="9" s="1"/>
  <c r="R118" i="9"/>
  <c r="BY15" i="9" s="1"/>
  <c r="R133" i="9"/>
  <c r="CE16" i="9" s="1"/>
  <c r="R148" i="9"/>
  <c r="CK17" i="9" s="1"/>
  <c r="R159" i="9"/>
  <c r="CQ14" i="9" s="1"/>
  <c r="R5" i="10"/>
  <c r="AC14" i="10" s="1"/>
  <c r="R9" i="10"/>
  <c r="AC18" i="10" s="1"/>
  <c r="R13" i="10"/>
  <c r="AC22" i="10" s="1"/>
  <c r="R20" i="10"/>
  <c r="AI15" i="10" s="1"/>
  <c r="R24" i="10"/>
  <c r="AI19" i="10" s="1"/>
  <c r="R35" i="10"/>
  <c r="AO16" i="10" s="1"/>
  <c r="R50" i="10"/>
  <c r="AU17" i="10" s="1"/>
  <c r="R61" i="10"/>
  <c r="BA14" i="10" s="1"/>
  <c r="R65" i="10"/>
  <c r="BA18" i="10" s="1"/>
  <c r="R76" i="10"/>
  <c r="BG15" i="10" s="1"/>
  <c r="R91" i="10"/>
  <c r="BM16" i="10" s="1"/>
  <c r="R106" i="10"/>
  <c r="BS17" i="10" s="1"/>
  <c r="R117" i="10"/>
  <c r="BY14" i="10" s="1"/>
  <c r="R132" i="10"/>
  <c r="CE15" i="10" s="1"/>
  <c r="R147" i="10"/>
  <c r="CK16" i="10" s="1"/>
  <c r="R162" i="10"/>
  <c r="CQ17" i="10" s="1"/>
  <c r="R7" i="11"/>
  <c r="AC16" i="11" s="1"/>
  <c r="R11" i="11"/>
  <c r="AC20" i="11" s="1"/>
  <c r="R15" i="11"/>
  <c r="AC24" i="11" s="1"/>
  <c r="R22" i="11"/>
  <c r="AI17" i="11" s="1"/>
  <c r="R26" i="11"/>
  <c r="AI21" i="11" s="1"/>
  <c r="R33" i="11"/>
  <c r="AO14" i="11" s="1"/>
  <c r="R37" i="11"/>
  <c r="AO18" i="11" s="1"/>
  <c r="R41" i="11"/>
  <c r="AO22" i="11" s="1"/>
  <c r="R48" i="11"/>
  <c r="AU15" i="11" s="1"/>
  <c r="R52" i="11"/>
  <c r="AU19" i="11" s="1"/>
  <c r="R56" i="11"/>
  <c r="AU23" i="11" s="1"/>
  <c r="R63" i="11"/>
  <c r="BA16" i="11" s="1"/>
  <c r="R67" i="11"/>
  <c r="BA20" i="11" s="1"/>
  <c r="R78" i="11"/>
  <c r="BG17" i="11" s="1"/>
  <c r="R82" i="11"/>
  <c r="BG21" i="11" s="1"/>
  <c r="R92" i="11"/>
  <c r="BM17" i="11" s="1"/>
  <c r="R6" i="12"/>
  <c r="AC15" i="12" s="1"/>
  <c r="R10" i="12"/>
  <c r="AC19" i="12" s="1"/>
  <c r="R14" i="12"/>
  <c r="AC23" i="12" s="1"/>
  <c r="R21" i="12"/>
  <c r="AI16" i="12" s="1"/>
  <c r="R25" i="12"/>
  <c r="AI20" i="12" s="1"/>
  <c r="R29" i="12"/>
  <c r="AI24" i="12" s="1"/>
  <c r="R36" i="12"/>
  <c r="AO17" i="12" s="1"/>
  <c r="R40" i="12"/>
  <c r="AO21" i="12" s="1"/>
  <c r="R47" i="12"/>
  <c r="AU14" i="12" s="1"/>
  <c r="R51" i="12"/>
  <c r="AU18" i="12" s="1"/>
  <c r="R55" i="12"/>
  <c r="AU22" i="12" s="1"/>
  <c r="R62" i="12"/>
  <c r="BA15" i="12" s="1"/>
  <c r="R66" i="12"/>
  <c r="BA19" i="12" s="1"/>
  <c r="R70" i="12"/>
  <c r="BA23" i="12" s="1"/>
  <c r="R77" i="12"/>
  <c r="BG16" i="12" s="1"/>
  <c r="R81" i="12"/>
  <c r="BG20" i="12" s="1"/>
  <c r="R85" i="12"/>
  <c r="BG24" i="12" s="1"/>
  <c r="R92" i="12"/>
  <c r="BM17" i="12" s="1"/>
  <c r="R96" i="12"/>
  <c r="BM21" i="12" s="1"/>
  <c r="R103" i="12"/>
  <c r="BS14" i="12" s="1"/>
  <c r="R107" i="12"/>
  <c r="BS18" i="12" s="1"/>
  <c r="R111" i="12"/>
  <c r="BS22" i="12" s="1"/>
  <c r="R118" i="12"/>
  <c r="BY15" i="12" s="1"/>
  <c r="R122" i="12"/>
  <c r="BY19" i="12" s="1"/>
  <c r="R126" i="12"/>
  <c r="BY23" i="12" s="1"/>
  <c r="R133" i="12"/>
  <c r="CE16" i="12" s="1"/>
  <c r="R137" i="12"/>
  <c r="CE20" i="12" s="1"/>
  <c r="R141" i="12"/>
  <c r="CE24" i="12" s="1"/>
  <c r="R148" i="12"/>
  <c r="CK17" i="12" s="1"/>
  <c r="R152" i="12"/>
  <c r="CK21" i="12" s="1"/>
  <c r="R159" i="12"/>
  <c r="CQ14" i="12" s="1"/>
  <c r="R163" i="12"/>
  <c r="CQ18" i="12" s="1"/>
  <c r="R167" i="12"/>
  <c r="CQ22" i="12" s="1"/>
  <c r="AE22" i="18"/>
  <c r="T27" i="18"/>
  <c r="AF22" i="18" s="1"/>
  <c r="U27" i="18"/>
  <c r="AG22" i="18" s="1"/>
  <c r="CM17" i="15"/>
  <c r="U162" i="15"/>
  <c r="CO17" i="15" s="1"/>
  <c r="T162" i="15"/>
  <c r="CN17" i="15" s="1"/>
  <c r="AT21" i="12"/>
  <c r="R54" i="12"/>
  <c r="AU21" i="12" s="1"/>
  <c r="CG18" i="14"/>
  <c r="U149" i="14"/>
  <c r="CI18" i="14" s="1"/>
  <c r="T149" i="14"/>
  <c r="CH18" i="14" s="1"/>
  <c r="T35" i="1"/>
  <c r="AL16" i="1" s="1"/>
  <c r="U39" i="1"/>
  <c r="AM20" i="1" s="1"/>
  <c r="U69" i="1"/>
  <c r="AY22" i="1" s="1"/>
  <c r="U71" i="1"/>
  <c r="T71" i="1"/>
  <c r="T98" i="1"/>
  <c r="BJ23" i="1" s="1"/>
  <c r="T105" i="1"/>
  <c r="BP16" i="1" s="1"/>
  <c r="U105" i="1"/>
  <c r="BQ16" i="1" s="1"/>
  <c r="U107" i="1"/>
  <c r="BQ18" i="1" s="1"/>
  <c r="T107" i="1"/>
  <c r="BP18" i="1" s="1"/>
  <c r="T113" i="1"/>
  <c r="U120" i="1"/>
  <c r="BW17" i="1" s="1"/>
  <c r="U126" i="1"/>
  <c r="T126" i="1"/>
  <c r="T133" i="1"/>
  <c r="CB16" i="1" s="1"/>
  <c r="T135" i="1"/>
  <c r="CB18" i="1" s="1"/>
  <c r="U135" i="1"/>
  <c r="CC18" i="1" s="1"/>
  <c r="T137" i="1"/>
  <c r="CB20" i="1" s="1"/>
  <c r="U137" i="1"/>
  <c r="CC20" i="1" s="1"/>
  <c r="T146" i="1"/>
  <c r="CH15" i="1" s="1"/>
  <c r="U154" i="1"/>
  <c r="H162" i="1"/>
  <c r="Q162" i="1" s="1"/>
  <c r="S162" i="1" s="1"/>
  <c r="CM17" i="1" s="1"/>
  <c r="H9" i="1"/>
  <c r="Q9" i="1" s="1"/>
  <c r="S9" i="1" s="1"/>
  <c r="Y18" i="1" s="1"/>
  <c r="U24" i="1"/>
  <c r="AG19" i="1" s="1"/>
  <c r="U28" i="1"/>
  <c r="AG23" i="1" s="1"/>
  <c r="T28" i="1"/>
  <c r="AF23" i="1" s="1"/>
  <c r="T43" i="1"/>
  <c r="AL24" i="1" s="1"/>
  <c r="U50" i="1"/>
  <c r="AS17" i="1" s="1"/>
  <c r="T50" i="1"/>
  <c r="AR17" i="1" s="1"/>
  <c r="U54" i="1"/>
  <c r="AS21" i="1" s="1"/>
  <c r="T14" i="1"/>
  <c r="Z23" i="1" s="1"/>
  <c r="U14" i="1"/>
  <c r="AA23" i="1" s="1"/>
  <c r="H21" i="1"/>
  <c r="Q21" i="1" s="1"/>
  <c r="S21" i="1" s="1"/>
  <c r="AE16" i="1" s="1"/>
  <c r="H29" i="1"/>
  <c r="Q29" i="1" s="1"/>
  <c r="H34" i="1"/>
  <c r="Q34" i="1" s="1"/>
  <c r="S34" i="1" s="1"/>
  <c r="AK15" i="1" s="1"/>
  <c r="H36" i="1"/>
  <c r="Q36" i="1" s="1"/>
  <c r="S36" i="1" s="1"/>
  <c r="AK17" i="1" s="1"/>
  <c r="H38" i="1"/>
  <c r="Q38" i="1" s="1"/>
  <c r="S38" i="1" s="1"/>
  <c r="AK19" i="1" s="1"/>
  <c r="H42" i="1"/>
  <c r="Q42" i="1" s="1"/>
  <c r="S42" i="1" s="1"/>
  <c r="AK23" i="1" s="1"/>
  <c r="H47" i="1"/>
  <c r="Q47" i="1" s="1"/>
  <c r="S47" i="1" s="1"/>
  <c r="AQ14" i="1" s="1"/>
  <c r="H51" i="1"/>
  <c r="Q51" i="1" s="1"/>
  <c r="S51" i="1" s="1"/>
  <c r="AQ18" i="1" s="1"/>
  <c r="H55" i="1"/>
  <c r="Q55" i="1" s="1"/>
  <c r="S55" i="1" s="1"/>
  <c r="AQ22" i="1" s="1"/>
  <c r="H57" i="1"/>
  <c r="Q57" i="1" s="1"/>
  <c r="S57" i="1" s="1"/>
  <c r="H62" i="1"/>
  <c r="Q62" i="1" s="1"/>
  <c r="S62" i="1" s="1"/>
  <c r="AW15" i="1" s="1"/>
  <c r="H64" i="1"/>
  <c r="Q64" i="1" s="1"/>
  <c r="S64" i="1" s="1"/>
  <c r="AW17" i="1" s="1"/>
  <c r="H66" i="1"/>
  <c r="Q66" i="1" s="1"/>
  <c r="S66" i="1" s="1"/>
  <c r="AW19" i="1" s="1"/>
  <c r="H68" i="1"/>
  <c r="Q68" i="1" s="1"/>
  <c r="S68" i="1" s="1"/>
  <c r="AW21" i="1" s="1"/>
  <c r="H70" i="1"/>
  <c r="Q70" i="1" s="1"/>
  <c r="S70" i="1" s="1"/>
  <c r="AW23" i="1" s="1"/>
  <c r="H76" i="1"/>
  <c r="Q76" i="1" s="1"/>
  <c r="S76" i="1" s="1"/>
  <c r="BC15" i="1" s="1"/>
  <c r="H84" i="1"/>
  <c r="Q84" i="1" s="1"/>
  <c r="S84" i="1" s="1"/>
  <c r="BC23" i="1" s="1"/>
  <c r="H95" i="1"/>
  <c r="Q95" i="1" s="1"/>
  <c r="S95" i="1" s="1"/>
  <c r="BI20" i="1" s="1"/>
  <c r="U109" i="21"/>
  <c r="BQ20" i="21" s="1"/>
  <c r="T109" i="21"/>
  <c r="BP20" i="21" s="1"/>
  <c r="T113" i="21"/>
  <c r="BP24" i="21" s="1"/>
  <c r="U113" i="21"/>
  <c r="BQ24" i="21" s="1"/>
  <c r="T104" i="21"/>
  <c r="BP15" i="21" s="1"/>
  <c r="U104" i="21"/>
  <c r="BQ15" i="21" s="1"/>
  <c r="H168" i="12"/>
  <c r="Q168" i="12" s="1"/>
  <c r="S168" i="12" s="1"/>
  <c r="H164" i="12"/>
  <c r="Q164" i="12" s="1"/>
  <c r="S164" i="12" s="1"/>
  <c r="H160" i="12"/>
  <c r="Q160" i="12" s="1"/>
  <c r="S160" i="12" s="1"/>
  <c r="H123" i="12"/>
  <c r="Q123" i="12" s="1"/>
  <c r="S123" i="12" s="1"/>
  <c r="H93" i="12"/>
  <c r="Q93" i="12" s="1"/>
  <c r="S93" i="12" s="1"/>
  <c r="H89" i="12"/>
  <c r="Q89" i="12" s="1"/>
  <c r="S89" i="12" s="1"/>
  <c r="H56" i="12"/>
  <c r="Q56" i="12" s="1"/>
  <c r="S56" i="12" s="1"/>
  <c r="H52" i="12"/>
  <c r="Q52" i="12" s="1"/>
  <c r="S52" i="12" s="1"/>
  <c r="H48" i="12"/>
  <c r="Q48" i="12" s="1"/>
  <c r="S48" i="12" s="1"/>
  <c r="H43" i="12"/>
  <c r="Q43" i="12" s="1"/>
  <c r="S43" i="12" s="1"/>
  <c r="H22" i="12"/>
  <c r="Q22" i="12" s="1"/>
  <c r="S22" i="12" s="1"/>
  <c r="H11" i="12"/>
  <c r="Q11" i="12" s="1"/>
  <c r="S11" i="12" s="1"/>
  <c r="H7" i="12"/>
  <c r="Q7" i="12" s="1"/>
  <c r="S7" i="12" s="1"/>
  <c r="H10" i="1"/>
  <c r="Q10" i="1" s="1"/>
  <c r="S10" i="1" s="1"/>
  <c r="Y19" i="1" s="1"/>
  <c r="H11" i="1"/>
  <c r="Q11" i="1" s="1"/>
  <c r="S11" i="1" s="1"/>
  <c r="Y20" i="1" s="1"/>
  <c r="H85" i="1"/>
  <c r="Q85" i="1" s="1"/>
  <c r="S85" i="1" s="1"/>
  <c r="H92" i="1"/>
  <c r="Q92" i="1" s="1"/>
  <c r="S92" i="1" s="1"/>
  <c r="BI17" i="1" s="1"/>
  <c r="H28" i="6"/>
  <c r="Q28" i="6" s="1"/>
  <c r="S28" i="6" s="1"/>
  <c r="H12" i="1"/>
  <c r="Q12" i="1" s="1"/>
  <c r="S12" i="1" s="1"/>
  <c r="Y21" i="1" s="1"/>
  <c r="H37" i="1"/>
  <c r="Q37" i="1" s="1"/>
  <c r="S37" i="1" s="1"/>
  <c r="AK18" i="1" s="1"/>
  <c r="H41" i="1"/>
  <c r="Q41" i="1" s="1"/>
  <c r="S41" i="1" s="1"/>
  <c r="AK22" i="1" s="1"/>
  <c r="H48" i="1"/>
  <c r="Q48" i="1" s="1"/>
  <c r="S48" i="1" s="1"/>
  <c r="AQ15" i="1" s="1"/>
  <c r="H78" i="1"/>
  <c r="Q78" i="1" s="1"/>
  <c r="S78" i="1" s="1"/>
  <c r="BC17" i="1" s="1"/>
  <c r="H89" i="1"/>
  <c r="Q89" i="1" s="1"/>
  <c r="S89" i="1" s="1"/>
  <c r="BI14" i="1" s="1"/>
  <c r="H97" i="1"/>
  <c r="Q97" i="1" s="1"/>
  <c r="S97" i="1" s="1"/>
  <c r="BI22" i="1" s="1"/>
  <c r="H108" i="1"/>
  <c r="Q108" i="1" s="1"/>
  <c r="S108" i="1" s="1"/>
  <c r="BO19" i="1" s="1"/>
  <c r="H112" i="1"/>
  <c r="Q112" i="1" s="1"/>
  <c r="S112" i="1" s="1"/>
  <c r="BO23" i="1" s="1"/>
  <c r="H119" i="1"/>
  <c r="Q119" i="1" s="1"/>
  <c r="S119" i="1" s="1"/>
  <c r="BU16" i="1" s="1"/>
  <c r="H134" i="1"/>
  <c r="Q134" i="1" s="1"/>
  <c r="S134" i="1" s="1"/>
  <c r="CA17" i="1" s="1"/>
  <c r="H153" i="1"/>
  <c r="Q153" i="1" s="1"/>
  <c r="S153" i="1" s="1"/>
  <c r="CG22" i="1" s="1"/>
  <c r="H7" i="2"/>
  <c r="Q7" i="2" s="1"/>
  <c r="S7" i="2" s="1"/>
  <c r="H22" i="2"/>
  <c r="Q22" i="2" s="1"/>
  <c r="S22" i="2" s="1"/>
  <c r="H26" i="2"/>
  <c r="Q26" i="2" s="1"/>
  <c r="S26" i="2" s="1"/>
  <c r="H33" i="2"/>
  <c r="Q33" i="2" s="1"/>
  <c r="S33" i="2" s="1"/>
  <c r="H37" i="2"/>
  <c r="Q37" i="2" s="1"/>
  <c r="S37" i="2" s="1"/>
  <c r="H54" i="2"/>
  <c r="Q54" i="2" s="1"/>
  <c r="S54" i="2" s="1"/>
  <c r="H76" i="2"/>
  <c r="Q76" i="2" s="1"/>
  <c r="S76" i="2" s="1"/>
  <c r="H80" i="2"/>
  <c r="Q80" i="2" s="1"/>
  <c r="S80" i="2" s="1"/>
  <c r="H84" i="2"/>
  <c r="Q84" i="2" s="1"/>
  <c r="S84" i="2" s="1"/>
  <c r="H106" i="2"/>
  <c r="Q106" i="2" s="1"/>
  <c r="S106" i="2" s="1"/>
  <c r="H110" i="2"/>
  <c r="Q110" i="2" s="1"/>
  <c r="S110" i="2" s="1"/>
  <c r="H121" i="2"/>
  <c r="Q121" i="2" s="1"/>
  <c r="S121" i="2" s="1"/>
  <c r="H132" i="2"/>
  <c r="Q132" i="2" s="1"/>
  <c r="S132" i="2" s="1"/>
  <c r="H136" i="2"/>
  <c r="Q136" i="2" s="1"/>
  <c r="S136" i="2" s="1"/>
  <c r="H54" i="3"/>
  <c r="Q54" i="3" s="1"/>
  <c r="S54" i="3" s="1"/>
  <c r="H65" i="3"/>
  <c r="Q65" i="3" s="1"/>
  <c r="S65" i="3" s="1"/>
  <c r="H84" i="3"/>
  <c r="Q84" i="3" s="1"/>
  <c r="S84" i="3" s="1"/>
  <c r="H91" i="3"/>
  <c r="Q91" i="3" s="1"/>
  <c r="S91" i="3" s="1"/>
  <c r="H99" i="3"/>
  <c r="Q99" i="3" s="1"/>
  <c r="S99" i="3" s="1"/>
  <c r="H106" i="3"/>
  <c r="Q106" i="3" s="1"/>
  <c r="S106" i="3" s="1"/>
  <c r="H110" i="3"/>
  <c r="Q110" i="3" s="1"/>
  <c r="S110" i="3" s="1"/>
  <c r="H117" i="3"/>
  <c r="Q117" i="3" s="1"/>
  <c r="S117" i="3" s="1"/>
  <c r="H125" i="3"/>
  <c r="Q125" i="3" s="1"/>
  <c r="S125" i="3" s="1"/>
  <c r="H132" i="3"/>
  <c r="Q132" i="3" s="1"/>
  <c r="S132" i="3" s="1"/>
  <c r="H140" i="3"/>
  <c r="Q140" i="3" s="1"/>
  <c r="S140" i="3" s="1"/>
  <c r="H151" i="3"/>
  <c r="Q151" i="3" s="1"/>
  <c r="S151" i="3" s="1"/>
  <c r="H155" i="3"/>
  <c r="Q155" i="3" s="1"/>
  <c r="S155" i="3" s="1"/>
  <c r="H162" i="3"/>
  <c r="Q162" i="3" s="1"/>
  <c r="S162" i="3" s="1"/>
  <c r="H166" i="3"/>
  <c r="Q166" i="3" s="1"/>
  <c r="S166" i="3" s="1"/>
  <c r="H9" i="5"/>
  <c r="Q9" i="5" s="1"/>
  <c r="S9" i="5" s="1"/>
  <c r="H11" i="5"/>
  <c r="Q11" i="5" s="1"/>
  <c r="S11" i="5" s="1"/>
  <c r="H21" i="5"/>
  <c r="Q21" i="5" s="1"/>
  <c r="S21" i="5" s="1"/>
  <c r="H41" i="5"/>
  <c r="Q41" i="5" s="1"/>
  <c r="S41" i="5" s="1"/>
  <c r="H53" i="5"/>
  <c r="Q53" i="5" s="1"/>
  <c r="S53" i="5" s="1"/>
  <c r="H57" i="5"/>
  <c r="Q57" i="5" s="1"/>
  <c r="S57" i="5" s="1"/>
  <c r="H62" i="5"/>
  <c r="Q62" i="5" s="1"/>
  <c r="S62" i="5" s="1"/>
  <c r="H65" i="5"/>
  <c r="Q65" i="5" s="1"/>
  <c r="S65" i="5" s="1"/>
  <c r="H69" i="5"/>
  <c r="Q69" i="5" s="1"/>
  <c r="S69" i="5" s="1"/>
  <c r="H76" i="5"/>
  <c r="Q76" i="5" s="1"/>
  <c r="S76" i="5" s="1"/>
  <c r="H80" i="5"/>
  <c r="Q80" i="5" s="1"/>
  <c r="S80" i="5" s="1"/>
  <c r="H84" i="5"/>
  <c r="Q84" i="5" s="1"/>
  <c r="S84" i="5" s="1"/>
  <c r="H91" i="5"/>
  <c r="Q91" i="5" s="1"/>
  <c r="S91" i="5" s="1"/>
  <c r="H95" i="5"/>
  <c r="Q95" i="5" s="1"/>
  <c r="S95" i="5" s="1"/>
  <c r="H99" i="5"/>
  <c r="Q99" i="5" s="1"/>
  <c r="S99" i="5" s="1"/>
  <c r="H106" i="5"/>
  <c r="Q106" i="5" s="1"/>
  <c r="S106" i="5" s="1"/>
  <c r="H110" i="5"/>
  <c r="Q110" i="5" s="1"/>
  <c r="S110" i="5" s="1"/>
  <c r="H117" i="5"/>
  <c r="Q117" i="5" s="1"/>
  <c r="S117" i="5" s="1"/>
  <c r="H125" i="5"/>
  <c r="Q125" i="5" s="1"/>
  <c r="S125" i="5" s="1"/>
  <c r="H132" i="5"/>
  <c r="Q132" i="5" s="1"/>
  <c r="S132" i="5" s="1"/>
  <c r="H136" i="5"/>
  <c r="Q136" i="5" s="1"/>
  <c r="S136" i="5" s="1"/>
  <c r="H140" i="5"/>
  <c r="Q140" i="5" s="1"/>
  <c r="S140" i="5" s="1"/>
  <c r="H147" i="5"/>
  <c r="Q147" i="5" s="1"/>
  <c r="S147" i="5" s="1"/>
  <c r="H151" i="5"/>
  <c r="Q151" i="5" s="1"/>
  <c r="S151" i="5" s="1"/>
  <c r="H155" i="5"/>
  <c r="Q155" i="5" s="1"/>
  <c r="S155" i="5" s="1"/>
  <c r="H162" i="5"/>
  <c r="Q162" i="5" s="1"/>
  <c r="S162" i="5" s="1"/>
  <c r="H166" i="5"/>
  <c r="Q166" i="5" s="1"/>
  <c r="S166" i="5" s="1"/>
  <c r="H5" i="6"/>
  <c r="Q5" i="6" s="1"/>
  <c r="S5" i="6" s="1"/>
  <c r="H9" i="6"/>
  <c r="Q9" i="6" s="1"/>
  <c r="S9" i="6" s="1"/>
  <c r="H13" i="6"/>
  <c r="Q13" i="6" s="1"/>
  <c r="S13" i="6" s="1"/>
  <c r="H20" i="6"/>
  <c r="Q20" i="6" s="1"/>
  <c r="S20" i="6" s="1"/>
  <c r="H24" i="6"/>
  <c r="Q24" i="6" s="1"/>
  <c r="S24" i="6" s="1"/>
  <c r="H36" i="6"/>
  <c r="Q36" i="6" s="1"/>
  <c r="S36" i="6" s="1"/>
  <c r="H40" i="6"/>
  <c r="Q40" i="6" s="1"/>
  <c r="S40" i="6" s="1"/>
  <c r="H47" i="6"/>
  <c r="Q47" i="6" s="1"/>
  <c r="S47" i="6" s="1"/>
  <c r="H51" i="6"/>
  <c r="Q51" i="6" s="1"/>
  <c r="S51" i="6" s="1"/>
  <c r="H55" i="6"/>
  <c r="Q55" i="6" s="1"/>
  <c r="S55" i="6" s="1"/>
  <c r="H66" i="6"/>
  <c r="Q66" i="6" s="1"/>
  <c r="S66" i="6" s="1"/>
  <c r="H70" i="6"/>
  <c r="Q70" i="6" s="1"/>
  <c r="S70" i="6" s="1"/>
  <c r="H81" i="6"/>
  <c r="Q81" i="6" s="1"/>
  <c r="S81" i="6" s="1"/>
  <c r="H85" i="6"/>
  <c r="Q85" i="6" s="1"/>
  <c r="S85" i="6" s="1"/>
  <c r="H92" i="6"/>
  <c r="Q92" i="6" s="1"/>
  <c r="S92" i="6" s="1"/>
  <c r="H96" i="6"/>
  <c r="Q96" i="6" s="1"/>
  <c r="S96" i="6" s="1"/>
  <c r="H122" i="6"/>
  <c r="Q122" i="6" s="1"/>
  <c r="S122" i="6" s="1"/>
  <c r="H126" i="6"/>
  <c r="Q126" i="6" s="1"/>
  <c r="S126" i="6" s="1"/>
  <c r="H133" i="6"/>
  <c r="Q133" i="6" s="1"/>
  <c r="S133" i="6" s="1"/>
  <c r="H137" i="6"/>
  <c r="Q137" i="6" s="1"/>
  <c r="S137" i="6" s="1"/>
  <c r="H141" i="6"/>
  <c r="Q141" i="6" s="1"/>
  <c r="S141" i="6" s="1"/>
  <c r="H152" i="6"/>
  <c r="Q152" i="6" s="1"/>
  <c r="S152" i="6" s="1"/>
  <c r="H159" i="6"/>
  <c r="Q159" i="6" s="1"/>
  <c r="S159" i="6" s="1"/>
  <c r="H167" i="6"/>
  <c r="Q167" i="6" s="1"/>
  <c r="S167" i="6" s="1"/>
  <c r="H21" i="7"/>
  <c r="Q21" i="7" s="1"/>
  <c r="S21" i="7" s="1"/>
  <c r="H62" i="7"/>
  <c r="Q62" i="7" s="1"/>
  <c r="S62" i="7" s="1"/>
  <c r="H10" i="8"/>
  <c r="Q10" i="8" s="1"/>
  <c r="S10" i="8" s="1"/>
  <c r="H25" i="8"/>
  <c r="Q25" i="8" s="1"/>
  <c r="S25" i="8" s="1"/>
  <c r="H40" i="8"/>
  <c r="Q40" i="8" s="1"/>
  <c r="S40" i="8" s="1"/>
  <c r="H47" i="8"/>
  <c r="Q47" i="8" s="1"/>
  <c r="S47" i="8" s="1"/>
  <c r="H51" i="8"/>
  <c r="Q51" i="8" s="1"/>
  <c r="S51" i="8" s="1"/>
  <c r="H55" i="8"/>
  <c r="Q55" i="8" s="1"/>
  <c r="S55" i="8" s="1"/>
  <c r="H62" i="8"/>
  <c r="Q62" i="8" s="1"/>
  <c r="S62" i="8" s="1"/>
  <c r="H6" i="9"/>
  <c r="Q6" i="9" s="1"/>
  <c r="S6" i="9" s="1"/>
  <c r="H25" i="9"/>
  <c r="Q25" i="9" s="1"/>
  <c r="S25" i="9" s="1"/>
  <c r="H29" i="9"/>
  <c r="Q29" i="9" s="1"/>
  <c r="S29" i="9" s="1"/>
  <c r="H99" i="1"/>
  <c r="Q99" i="1" s="1"/>
  <c r="S99" i="1" s="1"/>
  <c r="H106" i="1"/>
  <c r="Q106" i="1" s="1"/>
  <c r="S106" i="1" s="1"/>
  <c r="BO17" i="1" s="1"/>
  <c r="H110" i="1"/>
  <c r="Q110" i="1" s="1"/>
  <c r="S110" i="1" s="1"/>
  <c r="BO21" i="1" s="1"/>
  <c r="H117" i="1"/>
  <c r="Q117" i="1" s="1"/>
  <c r="S117" i="1" s="1"/>
  <c r="BU14" i="1" s="1"/>
  <c r="H121" i="1"/>
  <c r="Q121" i="1" s="1"/>
  <c r="S121" i="1" s="1"/>
  <c r="BU18" i="1" s="1"/>
  <c r="H125" i="1"/>
  <c r="Q125" i="1" s="1"/>
  <c r="S125" i="1" s="1"/>
  <c r="BU22" i="1" s="1"/>
  <c r="H140" i="1"/>
  <c r="Q140" i="1" s="1"/>
  <c r="S140" i="1" s="1"/>
  <c r="CA23" i="1" s="1"/>
  <c r="H155" i="1"/>
  <c r="Q155" i="1" s="1"/>
  <c r="S155" i="1" s="1"/>
  <c r="H159" i="1"/>
  <c r="Q159" i="1" s="1"/>
  <c r="S159" i="1" s="1"/>
  <c r="CM14" i="1" s="1"/>
  <c r="H167" i="1"/>
  <c r="Q167" i="1" s="1"/>
  <c r="S167" i="1" s="1"/>
  <c r="CM22" i="1" s="1"/>
  <c r="H20" i="2"/>
  <c r="Q20" i="2" s="1"/>
  <c r="S20" i="2" s="1"/>
  <c r="H24" i="2"/>
  <c r="Q24" i="2" s="1"/>
  <c r="S24" i="2" s="1"/>
  <c r="H35" i="2"/>
  <c r="Q35" i="2" s="1"/>
  <c r="S35" i="2" s="1"/>
  <c r="H39" i="2"/>
  <c r="Q39" i="2" s="1"/>
  <c r="S39" i="2" s="1"/>
  <c r="H48" i="2"/>
  <c r="Q48" i="2" s="1"/>
  <c r="S48" i="2" s="1"/>
  <c r="H52" i="2"/>
  <c r="Q52" i="2" s="1"/>
  <c r="S52" i="2" s="1"/>
  <c r="H56" i="2"/>
  <c r="Q56" i="2" s="1"/>
  <c r="S56" i="2" s="1"/>
  <c r="H63" i="2"/>
  <c r="Q63" i="2" s="1"/>
  <c r="S63" i="2" s="1"/>
  <c r="H67" i="2"/>
  <c r="Q67" i="2" s="1"/>
  <c r="S67" i="2" s="1"/>
  <c r="H71" i="2"/>
  <c r="Q71" i="2" s="1"/>
  <c r="S71" i="2" s="1"/>
  <c r="H78" i="2"/>
  <c r="Q78" i="2" s="1"/>
  <c r="S78" i="2" s="1"/>
  <c r="H82" i="2"/>
  <c r="Q82" i="2" s="1"/>
  <c r="S82" i="2" s="1"/>
  <c r="H93" i="2"/>
  <c r="Q93" i="2" s="1"/>
  <c r="S93" i="2" s="1"/>
  <c r="H97" i="2"/>
  <c r="Q97" i="2" s="1"/>
  <c r="S97" i="2" s="1"/>
  <c r="H104" i="2"/>
  <c r="Q104" i="2" s="1"/>
  <c r="S104" i="2" s="1"/>
  <c r="H108" i="2"/>
  <c r="Q108" i="2" s="1"/>
  <c r="S108" i="2" s="1"/>
  <c r="H112" i="2"/>
  <c r="Q112" i="2" s="1"/>
  <c r="S112" i="2" s="1"/>
  <c r="H119" i="2"/>
  <c r="Q119" i="2" s="1"/>
  <c r="S119" i="2" s="1"/>
  <c r="H123" i="2"/>
  <c r="Q123" i="2" s="1"/>
  <c r="S123" i="2" s="1"/>
  <c r="H134" i="2"/>
  <c r="Q134" i="2" s="1"/>
  <c r="S134" i="2" s="1"/>
  <c r="H145" i="2"/>
  <c r="Q145" i="2" s="1"/>
  <c r="S145" i="2" s="1"/>
  <c r="H149" i="2"/>
  <c r="Q149" i="2" s="1"/>
  <c r="S149" i="2" s="1"/>
  <c r="H160" i="2"/>
  <c r="Q160" i="2" s="1"/>
  <c r="S160" i="2" s="1"/>
  <c r="H168" i="2"/>
  <c r="Q168" i="2" s="1"/>
  <c r="S168" i="2" s="1"/>
  <c r="H22" i="3"/>
  <c r="Q22" i="3" s="1"/>
  <c r="S22" i="3" s="1"/>
  <c r="H26" i="3"/>
  <c r="Q26" i="3" s="1"/>
  <c r="S26" i="3" s="1"/>
  <c r="H37" i="3"/>
  <c r="Q37" i="3" s="1"/>
  <c r="S37" i="3" s="1"/>
  <c r="H41" i="3"/>
  <c r="Q41" i="3" s="1"/>
  <c r="S41" i="3" s="1"/>
  <c r="H48" i="3"/>
  <c r="Q48" i="3" s="1"/>
  <c r="S48" i="3" s="1"/>
  <c r="H52" i="3"/>
  <c r="Q52" i="3" s="1"/>
  <c r="S52" i="3" s="1"/>
  <c r="H56" i="3"/>
  <c r="Q56" i="3" s="1"/>
  <c r="S56" i="3" s="1"/>
  <c r="H63" i="3"/>
  <c r="Q63" i="3" s="1"/>
  <c r="S63" i="3" s="1"/>
  <c r="H67" i="3"/>
  <c r="Q67" i="3" s="1"/>
  <c r="S67" i="3" s="1"/>
  <c r="H71" i="3"/>
  <c r="Q71" i="3" s="1"/>
  <c r="S71" i="3" s="1"/>
  <c r="H78" i="3"/>
  <c r="Q78" i="3" s="1"/>
  <c r="S78" i="3" s="1"/>
  <c r="H82" i="3"/>
  <c r="Q82" i="3" s="1"/>
  <c r="S82" i="3" s="1"/>
  <c r="H93" i="3"/>
  <c r="Q93" i="3" s="1"/>
  <c r="S93" i="3" s="1"/>
  <c r="H97" i="3"/>
  <c r="Q97" i="3" s="1"/>
  <c r="S97" i="3" s="1"/>
  <c r="H108" i="3"/>
  <c r="Q108" i="3" s="1"/>
  <c r="S108" i="3" s="1"/>
  <c r="H112" i="3"/>
  <c r="Q112" i="3" s="1"/>
  <c r="S112" i="3" s="1"/>
  <c r="H119" i="3"/>
  <c r="Q119" i="3" s="1"/>
  <c r="S119" i="3" s="1"/>
  <c r="H127" i="3"/>
  <c r="Q127" i="3" s="1"/>
  <c r="S127" i="3" s="1"/>
  <c r="H138" i="3"/>
  <c r="Q138" i="3" s="1"/>
  <c r="S138" i="3" s="1"/>
  <c r="H149" i="3"/>
  <c r="Q149" i="3" s="1"/>
  <c r="S149" i="3" s="1"/>
  <c r="H153" i="3"/>
  <c r="Q153" i="3" s="1"/>
  <c r="S153" i="3" s="1"/>
  <c r="H164" i="3"/>
  <c r="Q164" i="3" s="1"/>
  <c r="S164" i="3" s="1"/>
  <c r="H168" i="3"/>
  <c r="Q168" i="3" s="1"/>
  <c r="S168" i="3" s="1"/>
  <c r="H7" i="5"/>
  <c r="Q7" i="5" s="1"/>
  <c r="S7" i="5" s="1"/>
  <c r="H8" i="5"/>
  <c r="Q8" i="5" s="1"/>
  <c r="S8" i="5" s="1"/>
  <c r="H15" i="5"/>
  <c r="Q15" i="5" s="1"/>
  <c r="S15" i="5" s="1"/>
  <c r="H24" i="5"/>
  <c r="Q24" i="5" s="1"/>
  <c r="S24" i="5" s="1"/>
  <c r="H34" i="5"/>
  <c r="Q34" i="5" s="1"/>
  <c r="S34" i="5" s="1"/>
  <c r="H34" i="6"/>
  <c r="Q34" i="6" s="1"/>
  <c r="S34" i="6" s="1"/>
  <c r="H38" i="6"/>
  <c r="Q38" i="6" s="1"/>
  <c r="S38" i="6" s="1"/>
  <c r="H49" i="6"/>
  <c r="Q49" i="6" s="1"/>
  <c r="S49" i="6" s="1"/>
  <c r="H57" i="6"/>
  <c r="Q57" i="6" s="1"/>
  <c r="S57" i="6" s="1"/>
  <c r="H68" i="6"/>
  <c r="Q68" i="6" s="1"/>
  <c r="S68" i="6" s="1"/>
  <c r="H83" i="6"/>
  <c r="Q83" i="6" s="1"/>
  <c r="S83" i="6" s="1"/>
  <c r="H90" i="6"/>
  <c r="Q90" i="6" s="1"/>
  <c r="S90" i="6" s="1"/>
  <c r="H98" i="6"/>
  <c r="Q98" i="6" s="1"/>
  <c r="S98" i="6" s="1"/>
  <c r="H109" i="6"/>
  <c r="Q109" i="6" s="1"/>
  <c r="S109" i="6" s="1"/>
  <c r="H113" i="6"/>
  <c r="Q113" i="6" s="1"/>
  <c r="S113" i="6" s="1"/>
  <c r="H120" i="6"/>
  <c r="Q120" i="6" s="1"/>
  <c r="S120" i="6" s="1"/>
  <c r="H139" i="6"/>
  <c r="Q139" i="6" s="1"/>
  <c r="S139" i="6" s="1"/>
  <c r="H146" i="6"/>
  <c r="Q146" i="6" s="1"/>
  <c r="S146" i="6" s="1"/>
  <c r="H161" i="6"/>
  <c r="Q161" i="6" s="1"/>
  <c r="S161" i="6" s="1"/>
  <c r="H165" i="6"/>
  <c r="Q165" i="6" s="1"/>
  <c r="S165" i="6" s="1"/>
  <c r="H169" i="6"/>
  <c r="Q169" i="6" s="1"/>
  <c r="S169" i="6" s="1"/>
  <c r="H8" i="7"/>
  <c r="Q8" i="7" s="1"/>
  <c r="S8" i="7" s="1"/>
  <c r="H12" i="7"/>
  <c r="Q12" i="7" s="1"/>
  <c r="S12" i="7" s="1"/>
  <c r="H19" i="7"/>
  <c r="Q19" i="7" s="1"/>
  <c r="S19" i="7" s="1"/>
  <c r="H23" i="7"/>
  <c r="Q23" i="7" s="1"/>
  <c r="S23" i="7" s="1"/>
  <c r="H27" i="7"/>
  <c r="Q27" i="7" s="1"/>
  <c r="S27" i="7" s="1"/>
  <c r="H34" i="7"/>
  <c r="Q34" i="7" s="1"/>
  <c r="S34" i="7" s="1"/>
  <c r="H38" i="7"/>
  <c r="Q38" i="7" s="1"/>
  <c r="S38" i="7" s="1"/>
  <c r="H42" i="7"/>
  <c r="Q42" i="7" s="1"/>
  <c r="S42" i="7" s="1"/>
  <c r="H49" i="7"/>
  <c r="Q49" i="7" s="1"/>
  <c r="S49" i="7" s="1"/>
  <c r="H53" i="7"/>
  <c r="Q53" i="7" s="1"/>
  <c r="S53" i="7" s="1"/>
  <c r="H57" i="7"/>
  <c r="Q57" i="7" s="1"/>
  <c r="S57" i="7" s="1"/>
  <c r="H64" i="7"/>
  <c r="Q64" i="7" s="1"/>
  <c r="S64" i="7" s="1"/>
  <c r="H68" i="7"/>
  <c r="Q68" i="7" s="1"/>
  <c r="S68" i="7" s="1"/>
  <c r="H75" i="7"/>
  <c r="Q75" i="7" s="1"/>
  <c r="S75" i="7" s="1"/>
  <c r="H79" i="7"/>
  <c r="Q79" i="7" s="1"/>
  <c r="S79" i="7" s="1"/>
  <c r="H83" i="7"/>
  <c r="Q83" i="7" s="1"/>
  <c r="S83" i="7" s="1"/>
  <c r="H90" i="7"/>
  <c r="Q90" i="7" s="1"/>
  <c r="S90" i="7" s="1"/>
  <c r="H94" i="7"/>
  <c r="Q94" i="7" s="1"/>
  <c r="S94" i="7" s="1"/>
  <c r="H98" i="7"/>
  <c r="Q98" i="7" s="1"/>
  <c r="S98" i="7" s="1"/>
  <c r="H105" i="7"/>
  <c r="Q105" i="7" s="1"/>
  <c r="S105" i="7" s="1"/>
  <c r="H109" i="7"/>
  <c r="Q109" i="7" s="1"/>
  <c r="S109" i="7" s="1"/>
  <c r="H113" i="7"/>
  <c r="Q113" i="7" s="1"/>
  <c r="S113" i="7" s="1"/>
  <c r="H120" i="7"/>
  <c r="Q120" i="7" s="1"/>
  <c r="S120" i="7" s="1"/>
  <c r="H124" i="7"/>
  <c r="Q124" i="7" s="1"/>
  <c r="S124" i="7" s="1"/>
  <c r="H131" i="7"/>
  <c r="Q131" i="7" s="1"/>
  <c r="S131" i="7" s="1"/>
  <c r="H135" i="7"/>
  <c r="Q135" i="7" s="1"/>
  <c r="S135" i="7" s="1"/>
  <c r="H139" i="7"/>
  <c r="Q139" i="7" s="1"/>
  <c r="S139" i="7" s="1"/>
  <c r="H146" i="7"/>
  <c r="Q146" i="7" s="1"/>
  <c r="S146" i="7" s="1"/>
  <c r="H150" i="7"/>
  <c r="Q150" i="7" s="1"/>
  <c r="S150" i="7" s="1"/>
  <c r="H154" i="7"/>
  <c r="Q154" i="7" s="1"/>
  <c r="S154" i="7" s="1"/>
  <c r="H161" i="7"/>
  <c r="Q161" i="7" s="1"/>
  <c r="S161" i="7" s="1"/>
  <c r="H165" i="7"/>
  <c r="Q165" i="7" s="1"/>
  <c r="S165" i="7" s="1"/>
  <c r="H169" i="7"/>
  <c r="Q169" i="7" s="1"/>
  <c r="S169" i="7" s="1"/>
  <c r="H8" i="8"/>
  <c r="Q8" i="8" s="1"/>
  <c r="S8" i="8" s="1"/>
  <c r="H12" i="8"/>
  <c r="Q12" i="8" s="1"/>
  <c r="S12" i="8" s="1"/>
  <c r="H27" i="8"/>
  <c r="Q27" i="8" s="1"/>
  <c r="S27" i="8" s="1"/>
  <c r="H42" i="8"/>
  <c r="Q42" i="8" s="1"/>
  <c r="S42" i="8" s="1"/>
  <c r="H49" i="8"/>
  <c r="Q49" i="8" s="1"/>
  <c r="S49" i="8" s="1"/>
  <c r="H53" i="8"/>
  <c r="Q53" i="8" s="1"/>
  <c r="S53" i="8" s="1"/>
  <c r="H57" i="8"/>
  <c r="Q57" i="8" s="1"/>
  <c r="S57" i="8" s="1"/>
  <c r="H68" i="8"/>
  <c r="Q68" i="8" s="1"/>
  <c r="S68" i="8" s="1"/>
  <c r="H75" i="8"/>
  <c r="Q75" i="8" s="1"/>
  <c r="S75" i="8" s="1"/>
  <c r="H79" i="8"/>
  <c r="Q79" i="8" s="1"/>
  <c r="S79" i="8" s="1"/>
  <c r="H83" i="8"/>
  <c r="Q83" i="8" s="1"/>
  <c r="S83" i="8" s="1"/>
  <c r="H90" i="8"/>
  <c r="Q90" i="8" s="1"/>
  <c r="S90" i="8" s="1"/>
  <c r="H94" i="8"/>
  <c r="Q94" i="8" s="1"/>
  <c r="S94" i="8" s="1"/>
  <c r="H98" i="8"/>
  <c r="Q98" i="8" s="1"/>
  <c r="S98" i="8" s="1"/>
  <c r="H105" i="8"/>
  <c r="Q105" i="8" s="1"/>
  <c r="S105" i="8" s="1"/>
  <c r="H109" i="8"/>
  <c r="Q109" i="8" s="1"/>
  <c r="S109" i="8" s="1"/>
  <c r="H113" i="8"/>
  <c r="Q113" i="8" s="1"/>
  <c r="S113" i="8" s="1"/>
  <c r="H120" i="8"/>
  <c r="Q120" i="8" s="1"/>
  <c r="S120" i="8" s="1"/>
  <c r="H124" i="8"/>
  <c r="Q124" i="8" s="1"/>
  <c r="S124" i="8" s="1"/>
  <c r="H135" i="8"/>
  <c r="Q135" i="8" s="1"/>
  <c r="S135" i="8" s="1"/>
  <c r="H139" i="8"/>
  <c r="Q139" i="8" s="1"/>
  <c r="S139" i="8" s="1"/>
  <c r="H146" i="8"/>
  <c r="Q146" i="8" s="1"/>
  <c r="S146" i="8" s="1"/>
  <c r="H150" i="8"/>
  <c r="Q150" i="8" s="1"/>
  <c r="S150" i="8" s="1"/>
  <c r="H154" i="8"/>
  <c r="Q154" i="8" s="1"/>
  <c r="S154" i="8" s="1"/>
  <c r="H165" i="8"/>
  <c r="Q165" i="8" s="1"/>
  <c r="S165" i="8" s="1"/>
  <c r="H169" i="8"/>
  <c r="Q169" i="8" s="1"/>
  <c r="S169" i="8" s="1"/>
  <c r="H8" i="9"/>
  <c r="Q8" i="9" s="1"/>
  <c r="S8" i="9" s="1"/>
  <c r="H34" i="9"/>
  <c r="Q34" i="9" s="1"/>
  <c r="S34" i="9" s="1"/>
  <c r="H42" i="9"/>
  <c r="Q42" i="9" s="1"/>
  <c r="S42" i="9" s="1"/>
  <c r="H49" i="9"/>
  <c r="Q49" i="9" s="1"/>
  <c r="S49" i="9" s="1"/>
  <c r="H53" i="9"/>
  <c r="Q53" i="9" s="1"/>
  <c r="S53" i="9" s="1"/>
  <c r="H57" i="9"/>
  <c r="Q57" i="9" s="1"/>
  <c r="S57" i="9" s="1"/>
  <c r="H68" i="9"/>
  <c r="Q68" i="9" s="1"/>
  <c r="S68" i="9" s="1"/>
  <c r="H75" i="9"/>
  <c r="Q75" i="9" s="1"/>
  <c r="S75" i="9" s="1"/>
  <c r="H79" i="9"/>
  <c r="Q79" i="9" s="1"/>
  <c r="S79" i="9" s="1"/>
  <c r="H90" i="9"/>
  <c r="Q90" i="9" s="1"/>
  <c r="S90" i="9" s="1"/>
  <c r="H94" i="9"/>
  <c r="Q94" i="9" s="1"/>
  <c r="S94" i="9" s="1"/>
  <c r="H98" i="9"/>
  <c r="Q98" i="9" s="1"/>
  <c r="S98" i="9" s="1"/>
  <c r="H105" i="9"/>
  <c r="Q105" i="9" s="1"/>
  <c r="S105" i="9" s="1"/>
  <c r="H109" i="9"/>
  <c r="Q109" i="9" s="1"/>
  <c r="S109" i="9" s="1"/>
  <c r="H113" i="9"/>
  <c r="Q113" i="9" s="1"/>
  <c r="S113" i="9" s="1"/>
  <c r="H120" i="9"/>
  <c r="Q120" i="9" s="1"/>
  <c r="S120" i="9" s="1"/>
  <c r="H124" i="9"/>
  <c r="Q124" i="9" s="1"/>
  <c r="S124" i="9" s="1"/>
  <c r="H131" i="9"/>
  <c r="Q131" i="9" s="1"/>
  <c r="S131" i="9" s="1"/>
  <c r="H135" i="9"/>
  <c r="Q135" i="9" s="1"/>
  <c r="S135" i="9" s="1"/>
  <c r="H139" i="9"/>
  <c r="Q139" i="9" s="1"/>
  <c r="S139" i="9" s="1"/>
  <c r="H150" i="9"/>
  <c r="Q150" i="9" s="1"/>
  <c r="S150" i="9" s="1"/>
  <c r="H154" i="9"/>
  <c r="Q154" i="9" s="1"/>
  <c r="S154" i="9" s="1"/>
  <c r="H161" i="9"/>
  <c r="Q161" i="9" s="1"/>
  <c r="S161" i="9" s="1"/>
  <c r="H164" i="9"/>
  <c r="Q164" i="9" s="1"/>
  <c r="S164" i="9" s="1"/>
  <c r="H168" i="9"/>
  <c r="Q168" i="9" s="1"/>
  <c r="S168" i="9" s="1"/>
  <c r="H7" i="10"/>
  <c r="Q7" i="10" s="1"/>
  <c r="S7" i="10" s="1"/>
  <c r="H15" i="10"/>
  <c r="Q15" i="10" s="1"/>
  <c r="S15" i="10" s="1"/>
  <c r="H22" i="10"/>
  <c r="Q22" i="10" s="1"/>
  <c r="S22" i="10" s="1"/>
  <c r="H26" i="10"/>
  <c r="Q26" i="10" s="1"/>
  <c r="S26" i="10" s="1"/>
  <c r="H37" i="10"/>
  <c r="Q37" i="10" s="1"/>
  <c r="S37" i="10" s="1"/>
  <c r="H36" i="9"/>
  <c r="Q36" i="9" s="1"/>
  <c r="S36" i="9" s="1"/>
  <c r="H40" i="9"/>
  <c r="Q40" i="9" s="1"/>
  <c r="S40" i="9" s="1"/>
  <c r="H47" i="9"/>
  <c r="Q47" i="9" s="1"/>
  <c r="S47" i="9" s="1"/>
  <c r="H51" i="9"/>
  <c r="Q51" i="9" s="1"/>
  <c r="S51" i="9" s="1"/>
  <c r="H55" i="9"/>
  <c r="Q55" i="9" s="1"/>
  <c r="S55" i="9" s="1"/>
  <c r="H166" i="9"/>
  <c r="Q166" i="9" s="1"/>
  <c r="S166" i="9" s="1"/>
  <c r="H5" i="10"/>
  <c r="Q5" i="10" s="1"/>
  <c r="S5" i="10" s="1"/>
  <c r="H24" i="10"/>
  <c r="Q24" i="10" s="1"/>
  <c r="S24" i="10" s="1"/>
  <c r="H28" i="10"/>
  <c r="Q28" i="10" s="1"/>
  <c r="S28" i="10" s="1"/>
  <c r="H35" i="10"/>
  <c r="Q35" i="10" s="1"/>
  <c r="S35" i="10" s="1"/>
  <c r="H39" i="10"/>
  <c r="Q39" i="10" s="1"/>
  <c r="S39" i="10" s="1"/>
  <c r="H43" i="10"/>
  <c r="Q43" i="10" s="1"/>
  <c r="S43" i="10" s="1"/>
  <c r="H50" i="10"/>
  <c r="Q50" i="10" s="1"/>
  <c r="S50" i="10" s="1"/>
  <c r="H61" i="10"/>
  <c r="Q61" i="10" s="1"/>
  <c r="S61" i="10" s="1"/>
  <c r="H65" i="10"/>
  <c r="Q65" i="10" s="1"/>
  <c r="S65" i="10" s="1"/>
  <c r="H80" i="10"/>
  <c r="Q80" i="10" s="1"/>
  <c r="S80" i="10" s="1"/>
  <c r="H84" i="10"/>
  <c r="Q84" i="10" s="1"/>
  <c r="S84" i="10" s="1"/>
  <c r="H91" i="10"/>
  <c r="Q91" i="10" s="1"/>
  <c r="S91" i="10" s="1"/>
  <c r="H95" i="10"/>
  <c r="Q95" i="10" s="1"/>
  <c r="S95" i="10" s="1"/>
  <c r="H99" i="10"/>
  <c r="Q99" i="10" s="1"/>
  <c r="S99" i="10" s="1"/>
  <c r="H106" i="10"/>
  <c r="Q106" i="10" s="1"/>
  <c r="S106" i="10" s="1"/>
  <c r="H121" i="10"/>
  <c r="Q121" i="10" s="1"/>
  <c r="S121" i="10" s="1"/>
  <c r="H125" i="10"/>
  <c r="Q125" i="10" s="1"/>
  <c r="S125" i="10" s="1"/>
  <c r="H136" i="10"/>
  <c r="Q136" i="10" s="1"/>
  <c r="S136" i="10" s="1"/>
  <c r="H140" i="10"/>
  <c r="Q140" i="10" s="1"/>
  <c r="S140" i="10" s="1"/>
  <c r="H151" i="10"/>
  <c r="Q151" i="10" s="1"/>
  <c r="S151" i="10" s="1"/>
  <c r="H155" i="10"/>
  <c r="Q155" i="10" s="1"/>
  <c r="S155" i="10" s="1"/>
  <c r="H7" i="11"/>
  <c r="Q7" i="11" s="1"/>
  <c r="S7" i="11" s="1"/>
  <c r="H11" i="11"/>
  <c r="Q11" i="11" s="1"/>
  <c r="S11" i="11" s="1"/>
  <c r="H15" i="11"/>
  <c r="Q15" i="11" s="1"/>
  <c r="S15" i="11" s="1"/>
  <c r="H22" i="11"/>
  <c r="Q22" i="11" s="1"/>
  <c r="S22" i="11" s="1"/>
  <c r="H26" i="11"/>
  <c r="Q26" i="11" s="1"/>
  <c r="S26" i="11" s="1"/>
  <c r="H33" i="11"/>
  <c r="Q33" i="11" s="1"/>
  <c r="S33" i="11" s="1"/>
  <c r="H37" i="11"/>
  <c r="Q37" i="11" s="1"/>
  <c r="S37" i="11" s="1"/>
  <c r="H41" i="11"/>
  <c r="Q41" i="11" s="1"/>
  <c r="S41" i="11" s="1"/>
  <c r="H48" i="11"/>
  <c r="Q48" i="11" s="1"/>
  <c r="S48" i="11" s="1"/>
  <c r="H52" i="11"/>
  <c r="Q52" i="11" s="1"/>
  <c r="S52" i="11" s="1"/>
  <c r="H56" i="11"/>
  <c r="Q56" i="11" s="1"/>
  <c r="S56" i="11" s="1"/>
  <c r="H63" i="11"/>
  <c r="Q63" i="11" s="1"/>
  <c r="S63" i="11" s="1"/>
  <c r="H67" i="11"/>
  <c r="Q67" i="11" s="1"/>
  <c r="S67" i="11" s="1"/>
  <c r="H71" i="11"/>
  <c r="Q71" i="11" s="1"/>
  <c r="S71" i="11" s="1"/>
  <c r="H78" i="11"/>
  <c r="Q78" i="11" s="1"/>
  <c r="S78" i="11" s="1"/>
  <c r="H82" i="11"/>
  <c r="Q82" i="11" s="1"/>
  <c r="S82" i="11" s="1"/>
  <c r="H85" i="11"/>
  <c r="Q85" i="11" s="1"/>
  <c r="S85" i="11" s="1"/>
  <c r="H92" i="11"/>
  <c r="Q92" i="11" s="1"/>
  <c r="S92" i="11" s="1"/>
  <c r="H96" i="11"/>
  <c r="Q96" i="11" s="1"/>
  <c r="S96" i="11" s="1"/>
  <c r="H8" i="12"/>
  <c r="Q8" i="12" s="1"/>
  <c r="S8" i="12" s="1"/>
  <c r="H12" i="12"/>
  <c r="Q12" i="12" s="1"/>
  <c r="S12" i="12" s="1"/>
  <c r="H19" i="12"/>
  <c r="Q19" i="12" s="1"/>
  <c r="S19" i="12" s="1"/>
  <c r="H23" i="12"/>
  <c r="Q23" i="12" s="1"/>
  <c r="S23" i="12" s="1"/>
  <c r="H27" i="12"/>
  <c r="Q27" i="12" s="1"/>
  <c r="S27" i="12" s="1"/>
  <c r="H34" i="12"/>
  <c r="Q34" i="12" s="1"/>
  <c r="S34" i="12" s="1"/>
  <c r="H38" i="12"/>
  <c r="Q38" i="12" s="1"/>
  <c r="S38" i="12" s="1"/>
  <c r="H42" i="12"/>
  <c r="Q42" i="12" s="1"/>
  <c r="S42" i="12" s="1"/>
  <c r="H49" i="12"/>
  <c r="Q49" i="12" s="1"/>
  <c r="S49" i="12" s="1"/>
  <c r="H53" i="12"/>
  <c r="Q53" i="12" s="1"/>
  <c r="S53" i="12" s="1"/>
  <c r="H57" i="12"/>
  <c r="Q57" i="12" s="1"/>
  <c r="S57" i="12" s="1"/>
  <c r="H64" i="12"/>
  <c r="Q64" i="12" s="1"/>
  <c r="S64" i="12" s="1"/>
  <c r="H68" i="12"/>
  <c r="Q68" i="12" s="1"/>
  <c r="S68" i="12" s="1"/>
  <c r="H75" i="12"/>
  <c r="Q75" i="12" s="1"/>
  <c r="S75" i="12" s="1"/>
  <c r="H79" i="12"/>
  <c r="Q79" i="12" s="1"/>
  <c r="S79" i="12" s="1"/>
  <c r="H83" i="12"/>
  <c r="Q83" i="12" s="1"/>
  <c r="S83" i="12" s="1"/>
  <c r="H90" i="12"/>
  <c r="Q90" i="12" s="1"/>
  <c r="S90" i="12" s="1"/>
  <c r="H94" i="12"/>
  <c r="Q94" i="12" s="1"/>
  <c r="S94" i="12" s="1"/>
  <c r="H98" i="12"/>
  <c r="Q98" i="12" s="1"/>
  <c r="S98" i="12" s="1"/>
  <c r="H105" i="12"/>
  <c r="Q105" i="12" s="1"/>
  <c r="S105" i="12" s="1"/>
  <c r="H109" i="12"/>
  <c r="Q109" i="12" s="1"/>
  <c r="S109" i="12" s="1"/>
  <c r="H113" i="12"/>
  <c r="Q113" i="12" s="1"/>
  <c r="S113" i="12" s="1"/>
  <c r="H120" i="12"/>
  <c r="Q120" i="12" s="1"/>
  <c r="S120" i="12" s="1"/>
  <c r="H124" i="12"/>
  <c r="Q124" i="12" s="1"/>
  <c r="S124" i="12" s="1"/>
  <c r="H131" i="12"/>
  <c r="Q131" i="12" s="1"/>
  <c r="S131" i="12" s="1"/>
  <c r="H135" i="12"/>
  <c r="Q135" i="12" s="1"/>
  <c r="S135" i="12" s="1"/>
  <c r="H139" i="12"/>
  <c r="Q139" i="12" s="1"/>
  <c r="S139" i="12" s="1"/>
  <c r="H146" i="12"/>
  <c r="Q146" i="12" s="1"/>
  <c r="S146" i="12" s="1"/>
  <c r="H150" i="12"/>
  <c r="Q150" i="12" s="1"/>
  <c r="S150" i="12" s="1"/>
  <c r="H154" i="12"/>
  <c r="Q154" i="12" s="1"/>
  <c r="S154" i="12" s="1"/>
  <c r="H161" i="12"/>
  <c r="Q161" i="12" s="1"/>
  <c r="S161" i="12" s="1"/>
  <c r="H165" i="12"/>
  <c r="Q165" i="12" s="1"/>
  <c r="S165" i="12" s="1"/>
  <c r="H169" i="12"/>
  <c r="Q169" i="12" s="1"/>
  <c r="S169" i="12" s="1"/>
  <c r="H41" i="10"/>
  <c r="Q41" i="10" s="1"/>
  <c r="S41" i="10" s="1"/>
  <c r="H48" i="10"/>
  <c r="Q48" i="10" s="1"/>
  <c r="S48" i="10" s="1"/>
  <c r="H52" i="10"/>
  <c r="Q52" i="10" s="1"/>
  <c r="S52" i="10" s="1"/>
  <c r="H56" i="10"/>
  <c r="Q56" i="10" s="1"/>
  <c r="S56" i="10" s="1"/>
  <c r="H63" i="10"/>
  <c r="Q63" i="10" s="1"/>
  <c r="S63" i="10" s="1"/>
  <c r="H67" i="10"/>
  <c r="Q67" i="10" s="1"/>
  <c r="S67" i="10" s="1"/>
  <c r="H71" i="10"/>
  <c r="Q71" i="10" s="1"/>
  <c r="S71" i="10" s="1"/>
  <c r="H82" i="10"/>
  <c r="Q82" i="10" s="1"/>
  <c r="S82" i="10" s="1"/>
  <c r="H89" i="10"/>
  <c r="Q89" i="10" s="1"/>
  <c r="S89" i="10" s="1"/>
  <c r="H93" i="10"/>
  <c r="Q93" i="10" s="1"/>
  <c r="S93" i="10" s="1"/>
  <c r="H97" i="10"/>
  <c r="Q97" i="10" s="1"/>
  <c r="S97" i="10" s="1"/>
  <c r="H108" i="10"/>
  <c r="Q108" i="10" s="1"/>
  <c r="S108" i="10" s="1"/>
  <c r="H112" i="10"/>
  <c r="Q112" i="10" s="1"/>
  <c r="S112" i="10" s="1"/>
  <c r="H123" i="10"/>
  <c r="Q123" i="10" s="1"/>
  <c r="S123" i="10" s="1"/>
  <c r="H127" i="10"/>
  <c r="Q127" i="10" s="1"/>
  <c r="S127" i="10" s="1"/>
  <c r="H134" i="10"/>
  <c r="Q134" i="10" s="1"/>
  <c r="S134" i="10" s="1"/>
  <c r="H138" i="10"/>
  <c r="Q138" i="10" s="1"/>
  <c r="S138" i="10" s="1"/>
  <c r="H145" i="10"/>
  <c r="Q145" i="10" s="1"/>
  <c r="S145" i="10" s="1"/>
  <c r="H153" i="10"/>
  <c r="Q153" i="10" s="1"/>
  <c r="S153" i="10" s="1"/>
  <c r="H160" i="10"/>
  <c r="Q160" i="10" s="1"/>
  <c r="S160" i="10" s="1"/>
  <c r="H164" i="10"/>
  <c r="Q164" i="10" s="1"/>
  <c r="S164" i="10" s="1"/>
  <c r="H168" i="10"/>
  <c r="Q168" i="10" s="1"/>
  <c r="S168" i="10" s="1"/>
  <c r="H5" i="11"/>
  <c r="Q5" i="11" s="1"/>
  <c r="S5" i="11" s="1"/>
  <c r="H9" i="11"/>
  <c r="Q9" i="11" s="1"/>
  <c r="S9" i="11" s="1"/>
  <c r="H13" i="11"/>
  <c r="Q13" i="11" s="1"/>
  <c r="S13" i="11" s="1"/>
  <c r="H20" i="11"/>
  <c r="Q20" i="11" s="1"/>
  <c r="S20" i="11" s="1"/>
  <c r="H24" i="11"/>
  <c r="Q24" i="11" s="1"/>
  <c r="S24" i="11" s="1"/>
  <c r="H28" i="11"/>
  <c r="Q28" i="11" s="1"/>
  <c r="S28" i="11" s="1"/>
  <c r="H35" i="11"/>
  <c r="Q35" i="11" s="1"/>
  <c r="S35" i="11" s="1"/>
  <c r="H43" i="11"/>
  <c r="Q43" i="11" s="1"/>
  <c r="S43" i="11" s="1"/>
  <c r="H50" i="11"/>
  <c r="Q50" i="11" s="1"/>
  <c r="S50" i="11" s="1"/>
  <c r="H61" i="11"/>
  <c r="Q61" i="11" s="1"/>
  <c r="S61" i="11" s="1"/>
  <c r="H69" i="11"/>
  <c r="Q69" i="11" s="1"/>
  <c r="S69" i="11" s="1"/>
  <c r="H94" i="11"/>
  <c r="Q94" i="11" s="1"/>
  <c r="S94" i="11" s="1"/>
  <c r="H98" i="11"/>
  <c r="Q98" i="11" s="1"/>
  <c r="S98" i="11" s="1"/>
  <c r="H84" i="11"/>
  <c r="Q84" i="11" s="1"/>
  <c r="S84" i="11" s="1"/>
  <c r="H36" i="12"/>
  <c r="Q36" i="12" s="1"/>
  <c r="S36" i="12" s="1"/>
  <c r="H40" i="12"/>
  <c r="Q40" i="12" s="1"/>
  <c r="S40" i="12" s="1"/>
  <c r="H145" i="12"/>
  <c r="Q145" i="12" s="1"/>
  <c r="S145" i="12" s="1"/>
  <c r="H149" i="12"/>
  <c r="Q149" i="12" s="1"/>
  <c r="S149" i="12" s="1"/>
  <c r="H153" i="12"/>
  <c r="Q153" i="12" s="1"/>
  <c r="S153" i="12" s="1"/>
  <c r="H134" i="12"/>
  <c r="Q134" i="12" s="1"/>
  <c r="S134" i="12" s="1"/>
  <c r="H138" i="12"/>
  <c r="Q138" i="12" s="1"/>
  <c r="S138" i="12" s="1"/>
  <c r="H104" i="12"/>
  <c r="Q104" i="12" s="1"/>
  <c r="S104" i="12" s="1"/>
  <c r="H108" i="12"/>
  <c r="Q108" i="12" s="1"/>
  <c r="S108" i="12" s="1"/>
  <c r="H112" i="12"/>
  <c r="Q112" i="12" s="1"/>
  <c r="S112" i="12" s="1"/>
  <c r="H78" i="12"/>
  <c r="Q78" i="12" s="1"/>
  <c r="S78" i="12" s="1"/>
  <c r="H82" i="12"/>
  <c r="Q82" i="12" s="1"/>
  <c r="S82" i="12" s="1"/>
  <c r="H62" i="12"/>
  <c r="Q62" i="12" s="1"/>
  <c r="S62" i="12" s="1"/>
  <c r="H47" i="12"/>
  <c r="Q47" i="12" s="1"/>
  <c r="S47" i="12" s="1"/>
  <c r="H51" i="12"/>
  <c r="Q51" i="12" s="1"/>
  <c r="S51" i="12" s="1"/>
  <c r="H55" i="12"/>
  <c r="Q55" i="12" s="1"/>
  <c r="S55" i="12" s="1"/>
  <c r="H33" i="12"/>
  <c r="Q33" i="12" s="1"/>
  <c r="S33" i="12" s="1"/>
  <c r="H37" i="12"/>
  <c r="Q37" i="12" s="1"/>
  <c r="S37" i="12" s="1"/>
  <c r="H41" i="12"/>
  <c r="Q41" i="12" s="1"/>
  <c r="S41" i="12" s="1"/>
  <c r="H21" i="12"/>
  <c r="Q21" i="12" s="1"/>
  <c r="S21" i="12" s="1"/>
  <c r="H25" i="12"/>
  <c r="Q25" i="12" s="1"/>
  <c r="S25" i="12" s="1"/>
  <c r="H29" i="12"/>
  <c r="Q29" i="12" s="1"/>
  <c r="S29" i="12" s="1"/>
  <c r="H6" i="12"/>
  <c r="Q6" i="12" s="1"/>
  <c r="S6" i="12" s="1"/>
  <c r="H10" i="12"/>
  <c r="Q10" i="12" s="1"/>
  <c r="S10" i="12" s="1"/>
  <c r="H14" i="12"/>
  <c r="Q14" i="12" s="1"/>
  <c r="S14" i="12" s="1"/>
  <c r="H66" i="12"/>
  <c r="Q66" i="12" s="1"/>
  <c r="S66" i="12" s="1"/>
  <c r="H70" i="12"/>
  <c r="Q70" i="12" s="1"/>
  <c r="S70" i="12" s="1"/>
  <c r="H77" i="12"/>
  <c r="Q77" i="12" s="1"/>
  <c r="S77" i="12" s="1"/>
  <c r="H81" i="12"/>
  <c r="Q81" i="12" s="1"/>
  <c r="S81" i="12" s="1"/>
  <c r="H85" i="12"/>
  <c r="Q85" i="12" s="1"/>
  <c r="S85" i="12" s="1"/>
  <c r="H92" i="12"/>
  <c r="Q92" i="12" s="1"/>
  <c r="S92" i="12" s="1"/>
  <c r="H96" i="12"/>
  <c r="Q96" i="12" s="1"/>
  <c r="S96" i="12" s="1"/>
  <c r="H103" i="12"/>
  <c r="Q103" i="12" s="1"/>
  <c r="S103" i="12" s="1"/>
  <c r="H107" i="12"/>
  <c r="Q107" i="12" s="1"/>
  <c r="S107" i="12" s="1"/>
  <c r="H111" i="12"/>
  <c r="Q111" i="12" s="1"/>
  <c r="S111" i="12" s="1"/>
  <c r="H118" i="12"/>
  <c r="Q118" i="12" s="1"/>
  <c r="S118" i="12" s="1"/>
  <c r="H122" i="12"/>
  <c r="Q122" i="12" s="1"/>
  <c r="S122" i="12" s="1"/>
  <c r="H126" i="12"/>
  <c r="Q126" i="12" s="1"/>
  <c r="S126" i="12" s="1"/>
  <c r="H133" i="12"/>
  <c r="Q133" i="12" s="1"/>
  <c r="S133" i="12" s="1"/>
  <c r="H137" i="12"/>
  <c r="Q137" i="12" s="1"/>
  <c r="S137" i="12" s="1"/>
  <c r="H141" i="12"/>
  <c r="Q141" i="12" s="1"/>
  <c r="S141" i="12" s="1"/>
  <c r="H148" i="12"/>
  <c r="Q148" i="12" s="1"/>
  <c r="S148" i="12" s="1"/>
  <c r="H152" i="12"/>
  <c r="Q152" i="12" s="1"/>
  <c r="S152" i="12" s="1"/>
  <c r="H159" i="12"/>
  <c r="Q159" i="12" s="1"/>
  <c r="S159" i="12" s="1"/>
  <c r="H163" i="12"/>
  <c r="Q163" i="12" s="1"/>
  <c r="S163" i="12" s="1"/>
  <c r="H167" i="12"/>
  <c r="Q167" i="12" s="1"/>
  <c r="S167" i="12" s="1"/>
  <c r="H90" i="11"/>
  <c r="Q90" i="11" s="1"/>
  <c r="S90" i="11" s="1"/>
  <c r="H89" i="11"/>
  <c r="Q89" i="11" s="1"/>
  <c r="S89" i="11" s="1"/>
  <c r="H81" i="11"/>
  <c r="Q81" i="11" s="1"/>
  <c r="S81" i="11" s="1"/>
  <c r="H80" i="11"/>
  <c r="Q80" i="11" s="1"/>
  <c r="S80" i="11" s="1"/>
  <c r="H79" i="11"/>
  <c r="Q79" i="11" s="1"/>
  <c r="S79" i="11" s="1"/>
  <c r="H77" i="11"/>
  <c r="Q77" i="11" s="1"/>
  <c r="S77" i="11" s="1"/>
  <c r="H76" i="11"/>
  <c r="Q76" i="11" s="1"/>
  <c r="S76" i="11" s="1"/>
  <c r="H68" i="11"/>
  <c r="Q68" i="11" s="1"/>
  <c r="S68" i="11" s="1"/>
  <c r="H66" i="11"/>
  <c r="Q66" i="11" s="1"/>
  <c r="S66" i="11" s="1"/>
  <c r="H65" i="11"/>
  <c r="Q65" i="11" s="1"/>
  <c r="S65" i="11" s="1"/>
  <c r="H64" i="11"/>
  <c r="Q64" i="11" s="1"/>
  <c r="S64" i="11" s="1"/>
  <c r="H54" i="11"/>
  <c r="Q54" i="11" s="1"/>
  <c r="S54" i="11" s="1"/>
  <c r="H47" i="11"/>
  <c r="Q47" i="11" s="1"/>
  <c r="S47" i="11" s="1"/>
  <c r="H42" i="11"/>
  <c r="Q42" i="11" s="1"/>
  <c r="S42" i="11" s="1"/>
  <c r="H40" i="11"/>
  <c r="Q40" i="11" s="1"/>
  <c r="S40" i="11" s="1"/>
  <c r="H39" i="11"/>
  <c r="Q39" i="11" s="1"/>
  <c r="S39" i="11" s="1"/>
  <c r="H38" i="11"/>
  <c r="Q38" i="11" s="1"/>
  <c r="S38" i="11" s="1"/>
  <c r="H36" i="11"/>
  <c r="Q36" i="11" s="1"/>
  <c r="S36" i="11" s="1"/>
  <c r="H34" i="11"/>
  <c r="Q34" i="11" s="1"/>
  <c r="S34" i="11" s="1"/>
  <c r="H29" i="11"/>
  <c r="Q29" i="11" s="1"/>
  <c r="S29" i="11" s="1"/>
  <c r="H21" i="11"/>
  <c r="Q21" i="11" s="1"/>
  <c r="S21" i="11" s="1"/>
  <c r="H19" i="11"/>
  <c r="Q19" i="11" s="1"/>
  <c r="S19" i="11" s="1"/>
  <c r="H12" i="11"/>
  <c r="Q12" i="11" s="1"/>
  <c r="S12" i="11" s="1"/>
  <c r="H6" i="11"/>
  <c r="Q6" i="11" s="1"/>
  <c r="S6" i="11" s="1"/>
  <c r="H10" i="11"/>
  <c r="Q10" i="11" s="1"/>
  <c r="S10" i="11" s="1"/>
  <c r="H14" i="11"/>
  <c r="Q14" i="11" s="1"/>
  <c r="S14" i="11" s="1"/>
  <c r="H162" i="10"/>
  <c r="Q162" i="10" s="1"/>
  <c r="S162" i="10" s="1"/>
  <c r="H161" i="10"/>
  <c r="Q161" i="10" s="1"/>
  <c r="S161" i="10" s="1"/>
  <c r="H149" i="10"/>
  <c r="Q149" i="10" s="1"/>
  <c r="S149" i="10" s="1"/>
  <c r="H147" i="10"/>
  <c r="Q147" i="10" s="1"/>
  <c r="S147" i="10" s="1"/>
  <c r="H132" i="10"/>
  <c r="Q132" i="10" s="1"/>
  <c r="S132" i="10" s="1"/>
  <c r="H131" i="10"/>
  <c r="Q131" i="10" s="1"/>
  <c r="S131" i="10" s="1"/>
  <c r="H120" i="10"/>
  <c r="Q120" i="10" s="1"/>
  <c r="S120" i="10" s="1"/>
  <c r="H119" i="10"/>
  <c r="Q119" i="10" s="1"/>
  <c r="S119" i="10" s="1"/>
  <c r="H117" i="10"/>
  <c r="Q117" i="10" s="1"/>
  <c r="S117" i="10" s="1"/>
  <c r="H105" i="10"/>
  <c r="Q105" i="10" s="1"/>
  <c r="S105" i="10" s="1"/>
  <c r="H104" i="10"/>
  <c r="Q104" i="10" s="1"/>
  <c r="S104" i="10" s="1"/>
  <c r="H90" i="10"/>
  <c r="Q90" i="10" s="1"/>
  <c r="S90" i="10" s="1"/>
  <c r="H166" i="10"/>
  <c r="Q166" i="10" s="1"/>
  <c r="S166" i="10" s="1"/>
  <c r="H150" i="10"/>
  <c r="Q150" i="10" s="1"/>
  <c r="S150" i="10" s="1"/>
  <c r="H154" i="10"/>
  <c r="Q154" i="10" s="1"/>
  <c r="S154" i="10" s="1"/>
  <c r="H139" i="10"/>
  <c r="Q139" i="10" s="1"/>
  <c r="S139" i="10" s="1"/>
  <c r="H124" i="10"/>
  <c r="Q124" i="10" s="1"/>
  <c r="S124" i="10" s="1"/>
  <c r="H110" i="10"/>
  <c r="Q110" i="10" s="1"/>
  <c r="S110" i="10" s="1"/>
  <c r="H94" i="10"/>
  <c r="Q94" i="10" s="1"/>
  <c r="S94" i="10" s="1"/>
  <c r="H98" i="10"/>
  <c r="Q98" i="10" s="1"/>
  <c r="S98" i="10" s="1"/>
  <c r="H83" i="10"/>
  <c r="Q83" i="10" s="1"/>
  <c r="S83" i="10" s="1"/>
  <c r="H79" i="10"/>
  <c r="Q79" i="10" s="1"/>
  <c r="S79" i="10" s="1"/>
  <c r="H78" i="10"/>
  <c r="Q78" i="10" s="1"/>
  <c r="S78" i="10" s="1"/>
  <c r="H76" i="10"/>
  <c r="Q76" i="10" s="1"/>
  <c r="S76" i="10" s="1"/>
  <c r="H75" i="10"/>
  <c r="Q75" i="10" s="1"/>
  <c r="S75" i="10" s="1"/>
  <c r="H69" i="10"/>
  <c r="Q69" i="10" s="1"/>
  <c r="S69" i="10" s="1"/>
  <c r="H68" i="10"/>
  <c r="Q68" i="10" s="1"/>
  <c r="S68" i="10" s="1"/>
  <c r="H64" i="10"/>
  <c r="Q64" i="10" s="1"/>
  <c r="S64" i="10" s="1"/>
  <c r="H54" i="10"/>
  <c r="Q54" i="10" s="1"/>
  <c r="S54" i="10" s="1"/>
  <c r="H42" i="10"/>
  <c r="Q42" i="10" s="1"/>
  <c r="S42" i="10" s="1"/>
  <c r="H34" i="10"/>
  <c r="Q34" i="10" s="1"/>
  <c r="S34" i="10" s="1"/>
  <c r="H33" i="10"/>
  <c r="Q33" i="10" s="1"/>
  <c r="S33" i="10" s="1"/>
  <c r="H27" i="10"/>
  <c r="Q27" i="10" s="1"/>
  <c r="S27" i="10" s="1"/>
  <c r="H23" i="10"/>
  <c r="Q23" i="10" s="1"/>
  <c r="S23" i="10" s="1"/>
  <c r="H20" i="10"/>
  <c r="Q20" i="10" s="1"/>
  <c r="S20" i="10" s="1"/>
  <c r="H13" i="10"/>
  <c r="Q13" i="10" s="1"/>
  <c r="S13" i="10" s="1"/>
  <c r="H12" i="10"/>
  <c r="Q12" i="10" s="1"/>
  <c r="S12" i="10" s="1"/>
  <c r="H11" i="10"/>
  <c r="Q11" i="10" s="1"/>
  <c r="S11" i="10" s="1"/>
  <c r="H9" i="10"/>
  <c r="Q9" i="10" s="1"/>
  <c r="S9" i="10" s="1"/>
  <c r="H8" i="10"/>
  <c r="Q8" i="10" s="1"/>
  <c r="S8" i="10" s="1"/>
  <c r="H162" i="9"/>
  <c r="Q162" i="9" s="1"/>
  <c r="S162" i="9" s="1"/>
  <c r="H147" i="9"/>
  <c r="Q147" i="9" s="1"/>
  <c r="S147" i="9" s="1"/>
  <c r="H146" i="9"/>
  <c r="Q146" i="9" s="1"/>
  <c r="S146" i="9" s="1"/>
  <c r="H136" i="9"/>
  <c r="Q136" i="9" s="1"/>
  <c r="S136" i="9" s="1"/>
  <c r="H121" i="9"/>
  <c r="Q121" i="9" s="1"/>
  <c r="S121" i="9" s="1"/>
  <c r="H91" i="9"/>
  <c r="Q91" i="9" s="1"/>
  <c r="S91" i="9" s="1"/>
  <c r="H76" i="9"/>
  <c r="Q76" i="9" s="1"/>
  <c r="S76" i="9" s="1"/>
  <c r="H65" i="9"/>
  <c r="Q65" i="9" s="1"/>
  <c r="S65" i="9" s="1"/>
  <c r="H64" i="9"/>
  <c r="Q64" i="9" s="1"/>
  <c r="S64" i="9" s="1"/>
  <c r="H62" i="9"/>
  <c r="Q62" i="9" s="1"/>
  <c r="S62" i="9" s="1"/>
  <c r="H61" i="9"/>
  <c r="Q61" i="9" s="1"/>
  <c r="S61" i="9" s="1"/>
  <c r="H151" i="9"/>
  <c r="Q151" i="9" s="1"/>
  <c r="S151" i="9" s="1"/>
  <c r="H155" i="9"/>
  <c r="Q155" i="9" s="1"/>
  <c r="S155" i="9" s="1"/>
  <c r="H140" i="9"/>
  <c r="Q140" i="9" s="1"/>
  <c r="S140" i="9" s="1"/>
  <c r="H125" i="9"/>
  <c r="Q125" i="9" s="1"/>
  <c r="S125" i="9" s="1"/>
  <c r="H110" i="9"/>
  <c r="Q110" i="9" s="1"/>
  <c r="S110" i="9" s="1"/>
  <c r="H95" i="9"/>
  <c r="Q95" i="9" s="1"/>
  <c r="S95" i="9" s="1"/>
  <c r="H99" i="9"/>
  <c r="Q99" i="9" s="1"/>
  <c r="S99" i="9" s="1"/>
  <c r="H83" i="9"/>
  <c r="Q83" i="9" s="1"/>
  <c r="S83" i="9" s="1"/>
  <c r="H69" i="9"/>
  <c r="Q69" i="9" s="1"/>
  <c r="S69" i="9" s="1"/>
  <c r="H54" i="9"/>
  <c r="Q54" i="9" s="1"/>
  <c r="S54" i="9" s="1"/>
  <c r="H50" i="9"/>
  <c r="Q50" i="9" s="1"/>
  <c r="S50" i="9" s="1"/>
  <c r="H43" i="9"/>
  <c r="Q43" i="9" s="1"/>
  <c r="S43" i="9" s="1"/>
  <c r="H39" i="9"/>
  <c r="Q39" i="9" s="1"/>
  <c r="S39" i="9" s="1"/>
  <c r="H38" i="9"/>
  <c r="Q38" i="9" s="1"/>
  <c r="S38" i="9" s="1"/>
  <c r="H35" i="9"/>
  <c r="Q35" i="9" s="1"/>
  <c r="S35" i="9" s="1"/>
  <c r="H28" i="9"/>
  <c r="Q28" i="9" s="1"/>
  <c r="S28" i="9" s="1"/>
  <c r="H27" i="9"/>
  <c r="Q27" i="9" s="1"/>
  <c r="S27" i="9" s="1"/>
  <c r="H23" i="9"/>
  <c r="Q23" i="9" s="1"/>
  <c r="S23" i="9" s="1"/>
  <c r="H21" i="9"/>
  <c r="Q21" i="9" s="1"/>
  <c r="S21" i="9" s="1"/>
  <c r="H19" i="9"/>
  <c r="Q19" i="9" s="1"/>
  <c r="S19" i="9" s="1"/>
  <c r="H14" i="9"/>
  <c r="Q14" i="9" s="1"/>
  <c r="S14" i="9" s="1"/>
  <c r="H12" i="9"/>
  <c r="Q12" i="9" s="1"/>
  <c r="S12" i="9" s="1"/>
  <c r="H10" i="9"/>
  <c r="Q10" i="9" s="1"/>
  <c r="S10" i="9" s="1"/>
  <c r="H9" i="9"/>
  <c r="Q9" i="9" s="1"/>
  <c r="S9" i="9" s="1"/>
  <c r="H5" i="9"/>
  <c r="Q5" i="9" s="1"/>
  <c r="S5" i="9" s="1"/>
  <c r="H162" i="8"/>
  <c r="Q162" i="8" s="1"/>
  <c r="S162" i="8" s="1"/>
  <c r="H161" i="8"/>
  <c r="Q161" i="8" s="1"/>
  <c r="S161" i="8" s="1"/>
  <c r="H145" i="8"/>
  <c r="Q145" i="8" s="1"/>
  <c r="S145" i="8" s="1"/>
  <c r="H132" i="8"/>
  <c r="Q132" i="8" s="1"/>
  <c r="S132" i="8" s="1"/>
  <c r="H131" i="8"/>
  <c r="Q131" i="8" s="1"/>
  <c r="S131" i="8" s="1"/>
  <c r="H117" i="8"/>
  <c r="Q117" i="8" s="1"/>
  <c r="S117" i="8" s="1"/>
  <c r="H106" i="8"/>
  <c r="Q106" i="8" s="1"/>
  <c r="S106" i="8" s="1"/>
  <c r="H151" i="8"/>
  <c r="Q151" i="8" s="1"/>
  <c r="S151" i="8" s="1"/>
  <c r="H136" i="8"/>
  <c r="Q136" i="8" s="1"/>
  <c r="S136" i="8" s="1"/>
  <c r="H65" i="8"/>
  <c r="Q65" i="8" s="1"/>
  <c r="S65" i="8" s="1"/>
  <c r="H64" i="8"/>
  <c r="Q64" i="8" s="1"/>
  <c r="S64" i="8" s="1"/>
  <c r="H61" i="8"/>
  <c r="Q61" i="8" s="1"/>
  <c r="S61" i="8" s="1"/>
  <c r="H38" i="8"/>
  <c r="Q38" i="8" s="1"/>
  <c r="S38" i="8" s="1"/>
  <c r="H36" i="8"/>
  <c r="Q36" i="8" s="1"/>
  <c r="S36" i="8" s="1"/>
  <c r="H35" i="8"/>
  <c r="Q35" i="8" s="1"/>
  <c r="S35" i="8" s="1"/>
  <c r="H34" i="8"/>
  <c r="Q34" i="8" s="1"/>
  <c r="S34" i="8" s="1"/>
  <c r="H23" i="8"/>
  <c r="Q23" i="8" s="1"/>
  <c r="S23" i="8" s="1"/>
  <c r="H21" i="8"/>
  <c r="Q21" i="8" s="1"/>
  <c r="S21" i="8" s="1"/>
  <c r="H19" i="8"/>
  <c r="Q19" i="8" s="1"/>
  <c r="S19" i="8" s="1"/>
  <c r="H9" i="8"/>
  <c r="Q9" i="8" s="1"/>
  <c r="S9" i="8" s="1"/>
  <c r="H6" i="8"/>
  <c r="Q6" i="8" s="1"/>
  <c r="S6" i="8" s="1"/>
  <c r="H5" i="8"/>
  <c r="Q5" i="8" s="1"/>
  <c r="S5" i="8" s="1"/>
  <c r="H166" i="8"/>
  <c r="Q166" i="8" s="1"/>
  <c r="S166" i="8" s="1"/>
  <c r="H155" i="8"/>
  <c r="Q155" i="8" s="1"/>
  <c r="S155" i="8" s="1"/>
  <c r="H140" i="8"/>
  <c r="Q140" i="8" s="1"/>
  <c r="S140" i="8" s="1"/>
  <c r="H125" i="8"/>
  <c r="Q125" i="8" s="1"/>
  <c r="S125" i="8" s="1"/>
  <c r="H99" i="8"/>
  <c r="Q99" i="8" s="1"/>
  <c r="S99" i="8" s="1"/>
  <c r="H84" i="8"/>
  <c r="Q84" i="8" s="1"/>
  <c r="S84" i="8" s="1"/>
  <c r="H69" i="8"/>
  <c r="Q69" i="8" s="1"/>
  <c r="S69" i="8" s="1"/>
  <c r="H54" i="8"/>
  <c r="Q54" i="8" s="1"/>
  <c r="S54" i="8" s="1"/>
  <c r="H43" i="8"/>
  <c r="Q43" i="8" s="1"/>
  <c r="S43" i="8" s="1"/>
  <c r="H29" i="8"/>
  <c r="Q29" i="8" s="1"/>
  <c r="S29" i="8" s="1"/>
  <c r="H162" i="7"/>
  <c r="Q162" i="7" s="1"/>
  <c r="S162" i="7" s="1"/>
  <c r="H145" i="7"/>
  <c r="Q145" i="7" s="1"/>
  <c r="S145" i="7" s="1"/>
  <c r="H132" i="7"/>
  <c r="Q132" i="7" s="1"/>
  <c r="S132" i="7" s="1"/>
  <c r="H119" i="7"/>
  <c r="Q119" i="7" s="1"/>
  <c r="S119" i="7" s="1"/>
  <c r="H108" i="7"/>
  <c r="Q108" i="7" s="1"/>
  <c r="S108" i="7" s="1"/>
  <c r="H67" i="7"/>
  <c r="Q67" i="7" s="1"/>
  <c r="S67" i="7" s="1"/>
  <c r="H61" i="7"/>
  <c r="Q61" i="7" s="1"/>
  <c r="S61" i="7" s="1"/>
  <c r="H51" i="7"/>
  <c r="Q51" i="7" s="1"/>
  <c r="S51" i="7" s="1"/>
  <c r="H48" i="7"/>
  <c r="Q48" i="7" s="1"/>
  <c r="S48" i="7" s="1"/>
  <c r="H47" i="7"/>
  <c r="Q47" i="7" s="1"/>
  <c r="S47" i="7" s="1"/>
  <c r="H36" i="7"/>
  <c r="Q36" i="7" s="1"/>
  <c r="S36" i="7" s="1"/>
  <c r="H33" i="7"/>
  <c r="Q33" i="7" s="1"/>
  <c r="S33" i="7" s="1"/>
  <c r="H25" i="7"/>
  <c r="Q25" i="7" s="1"/>
  <c r="S25" i="7" s="1"/>
  <c r="H24" i="7"/>
  <c r="Q24" i="7" s="1"/>
  <c r="S24" i="7" s="1"/>
  <c r="H22" i="7"/>
  <c r="Q22" i="7" s="1"/>
  <c r="S22" i="7" s="1"/>
  <c r="H20" i="7"/>
  <c r="Q20" i="7" s="1"/>
  <c r="S20" i="7" s="1"/>
  <c r="H71" i="7"/>
  <c r="Q71" i="7" s="1"/>
  <c r="S71" i="7" s="1"/>
  <c r="H55" i="7"/>
  <c r="Q55" i="7" s="1"/>
  <c r="S55" i="7" s="1"/>
  <c r="H40" i="7"/>
  <c r="Q40" i="7" s="1"/>
  <c r="S40" i="7" s="1"/>
  <c r="H29" i="7"/>
  <c r="Q29" i="7" s="1"/>
  <c r="S29" i="7" s="1"/>
  <c r="H15" i="7"/>
  <c r="Q15" i="7" s="1"/>
  <c r="S15" i="7" s="1"/>
  <c r="H14" i="7"/>
  <c r="Q14" i="7" s="1"/>
  <c r="S14" i="7" s="1"/>
  <c r="H7" i="7"/>
  <c r="Q7" i="7" s="1"/>
  <c r="S7" i="7" s="1"/>
  <c r="H11" i="7"/>
  <c r="Q11" i="7" s="1"/>
  <c r="S11" i="7" s="1"/>
  <c r="H10" i="7"/>
  <c r="Q10" i="7" s="1"/>
  <c r="S10" i="7" s="1"/>
  <c r="H6" i="7"/>
  <c r="Q6" i="7" s="1"/>
  <c r="S6" i="7" s="1"/>
  <c r="H160" i="6"/>
  <c r="H148" i="6"/>
  <c r="Q148" i="6" s="1"/>
  <c r="S148" i="6" s="1"/>
  <c r="H145" i="6"/>
  <c r="Q145" i="6" s="1"/>
  <c r="S145" i="6" s="1"/>
  <c r="H135" i="6"/>
  <c r="Q135" i="6" s="1"/>
  <c r="S135" i="6" s="1"/>
  <c r="H131" i="6"/>
  <c r="Q131" i="6" s="1"/>
  <c r="S131" i="6" s="1"/>
  <c r="H118" i="6"/>
  <c r="Q118" i="6" s="1"/>
  <c r="S118" i="6" s="1"/>
  <c r="H164" i="6"/>
  <c r="Q164" i="6" s="1"/>
  <c r="S164" i="6" s="1"/>
  <c r="H168" i="6"/>
  <c r="Q168" i="6" s="1"/>
  <c r="S168" i="6" s="1"/>
  <c r="H150" i="6"/>
  <c r="Q150" i="6" s="1"/>
  <c r="S150" i="6" s="1"/>
  <c r="H154" i="6"/>
  <c r="Q154" i="6" s="1"/>
  <c r="S154" i="6" s="1"/>
  <c r="H138" i="6"/>
  <c r="Q138" i="6" s="1"/>
  <c r="S138" i="6" s="1"/>
  <c r="H124" i="6"/>
  <c r="Q124" i="6" s="1"/>
  <c r="S124" i="6" s="1"/>
  <c r="H111" i="6"/>
  <c r="Q111" i="6" s="1"/>
  <c r="S111" i="6" s="1"/>
  <c r="H108" i="6"/>
  <c r="Q108" i="6" s="1"/>
  <c r="S108" i="6" s="1"/>
  <c r="H107" i="6"/>
  <c r="Q107" i="6" s="1"/>
  <c r="S107" i="6" s="1"/>
  <c r="H105" i="6"/>
  <c r="Q105" i="6" s="1"/>
  <c r="S105" i="6" s="1"/>
  <c r="H104" i="6"/>
  <c r="Q104" i="6" s="1"/>
  <c r="S104" i="6" s="1"/>
  <c r="H103" i="6"/>
  <c r="Q103" i="6" s="1"/>
  <c r="S103" i="6" s="1"/>
  <c r="H94" i="6"/>
  <c r="Q94" i="6" s="1"/>
  <c r="S94" i="6" s="1"/>
  <c r="H93" i="6"/>
  <c r="Q93" i="6" s="1"/>
  <c r="S93" i="6" s="1"/>
  <c r="H79" i="6"/>
  <c r="Q79" i="6" s="1"/>
  <c r="S79" i="6" s="1"/>
  <c r="H78" i="6"/>
  <c r="Q78" i="6" s="1"/>
  <c r="S78" i="6" s="1"/>
  <c r="H77" i="6"/>
  <c r="Q77" i="6" s="1"/>
  <c r="S77" i="6" s="1"/>
  <c r="H75" i="6"/>
  <c r="Q75" i="6" s="1"/>
  <c r="S75" i="6" s="1"/>
  <c r="H82" i="6"/>
  <c r="Q82" i="6" s="1"/>
  <c r="S82" i="6" s="1"/>
  <c r="H97" i="6"/>
  <c r="Q97" i="6" s="1"/>
  <c r="S97" i="6" s="1"/>
  <c r="H64" i="6"/>
  <c r="Q64" i="6" s="1"/>
  <c r="S64" i="6" s="1"/>
  <c r="H63" i="6"/>
  <c r="Q63" i="6" s="1"/>
  <c r="S63" i="6" s="1"/>
  <c r="H62" i="6"/>
  <c r="Q62" i="6" s="1"/>
  <c r="S62" i="6" s="1"/>
  <c r="H67" i="6"/>
  <c r="Q67" i="6" s="1"/>
  <c r="S67" i="6" s="1"/>
  <c r="H71" i="6"/>
  <c r="Q71" i="6" s="1"/>
  <c r="S71" i="6" s="1"/>
  <c r="H48" i="6"/>
  <c r="Q48" i="6" s="1"/>
  <c r="S48" i="6" s="1"/>
  <c r="H53" i="6"/>
  <c r="Q53" i="6" s="1"/>
  <c r="S53" i="6" s="1"/>
  <c r="H56" i="6"/>
  <c r="Q56" i="6" s="1"/>
  <c r="S56" i="6" s="1"/>
  <c r="H42" i="6"/>
  <c r="Q42" i="6" s="1"/>
  <c r="S42" i="6" s="1"/>
  <c r="H41" i="6"/>
  <c r="Q41" i="6" s="1"/>
  <c r="S41" i="6" s="1"/>
  <c r="H33" i="6"/>
  <c r="Q33" i="6" s="1"/>
  <c r="S33" i="6" s="1"/>
  <c r="H25" i="6"/>
  <c r="Q25" i="6" s="1"/>
  <c r="S25" i="6" s="1"/>
  <c r="H23" i="6"/>
  <c r="Q23" i="6" s="1"/>
  <c r="S23" i="6" s="1"/>
  <c r="H22" i="6"/>
  <c r="Q22" i="6" s="1"/>
  <c r="S22" i="6" s="1"/>
  <c r="H21" i="6"/>
  <c r="Q21" i="6" s="1"/>
  <c r="S21" i="6" s="1"/>
  <c r="H15" i="6"/>
  <c r="Q15" i="6" s="1"/>
  <c r="S15" i="6" s="1"/>
  <c r="H12" i="6"/>
  <c r="Q12" i="6" s="1"/>
  <c r="S12" i="6" s="1"/>
  <c r="H11" i="6"/>
  <c r="Q11" i="6" s="1"/>
  <c r="S11" i="6" s="1"/>
  <c r="H8" i="6"/>
  <c r="Q8" i="6" s="1"/>
  <c r="S8" i="6" s="1"/>
  <c r="H7" i="6"/>
  <c r="Q7" i="6" s="1"/>
  <c r="S7" i="6" s="1"/>
  <c r="H159" i="5"/>
  <c r="Q159" i="5" s="1"/>
  <c r="S159" i="5" s="1"/>
  <c r="H135" i="5"/>
  <c r="Q135" i="5" s="1"/>
  <c r="S135" i="5" s="1"/>
  <c r="H133" i="5"/>
  <c r="Q133" i="5" s="1"/>
  <c r="S133" i="5" s="1"/>
  <c r="H131" i="5"/>
  <c r="Q131" i="5" s="1"/>
  <c r="S131" i="5" s="1"/>
  <c r="H121" i="5"/>
  <c r="Q121" i="5" s="1"/>
  <c r="S121" i="5" s="1"/>
  <c r="H105" i="5"/>
  <c r="Q105" i="5" s="1"/>
  <c r="S105" i="5" s="1"/>
  <c r="H92" i="5"/>
  <c r="Q92" i="5" s="1"/>
  <c r="S92" i="5" s="1"/>
  <c r="H90" i="5"/>
  <c r="Q90" i="5" s="1"/>
  <c r="S90" i="5" s="1"/>
  <c r="H79" i="5"/>
  <c r="Q79" i="5" s="1"/>
  <c r="S79" i="5" s="1"/>
  <c r="H75" i="5"/>
  <c r="Q75" i="5" s="1"/>
  <c r="S75" i="5" s="1"/>
  <c r="H70" i="5"/>
  <c r="Q70" i="5" s="1"/>
  <c r="S70" i="5" s="1"/>
  <c r="H66" i="5"/>
  <c r="Q66" i="5" s="1"/>
  <c r="S66" i="5" s="1"/>
  <c r="H64" i="5"/>
  <c r="Q64" i="5" s="1"/>
  <c r="S64" i="5" s="1"/>
  <c r="H63" i="5"/>
  <c r="Q63" i="5" s="1"/>
  <c r="S63" i="5" s="1"/>
  <c r="H51" i="5"/>
  <c r="Q51" i="5" s="1"/>
  <c r="S51" i="5" s="1"/>
  <c r="H49" i="5"/>
  <c r="Q49" i="5" s="1"/>
  <c r="S49" i="5" s="1"/>
  <c r="H38" i="5"/>
  <c r="Q38" i="5" s="1"/>
  <c r="S38" i="5" s="1"/>
  <c r="H20" i="5"/>
  <c r="Q20" i="5" s="1"/>
  <c r="S20" i="5" s="1"/>
  <c r="H19" i="5"/>
  <c r="Q19" i="5" s="1"/>
  <c r="S19" i="5" s="1"/>
  <c r="H6" i="5"/>
  <c r="Q6" i="5" s="1"/>
  <c r="S6" i="5" s="1"/>
  <c r="H160" i="3"/>
  <c r="Q160" i="3" s="1"/>
  <c r="S160" i="3" s="1"/>
  <c r="H147" i="3"/>
  <c r="Q147" i="3" s="1"/>
  <c r="S147" i="3" s="1"/>
  <c r="H145" i="3"/>
  <c r="Q145" i="3" s="1"/>
  <c r="S145" i="3" s="1"/>
  <c r="H136" i="3"/>
  <c r="Q136" i="3" s="1"/>
  <c r="S136" i="3" s="1"/>
  <c r="H134" i="3"/>
  <c r="Q134" i="3" s="1"/>
  <c r="S134" i="3" s="1"/>
  <c r="H123" i="3"/>
  <c r="Q123" i="3" s="1"/>
  <c r="S123" i="3" s="1"/>
  <c r="H121" i="3"/>
  <c r="Q121" i="3" s="1"/>
  <c r="S121" i="3" s="1"/>
  <c r="H104" i="3"/>
  <c r="Q104" i="3" s="1"/>
  <c r="S104" i="3" s="1"/>
  <c r="H95" i="3"/>
  <c r="Q95" i="3" s="1"/>
  <c r="S95" i="3" s="1"/>
  <c r="H89" i="3"/>
  <c r="Q89" i="3" s="1"/>
  <c r="S89" i="3" s="1"/>
  <c r="H80" i="3"/>
  <c r="Q80" i="3" s="1"/>
  <c r="S80" i="3" s="1"/>
  <c r="H76" i="3"/>
  <c r="Q76" i="3" s="1"/>
  <c r="S76" i="3" s="1"/>
  <c r="H69" i="3"/>
  <c r="Q69" i="3" s="1"/>
  <c r="S69" i="3" s="1"/>
  <c r="H61" i="3"/>
  <c r="Q61" i="3" s="1"/>
  <c r="S61" i="3" s="1"/>
  <c r="H50" i="3"/>
  <c r="Q50" i="3" s="1"/>
  <c r="S50" i="3" s="1"/>
  <c r="H43" i="3"/>
  <c r="Q43" i="3" s="1"/>
  <c r="S43" i="3" s="1"/>
  <c r="H39" i="3"/>
  <c r="Q39" i="3" s="1"/>
  <c r="S39" i="3" s="1"/>
  <c r="H35" i="3"/>
  <c r="Q35" i="3" s="1"/>
  <c r="S35" i="3" s="1"/>
  <c r="H33" i="3"/>
  <c r="Q33" i="3" s="1"/>
  <c r="S33" i="3" s="1"/>
  <c r="H28" i="3"/>
  <c r="Q28" i="3" s="1"/>
  <c r="S28" i="3" s="1"/>
  <c r="H8" i="3"/>
  <c r="Q8" i="3" s="1"/>
  <c r="S8" i="3" s="1"/>
  <c r="H27" i="3"/>
  <c r="Q27" i="3" s="1"/>
  <c r="S27" i="3" s="1"/>
  <c r="H34" i="3"/>
  <c r="Q34" i="3" s="1"/>
  <c r="S34" i="3" s="1"/>
  <c r="H38" i="3"/>
  <c r="Q38" i="3" s="1"/>
  <c r="S38" i="3" s="1"/>
  <c r="H42" i="3"/>
  <c r="Q42" i="3" s="1"/>
  <c r="S42" i="3" s="1"/>
  <c r="H49" i="3"/>
  <c r="Q49" i="3" s="1"/>
  <c r="S49" i="3" s="1"/>
  <c r="H53" i="3"/>
  <c r="Q53" i="3" s="1"/>
  <c r="S53" i="3" s="1"/>
  <c r="H57" i="3"/>
  <c r="Q57" i="3" s="1"/>
  <c r="S57" i="3" s="1"/>
  <c r="H64" i="3"/>
  <c r="Q64" i="3" s="1"/>
  <c r="S64" i="3" s="1"/>
  <c r="H68" i="3"/>
  <c r="Q68" i="3" s="1"/>
  <c r="S68" i="3" s="1"/>
  <c r="H75" i="3"/>
  <c r="Q75" i="3" s="1"/>
  <c r="S75" i="3" s="1"/>
  <c r="H79" i="3"/>
  <c r="Q79" i="3" s="1"/>
  <c r="S79" i="3" s="1"/>
  <c r="H83" i="3"/>
  <c r="Q83" i="3" s="1"/>
  <c r="S83" i="3" s="1"/>
  <c r="H90" i="3"/>
  <c r="Q90" i="3" s="1"/>
  <c r="S90" i="3" s="1"/>
  <c r="H94" i="3"/>
  <c r="Q94" i="3" s="1"/>
  <c r="S94" i="3" s="1"/>
  <c r="H98" i="3"/>
  <c r="Q98" i="3" s="1"/>
  <c r="S98" i="3" s="1"/>
  <c r="H105" i="3"/>
  <c r="Q105" i="3" s="1"/>
  <c r="S105" i="3" s="1"/>
  <c r="H109" i="3"/>
  <c r="Q109" i="3" s="1"/>
  <c r="S109" i="3" s="1"/>
  <c r="H113" i="3"/>
  <c r="Q113" i="3" s="1"/>
  <c r="S113" i="3" s="1"/>
  <c r="H120" i="3"/>
  <c r="Q120" i="3" s="1"/>
  <c r="S120" i="3" s="1"/>
  <c r="H124" i="3"/>
  <c r="Q124" i="3" s="1"/>
  <c r="S124" i="3" s="1"/>
  <c r="H131" i="3"/>
  <c r="Q131" i="3" s="1"/>
  <c r="S131" i="3" s="1"/>
  <c r="H135" i="3"/>
  <c r="Q135" i="3" s="1"/>
  <c r="S135" i="3" s="1"/>
  <c r="H139" i="3"/>
  <c r="Q139" i="3" s="1"/>
  <c r="S139" i="3" s="1"/>
  <c r="H146" i="3"/>
  <c r="Q146" i="3" s="1"/>
  <c r="S146" i="3" s="1"/>
  <c r="H150" i="3"/>
  <c r="Q150" i="3" s="1"/>
  <c r="S150" i="3" s="1"/>
  <c r="H154" i="3"/>
  <c r="Q154" i="3" s="1"/>
  <c r="S154" i="3" s="1"/>
  <c r="H161" i="3"/>
  <c r="Q161" i="3" s="1"/>
  <c r="S161" i="3" s="1"/>
  <c r="H165" i="3"/>
  <c r="Q165" i="3" s="1"/>
  <c r="S165" i="3" s="1"/>
  <c r="H169" i="3"/>
  <c r="Q169" i="3" s="1"/>
  <c r="S169" i="3" s="1"/>
  <c r="H25" i="3"/>
  <c r="Q25" i="3" s="1"/>
  <c r="S25" i="3" s="1"/>
  <c r="H24" i="3"/>
  <c r="Q24" i="3" s="1"/>
  <c r="S24" i="3" s="1"/>
  <c r="H23" i="3"/>
  <c r="Q23" i="3" s="1"/>
  <c r="S23" i="3" s="1"/>
  <c r="H20" i="3"/>
  <c r="Q20" i="3" s="1"/>
  <c r="S20" i="3" s="1"/>
  <c r="H19" i="3"/>
  <c r="Q19" i="3" s="1"/>
  <c r="S19" i="3" s="1"/>
  <c r="H12" i="3"/>
  <c r="Q12" i="3" s="1"/>
  <c r="S12" i="3" s="1"/>
  <c r="H166" i="2"/>
  <c r="Q166" i="2" s="1"/>
  <c r="S166" i="2" s="1"/>
  <c r="H165" i="2"/>
  <c r="Q165" i="2" s="1"/>
  <c r="S165" i="2" s="1"/>
  <c r="H164" i="2"/>
  <c r="Q164" i="2" s="1"/>
  <c r="S164" i="2" s="1"/>
  <c r="H162" i="2"/>
  <c r="Q162" i="2" s="1"/>
  <c r="S162" i="2" s="1"/>
  <c r="H161" i="2"/>
  <c r="Q161" i="2" s="1"/>
  <c r="S161" i="2" s="1"/>
  <c r="H155" i="2"/>
  <c r="Q155" i="2" s="1"/>
  <c r="S155" i="2" s="1"/>
  <c r="H154" i="2"/>
  <c r="Q154" i="2" s="1"/>
  <c r="S154" i="2" s="1"/>
  <c r="H153" i="2"/>
  <c r="Q153" i="2" s="1"/>
  <c r="S153" i="2" s="1"/>
  <c r="H151" i="2"/>
  <c r="Q151" i="2" s="1"/>
  <c r="S151" i="2" s="1"/>
  <c r="H150" i="2"/>
  <c r="Q150" i="2" s="1"/>
  <c r="S150" i="2" s="1"/>
  <c r="H147" i="2"/>
  <c r="Q147" i="2" s="1"/>
  <c r="S147" i="2" s="1"/>
  <c r="H146" i="2"/>
  <c r="Q146" i="2" s="1"/>
  <c r="S146" i="2" s="1"/>
  <c r="H140" i="2"/>
  <c r="Q140" i="2" s="1"/>
  <c r="S140" i="2" s="1"/>
  <c r="H139" i="2"/>
  <c r="Q139" i="2" s="1"/>
  <c r="S139" i="2" s="1"/>
  <c r="H138" i="2"/>
  <c r="Q138" i="2" s="1"/>
  <c r="S138" i="2" s="1"/>
  <c r="H131" i="2"/>
  <c r="Q131" i="2" s="1"/>
  <c r="S131" i="2" s="1"/>
  <c r="H127" i="2"/>
  <c r="Q127" i="2" s="1"/>
  <c r="S127" i="2" s="1"/>
  <c r="H125" i="2"/>
  <c r="Q125" i="2" s="1"/>
  <c r="S125" i="2" s="1"/>
  <c r="H124" i="2"/>
  <c r="Q124" i="2" s="1"/>
  <c r="S124" i="2" s="1"/>
  <c r="H120" i="2"/>
  <c r="Q120" i="2" s="1"/>
  <c r="S120" i="2" s="1"/>
  <c r="H117" i="2"/>
  <c r="Q117" i="2" s="1"/>
  <c r="S117" i="2" s="1"/>
  <c r="H89" i="2"/>
  <c r="Q89" i="2" s="1"/>
  <c r="S89" i="2" s="1"/>
  <c r="H90" i="2"/>
  <c r="Q90" i="2" s="1"/>
  <c r="S90" i="2" s="1"/>
  <c r="H94" i="2"/>
  <c r="Q94" i="2" s="1"/>
  <c r="S94" i="2" s="1"/>
  <c r="H99" i="2"/>
  <c r="Q99" i="2" s="1"/>
  <c r="S99" i="2" s="1"/>
  <c r="H98" i="2"/>
  <c r="Q98" i="2" s="1"/>
  <c r="S98" i="2" s="1"/>
  <c r="H95" i="2"/>
  <c r="Q95" i="2" s="1"/>
  <c r="S95" i="2" s="1"/>
  <c r="H91" i="2"/>
  <c r="Q91" i="2" s="1"/>
  <c r="S91" i="2" s="1"/>
  <c r="H83" i="2"/>
  <c r="Q83" i="2" s="1"/>
  <c r="S83" i="2" s="1"/>
  <c r="H69" i="2"/>
  <c r="Q69" i="2" s="1"/>
  <c r="S69" i="2" s="1"/>
  <c r="H68" i="2"/>
  <c r="Q68" i="2" s="1"/>
  <c r="S68" i="2" s="1"/>
  <c r="H65" i="2"/>
  <c r="Q65" i="2" s="1"/>
  <c r="S65" i="2" s="1"/>
  <c r="H64" i="2"/>
  <c r="Q64" i="2" s="1"/>
  <c r="S64" i="2" s="1"/>
  <c r="H61" i="2"/>
  <c r="Q61" i="2" s="1"/>
  <c r="S61" i="2" s="1"/>
  <c r="H57" i="2"/>
  <c r="Q57" i="2" s="1"/>
  <c r="S57" i="2" s="1"/>
  <c r="H50" i="2"/>
  <c r="Q50" i="2" s="1"/>
  <c r="S50" i="2" s="1"/>
  <c r="H43" i="2"/>
  <c r="Q43" i="2" s="1"/>
  <c r="S43" i="2" s="1"/>
  <c r="H41" i="2"/>
  <c r="Q41" i="2" s="1"/>
  <c r="S41" i="2" s="1"/>
  <c r="H36" i="2"/>
  <c r="Q36" i="2" s="1"/>
  <c r="S36" i="2" s="1"/>
  <c r="H29" i="2"/>
  <c r="Q29" i="2" s="1"/>
  <c r="S29" i="2" s="1"/>
  <c r="H28" i="2"/>
  <c r="Q28" i="2" s="1"/>
  <c r="S28" i="2" s="1"/>
  <c r="H25" i="2"/>
  <c r="Q25" i="2" s="1"/>
  <c r="S25" i="2" s="1"/>
  <c r="H21" i="2"/>
  <c r="Q21" i="2" s="1"/>
  <c r="S21" i="2" s="1"/>
  <c r="H15" i="2"/>
  <c r="Q15" i="2" s="1"/>
  <c r="S15" i="2" s="1"/>
  <c r="H11" i="2"/>
  <c r="Q11" i="2" s="1"/>
  <c r="S11" i="2" s="1"/>
  <c r="H169" i="1"/>
  <c r="Q169" i="1" s="1"/>
  <c r="S169" i="1" s="1"/>
  <c r="H168" i="1"/>
  <c r="Q168" i="1" s="1"/>
  <c r="S168" i="1" s="1"/>
  <c r="H166" i="1"/>
  <c r="Q166" i="1" s="1"/>
  <c r="S166" i="1" s="1"/>
  <c r="CM21" i="1" s="1"/>
  <c r="H165" i="1"/>
  <c r="Q165" i="1" s="1"/>
  <c r="S165" i="1" s="1"/>
  <c r="CM20" i="1" s="1"/>
  <c r="H164" i="1"/>
  <c r="Q164" i="1" s="1"/>
  <c r="S164" i="1" s="1"/>
  <c r="CM19" i="1" s="1"/>
  <c r="H163" i="1"/>
  <c r="Q163" i="1" s="1"/>
  <c r="S163" i="1" s="1"/>
  <c r="CM18" i="1" s="1"/>
  <c r="H161" i="1"/>
  <c r="Q161" i="1" s="1"/>
  <c r="S161" i="1" s="1"/>
  <c r="CM16" i="1" s="1"/>
  <c r="H160" i="1"/>
  <c r="Q160" i="1" s="1"/>
  <c r="S160" i="1" s="1"/>
  <c r="CM15" i="1" s="1"/>
  <c r="H152" i="1"/>
  <c r="Q152" i="1" s="1"/>
  <c r="S152" i="1" s="1"/>
  <c r="CG21" i="1" s="1"/>
  <c r="H151" i="1"/>
  <c r="Q151" i="1" s="1"/>
  <c r="S151" i="1" s="1"/>
  <c r="CG20" i="1" s="1"/>
  <c r="H149" i="1"/>
  <c r="Q149" i="1" s="1"/>
  <c r="S149" i="1" s="1"/>
  <c r="CG18" i="1" s="1"/>
  <c r="H148" i="1"/>
  <c r="Q148" i="1" s="1"/>
  <c r="S148" i="1" s="1"/>
  <c r="CG17" i="1" s="1"/>
  <c r="H147" i="1"/>
  <c r="Q147" i="1" s="1"/>
  <c r="S147" i="1" s="1"/>
  <c r="CG16" i="1" s="1"/>
  <c r="H145" i="1"/>
  <c r="Q145" i="1" s="1"/>
  <c r="S145" i="1" s="1"/>
  <c r="H138" i="1"/>
  <c r="Q138" i="1" s="1"/>
  <c r="S138" i="1" s="1"/>
  <c r="CA21" i="1" s="1"/>
  <c r="H136" i="1"/>
  <c r="Q136" i="1" s="1"/>
  <c r="S136" i="1" s="1"/>
  <c r="CA19" i="1" s="1"/>
  <c r="H132" i="1"/>
  <c r="Q132" i="1" s="1"/>
  <c r="S132" i="1" s="1"/>
  <c r="CA15" i="1" s="1"/>
  <c r="H127" i="1"/>
  <c r="Q127" i="1" s="1"/>
  <c r="S127" i="1" s="1"/>
  <c r="H123" i="1"/>
  <c r="Q123" i="1" s="1"/>
  <c r="S123" i="1" s="1"/>
  <c r="BU20" i="1" s="1"/>
  <c r="H122" i="1"/>
  <c r="Q122" i="1" s="1"/>
  <c r="S122" i="1" s="1"/>
  <c r="BU19" i="1" s="1"/>
  <c r="H118" i="1"/>
  <c r="Q118" i="1" s="1"/>
  <c r="S118" i="1" s="1"/>
  <c r="BU15" i="1" s="1"/>
  <c r="H111" i="1"/>
  <c r="Q111" i="1" s="1"/>
  <c r="S111" i="1" s="1"/>
  <c r="BO22" i="1" s="1"/>
  <c r="H104" i="1"/>
  <c r="Q104" i="1" s="1"/>
  <c r="S104" i="1" s="1"/>
  <c r="BO15" i="1" s="1"/>
  <c r="H103" i="1"/>
  <c r="Q103" i="1" s="1"/>
  <c r="S103" i="1" s="1"/>
  <c r="BO14" i="1" s="1"/>
  <c r="H96" i="1"/>
  <c r="Q96" i="1" s="1"/>
  <c r="S96" i="1" s="1"/>
  <c r="BI21" i="1" s="1"/>
  <c r="H93" i="1"/>
  <c r="Q93" i="1" s="1"/>
  <c r="S93" i="1" s="1"/>
  <c r="BI18" i="1" s="1"/>
  <c r="H91" i="1"/>
  <c r="Q91" i="1" s="1"/>
  <c r="S91" i="1" s="1"/>
  <c r="BI16" i="1" s="1"/>
  <c r="H82" i="1"/>
  <c r="Q82" i="1" s="1"/>
  <c r="S82" i="1" s="1"/>
  <c r="BC21" i="1" s="1"/>
  <c r="H81" i="1"/>
  <c r="Q81" i="1" s="1"/>
  <c r="S81" i="1" s="1"/>
  <c r="BC20" i="1" s="1"/>
  <c r="H80" i="1"/>
  <c r="Q80" i="1" s="1"/>
  <c r="S80" i="1" s="1"/>
  <c r="BC19" i="1" s="1"/>
  <c r="H77" i="1"/>
  <c r="Q77" i="1" s="1"/>
  <c r="S77" i="1" s="1"/>
  <c r="BC16" i="1" s="1"/>
  <c r="H67" i="1"/>
  <c r="Q67" i="1" s="1"/>
  <c r="S67" i="1" s="1"/>
  <c r="AW20" i="1" s="1"/>
  <c r="H63" i="1"/>
  <c r="Q63" i="1" s="1"/>
  <c r="S63" i="1" s="1"/>
  <c r="AW16" i="1" s="1"/>
  <c r="H61" i="1"/>
  <c r="Q61" i="1" s="1"/>
  <c r="S61" i="1" s="1"/>
  <c r="AW14" i="1" s="1"/>
  <c r="H56" i="1"/>
  <c r="Q56" i="1" s="1"/>
  <c r="S56" i="1" s="1"/>
  <c r="AQ23" i="1" s="1"/>
  <c r="H53" i="1"/>
  <c r="Q53" i="1" s="1"/>
  <c r="S53" i="1" s="1"/>
  <c r="AQ20" i="1" s="1"/>
  <c r="H52" i="1"/>
  <c r="Q52" i="1" s="1"/>
  <c r="S52" i="1" s="1"/>
  <c r="AQ19" i="1" s="1"/>
  <c r="H49" i="1"/>
  <c r="Q49" i="1" s="1"/>
  <c r="S49" i="1" s="1"/>
  <c r="AQ16" i="1" s="1"/>
  <c r="H40" i="1"/>
  <c r="Q40" i="1" s="1"/>
  <c r="S40" i="1" s="1"/>
  <c r="AK21" i="1" s="1"/>
  <c r="H33" i="1"/>
  <c r="Q33" i="1" s="1"/>
  <c r="S33" i="1" s="1"/>
  <c r="AK14" i="1" s="1"/>
  <c r="H26" i="1"/>
  <c r="Q26" i="1" s="1"/>
  <c r="S26" i="1" s="1"/>
  <c r="AE21" i="1" s="1"/>
  <c r="H25" i="1"/>
  <c r="Q25" i="1" s="1"/>
  <c r="S25" i="1" s="1"/>
  <c r="AE20" i="1" s="1"/>
  <c r="H22" i="1"/>
  <c r="Q22" i="1" s="1"/>
  <c r="S22" i="1" s="1"/>
  <c r="AE17" i="1" s="1"/>
  <c r="H66" i="10"/>
  <c r="Q66" i="10" s="1"/>
  <c r="S66" i="10" s="1"/>
  <c r="H70" i="10"/>
  <c r="Q70" i="10" s="1"/>
  <c r="S70" i="10" s="1"/>
  <c r="H77" i="10"/>
  <c r="Q77" i="10" s="1"/>
  <c r="S77" i="10" s="1"/>
  <c r="H81" i="10"/>
  <c r="Q81" i="10" s="1"/>
  <c r="S81" i="10" s="1"/>
  <c r="H85" i="10"/>
  <c r="Q85" i="10" s="1"/>
  <c r="S85" i="10" s="1"/>
  <c r="H92" i="10"/>
  <c r="Q92" i="10" s="1"/>
  <c r="S92" i="10" s="1"/>
  <c r="H96" i="10"/>
  <c r="Q96" i="10" s="1"/>
  <c r="S96" i="10" s="1"/>
  <c r="H103" i="10"/>
  <c r="Q103" i="10" s="1"/>
  <c r="S103" i="10" s="1"/>
  <c r="H107" i="10"/>
  <c r="Q107" i="10" s="1"/>
  <c r="S107" i="10" s="1"/>
  <c r="H111" i="10"/>
  <c r="Q111" i="10" s="1"/>
  <c r="S111" i="10" s="1"/>
  <c r="H118" i="10"/>
  <c r="Q118" i="10" s="1"/>
  <c r="S118" i="10" s="1"/>
  <c r="H122" i="10"/>
  <c r="Q122" i="10" s="1"/>
  <c r="S122" i="10" s="1"/>
  <c r="H126" i="10"/>
  <c r="Q126" i="10" s="1"/>
  <c r="S126" i="10" s="1"/>
  <c r="H133" i="10"/>
  <c r="Q133" i="10" s="1"/>
  <c r="S133" i="10" s="1"/>
  <c r="H137" i="10"/>
  <c r="Q137" i="10" s="1"/>
  <c r="S137" i="10" s="1"/>
  <c r="H141" i="10"/>
  <c r="Q141" i="10" s="1"/>
  <c r="S141" i="10" s="1"/>
  <c r="H148" i="10"/>
  <c r="Q148" i="10" s="1"/>
  <c r="S148" i="10" s="1"/>
  <c r="H152" i="10"/>
  <c r="Q152" i="10" s="1"/>
  <c r="S152" i="10" s="1"/>
  <c r="H159" i="10"/>
  <c r="Q159" i="10" s="1"/>
  <c r="S159" i="10" s="1"/>
  <c r="H163" i="10"/>
  <c r="Q163" i="10" s="1"/>
  <c r="S163" i="10" s="1"/>
  <c r="H167" i="10"/>
  <c r="Q167" i="10" s="1"/>
  <c r="S167" i="10" s="1"/>
  <c r="H66" i="9"/>
  <c r="Q66" i="9" s="1"/>
  <c r="S66" i="9" s="1"/>
  <c r="H70" i="9"/>
  <c r="Q70" i="9" s="1"/>
  <c r="S70" i="9" s="1"/>
  <c r="H77" i="9"/>
  <c r="Q77" i="9" s="1"/>
  <c r="S77" i="9" s="1"/>
  <c r="H81" i="9"/>
  <c r="Q81" i="9" s="1"/>
  <c r="S81" i="9" s="1"/>
  <c r="H85" i="9"/>
  <c r="Q85" i="9" s="1"/>
  <c r="S85" i="9" s="1"/>
  <c r="H92" i="9"/>
  <c r="Q92" i="9" s="1"/>
  <c r="S92" i="9" s="1"/>
  <c r="H96" i="9"/>
  <c r="Q96" i="9" s="1"/>
  <c r="S96" i="9" s="1"/>
  <c r="H103" i="9"/>
  <c r="Q103" i="9" s="1"/>
  <c r="S103" i="9" s="1"/>
  <c r="H107" i="9"/>
  <c r="Q107" i="9" s="1"/>
  <c r="S107" i="9" s="1"/>
  <c r="H111" i="9"/>
  <c r="Q111" i="9" s="1"/>
  <c r="S111" i="9" s="1"/>
  <c r="H118" i="9"/>
  <c r="Q118" i="9" s="1"/>
  <c r="S118" i="9" s="1"/>
  <c r="H122" i="9"/>
  <c r="Q122" i="9" s="1"/>
  <c r="S122" i="9" s="1"/>
  <c r="H126" i="9"/>
  <c r="Q126" i="9" s="1"/>
  <c r="S126" i="9" s="1"/>
  <c r="H133" i="9"/>
  <c r="Q133" i="9" s="1"/>
  <c r="S133" i="9" s="1"/>
  <c r="H137" i="9"/>
  <c r="Q137" i="9" s="1"/>
  <c r="S137" i="9" s="1"/>
  <c r="H141" i="9"/>
  <c r="Q141" i="9" s="1"/>
  <c r="S141" i="9" s="1"/>
  <c r="H148" i="9"/>
  <c r="Q148" i="9" s="1"/>
  <c r="S148" i="9" s="1"/>
  <c r="H152" i="9"/>
  <c r="Q152" i="9" s="1"/>
  <c r="S152" i="9" s="1"/>
  <c r="H159" i="9"/>
  <c r="Q159" i="9" s="1"/>
  <c r="S159" i="9" s="1"/>
  <c r="H163" i="9"/>
  <c r="Q163" i="9" s="1"/>
  <c r="S163" i="9" s="1"/>
  <c r="H167" i="9"/>
  <c r="Q167" i="9" s="1"/>
  <c r="S167" i="9" s="1"/>
  <c r="H66" i="8"/>
  <c r="Q66" i="8" s="1"/>
  <c r="S66" i="8" s="1"/>
  <c r="H70" i="8"/>
  <c r="Q70" i="8" s="1"/>
  <c r="S70" i="8" s="1"/>
  <c r="H77" i="8"/>
  <c r="Q77" i="8" s="1"/>
  <c r="S77" i="8" s="1"/>
  <c r="H81" i="8"/>
  <c r="Q81" i="8" s="1"/>
  <c r="S81" i="8" s="1"/>
  <c r="H85" i="8"/>
  <c r="Q85" i="8" s="1"/>
  <c r="S85" i="8" s="1"/>
  <c r="H92" i="8"/>
  <c r="Q92" i="8" s="1"/>
  <c r="S92" i="8" s="1"/>
  <c r="H96" i="8"/>
  <c r="Q96" i="8" s="1"/>
  <c r="S96" i="8" s="1"/>
  <c r="H103" i="8"/>
  <c r="Q103" i="8" s="1"/>
  <c r="S103" i="8" s="1"/>
  <c r="H107" i="8"/>
  <c r="Q107" i="8" s="1"/>
  <c r="S107" i="8" s="1"/>
  <c r="H111" i="8"/>
  <c r="Q111" i="8" s="1"/>
  <c r="S111" i="8" s="1"/>
  <c r="H118" i="8"/>
  <c r="Q118" i="8" s="1"/>
  <c r="S118" i="8" s="1"/>
  <c r="H122" i="8"/>
  <c r="Q122" i="8" s="1"/>
  <c r="S122" i="8" s="1"/>
  <c r="H126" i="8"/>
  <c r="Q126" i="8" s="1"/>
  <c r="S126" i="8" s="1"/>
  <c r="H133" i="8"/>
  <c r="Q133" i="8" s="1"/>
  <c r="S133" i="8" s="1"/>
  <c r="H137" i="8"/>
  <c r="Q137" i="8" s="1"/>
  <c r="S137" i="8" s="1"/>
  <c r="H141" i="8"/>
  <c r="Q141" i="8" s="1"/>
  <c r="S141" i="8" s="1"/>
  <c r="H148" i="8"/>
  <c r="Q148" i="8" s="1"/>
  <c r="S148" i="8" s="1"/>
  <c r="H152" i="8"/>
  <c r="Q152" i="8" s="1"/>
  <c r="S152" i="8" s="1"/>
  <c r="H159" i="8"/>
  <c r="Q159" i="8" s="1"/>
  <c r="S159" i="8" s="1"/>
  <c r="H163" i="8"/>
  <c r="Q163" i="8" s="1"/>
  <c r="S163" i="8" s="1"/>
  <c r="H167" i="8"/>
  <c r="Q167" i="8" s="1"/>
  <c r="S167" i="8" s="1"/>
  <c r="H66" i="7"/>
  <c r="Q66" i="7" s="1"/>
  <c r="S66" i="7" s="1"/>
  <c r="H70" i="7"/>
  <c r="Q70" i="7" s="1"/>
  <c r="S70" i="7" s="1"/>
  <c r="H77" i="7"/>
  <c r="Q77" i="7" s="1"/>
  <c r="S77" i="7" s="1"/>
  <c r="H81" i="7"/>
  <c r="Q81" i="7" s="1"/>
  <c r="S81" i="7" s="1"/>
  <c r="H85" i="7"/>
  <c r="Q85" i="7" s="1"/>
  <c r="S85" i="7" s="1"/>
  <c r="H92" i="7"/>
  <c r="Q92" i="7" s="1"/>
  <c r="S92" i="7" s="1"/>
  <c r="H96" i="7"/>
  <c r="Q96" i="7" s="1"/>
  <c r="S96" i="7" s="1"/>
  <c r="H103" i="7"/>
  <c r="Q103" i="7" s="1"/>
  <c r="S103" i="7" s="1"/>
  <c r="H107" i="7"/>
  <c r="Q107" i="7" s="1"/>
  <c r="S107" i="7" s="1"/>
  <c r="H111" i="7"/>
  <c r="Q111" i="7" s="1"/>
  <c r="S111" i="7" s="1"/>
  <c r="H118" i="7"/>
  <c r="Q118" i="7" s="1"/>
  <c r="S118" i="7" s="1"/>
  <c r="H122" i="7"/>
  <c r="Q122" i="7" s="1"/>
  <c r="S122" i="7" s="1"/>
  <c r="H126" i="7"/>
  <c r="Q126" i="7" s="1"/>
  <c r="S126" i="7" s="1"/>
  <c r="H133" i="7"/>
  <c r="Q133" i="7" s="1"/>
  <c r="S133" i="7" s="1"/>
  <c r="H137" i="7"/>
  <c r="Q137" i="7" s="1"/>
  <c r="S137" i="7" s="1"/>
  <c r="H141" i="7"/>
  <c r="Q141" i="7" s="1"/>
  <c r="S141" i="7" s="1"/>
  <c r="H148" i="7"/>
  <c r="Q148" i="7" s="1"/>
  <c r="S148" i="7" s="1"/>
  <c r="H152" i="7"/>
  <c r="Q152" i="7" s="1"/>
  <c r="S152" i="7" s="1"/>
  <c r="H159" i="7"/>
  <c r="Q159" i="7" s="1"/>
  <c r="S159" i="7" s="1"/>
  <c r="H163" i="7"/>
  <c r="Q163" i="7" s="1"/>
  <c r="S163" i="7" s="1"/>
  <c r="H167" i="7"/>
  <c r="Q167" i="7" s="1"/>
  <c r="S167" i="7" s="1"/>
  <c r="H65" i="6"/>
  <c r="Q65" i="6" s="1"/>
  <c r="S65" i="6" s="1"/>
  <c r="H69" i="6"/>
  <c r="Q69" i="6" s="1"/>
  <c r="S69" i="6" s="1"/>
  <c r="H76" i="6"/>
  <c r="Q76" i="6" s="1"/>
  <c r="S76" i="6" s="1"/>
  <c r="H80" i="6"/>
  <c r="Q80" i="6" s="1"/>
  <c r="S80" i="6" s="1"/>
  <c r="H84" i="6"/>
  <c r="Q84" i="6" s="1"/>
  <c r="S84" i="6" s="1"/>
  <c r="H91" i="6"/>
  <c r="Q91" i="6" s="1"/>
  <c r="S91" i="6" s="1"/>
  <c r="H95" i="6"/>
  <c r="Q95" i="6" s="1"/>
  <c r="S95" i="6" s="1"/>
  <c r="H99" i="6"/>
  <c r="Q99" i="6" s="1"/>
  <c r="S99" i="6" s="1"/>
  <c r="H106" i="6"/>
  <c r="Q106" i="6" s="1"/>
  <c r="S106" i="6" s="1"/>
  <c r="H110" i="6"/>
  <c r="Q110" i="6" s="1"/>
  <c r="S110" i="6" s="1"/>
  <c r="H117" i="6"/>
  <c r="Q117" i="6" s="1"/>
  <c r="S117" i="6" s="1"/>
  <c r="H121" i="6"/>
  <c r="Q121" i="6" s="1"/>
  <c r="S121" i="6" s="1"/>
  <c r="H125" i="6"/>
  <c r="Q125" i="6" s="1"/>
  <c r="S125" i="6" s="1"/>
  <c r="H132" i="6"/>
  <c r="Q132" i="6" s="1"/>
  <c r="S132" i="6" s="1"/>
  <c r="H136" i="6"/>
  <c r="Q136" i="6" s="1"/>
  <c r="S136" i="6" s="1"/>
  <c r="H140" i="6"/>
  <c r="Q140" i="6" s="1"/>
  <c r="S140" i="6" s="1"/>
  <c r="H147" i="6"/>
  <c r="Q147" i="6" s="1"/>
  <c r="S147" i="6" s="1"/>
  <c r="H151" i="6"/>
  <c r="Q151" i="6" s="1"/>
  <c r="S151" i="6" s="1"/>
  <c r="H155" i="6"/>
  <c r="Q155" i="6" s="1"/>
  <c r="S155" i="6" s="1"/>
  <c r="H162" i="6"/>
  <c r="Q162" i="6" s="1"/>
  <c r="S162" i="6" s="1"/>
  <c r="H166" i="6"/>
  <c r="Q166" i="6" s="1"/>
  <c r="S166" i="6" s="1"/>
  <c r="H67" i="5"/>
  <c r="Q67" i="5" s="1"/>
  <c r="S67" i="5" s="1"/>
  <c r="H71" i="5"/>
  <c r="Q71" i="5" s="1"/>
  <c r="S71" i="5" s="1"/>
  <c r="H78" i="5"/>
  <c r="Q78" i="5" s="1"/>
  <c r="S78" i="5" s="1"/>
  <c r="H82" i="5"/>
  <c r="Q82" i="5" s="1"/>
  <c r="S82" i="5" s="1"/>
  <c r="H89" i="5"/>
  <c r="Q89" i="5" s="1"/>
  <c r="S89" i="5" s="1"/>
  <c r="H93" i="5"/>
  <c r="Q93" i="5" s="1"/>
  <c r="S93" i="5" s="1"/>
  <c r="H97" i="5"/>
  <c r="Q97" i="5" s="1"/>
  <c r="S97" i="5" s="1"/>
  <c r="H104" i="5"/>
  <c r="Q104" i="5" s="1"/>
  <c r="S104" i="5" s="1"/>
  <c r="H108" i="5"/>
  <c r="Q108" i="5" s="1"/>
  <c r="S108" i="5" s="1"/>
  <c r="H112" i="5"/>
  <c r="Q112" i="5" s="1"/>
  <c r="S112" i="5" s="1"/>
  <c r="H119" i="5"/>
  <c r="Q119" i="5" s="1"/>
  <c r="S119" i="5" s="1"/>
  <c r="H123" i="5"/>
  <c r="Q123" i="5" s="1"/>
  <c r="S123" i="5" s="1"/>
  <c r="H127" i="5"/>
  <c r="Q127" i="5" s="1"/>
  <c r="S127" i="5" s="1"/>
  <c r="H134" i="5"/>
  <c r="Q134" i="5" s="1"/>
  <c r="S134" i="5" s="1"/>
  <c r="H138" i="5"/>
  <c r="Q138" i="5" s="1"/>
  <c r="S138" i="5" s="1"/>
  <c r="H145" i="5"/>
  <c r="Q145" i="5" s="1"/>
  <c r="S145" i="5" s="1"/>
  <c r="H149" i="5"/>
  <c r="Q149" i="5" s="1"/>
  <c r="S149" i="5" s="1"/>
  <c r="H153" i="5"/>
  <c r="Q153" i="5" s="1"/>
  <c r="S153" i="5" s="1"/>
  <c r="H160" i="5"/>
  <c r="Q160" i="5" s="1"/>
  <c r="S160" i="5" s="1"/>
  <c r="H164" i="5"/>
  <c r="Q164" i="5" s="1"/>
  <c r="S164" i="5" s="1"/>
  <c r="H168" i="5"/>
  <c r="Q168" i="5" s="1"/>
  <c r="S168" i="5" s="1"/>
  <c r="H6" i="3"/>
  <c r="Q6" i="3" s="1"/>
  <c r="S6" i="3" s="1"/>
  <c r="H10" i="3"/>
  <c r="Q10" i="3" s="1"/>
  <c r="S10" i="3" s="1"/>
  <c r="H14" i="3"/>
  <c r="Q14" i="3" s="1"/>
  <c r="S14" i="3" s="1"/>
  <c r="H5" i="3"/>
  <c r="Q5" i="3" s="1"/>
  <c r="S5" i="3" s="1"/>
  <c r="H9" i="3"/>
  <c r="Q9" i="3" s="1"/>
  <c r="S9" i="3" s="1"/>
  <c r="H13" i="3"/>
  <c r="Q13" i="3" s="1"/>
  <c r="S13" i="3" s="1"/>
  <c r="H7" i="3"/>
  <c r="Q7" i="3" s="1"/>
  <c r="S7" i="3" s="1"/>
  <c r="H11" i="3"/>
  <c r="Q11" i="3" s="1"/>
  <c r="S11" i="3" s="1"/>
  <c r="H15" i="3"/>
  <c r="Q15" i="3" s="1"/>
  <c r="S15" i="3" s="1"/>
  <c r="H5" i="2"/>
  <c r="Q5" i="2" s="1"/>
  <c r="S5" i="2" s="1"/>
  <c r="H9" i="2"/>
  <c r="Q9" i="2" s="1"/>
  <c r="S9" i="2" s="1"/>
  <c r="H13" i="2"/>
  <c r="Q13" i="2" s="1"/>
  <c r="S13" i="2" s="1"/>
  <c r="H66" i="3"/>
  <c r="Q66" i="3" s="1"/>
  <c r="S66" i="3" s="1"/>
  <c r="H70" i="3"/>
  <c r="Q70" i="3" s="1"/>
  <c r="S70" i="3" s="1"/>
  <c r="H77" i="3"/>
  <c r="Q77" i="3" s="1"/>
  <c r="S77" i="3" s="1"/>
  <c r="H81" i="3"/>
  <c r="Q81" i="3" s="1"/>
  <c r="S81" i="3" s="1"/>
  <c r="H85" i="3"/>
  <c r="Q85" i="3" s="1"/>
  <c r="S85" i="3" s="1"/>
  <c r="H92" i="3"/>
  <c r="Q92" i="3" s="1"/>
  <c r="S92" i="3" s="1"/>
  <c r="H96" i="3"/>
  <c r="Q96" i="3" s="1"/>
  <c r="S96" i="3" s="1"/>
  <c r="H103" i="3"/>
  <c r="Q103" i="3" s="1"/>
  <c r="S103" i="3" s="1"/>
  <c r="H107" i="3"/>
  <c r="Q107" i="3" s="1"/>
  <c r="S107" i="3" s="1"/>
  <c r="H111" i="3"/>
  <c r="Q111" i="3" s="1"/>
  <c r="S111" i="3" s="1"/>
  <c r="H118" i="3"/>
  <c r="Q118" i="3" s="1"/>
  <c r="S118" i="3" s="1"/>
  <c r="H122" i="3"/>
  <c r="Q122" i="3" s="1"/>
  <c r="S122" i="3" s="1"/>
  <c r="H126" i="3"/>
  <c r="Q126" i="3" s="1"/>
  <c r="S126" i="3" s="1"/>
  <c r="H133" i="3"/>
  <c r="Q133" i="3" s="1"/>
  <c r="S133" i="3" s="1"/>
  <c r="H137" i="3"/>
  <c r="Q137" i="3" s="1"/>
  <c r="S137" i="3" s="1"/>
  <c r="H141" i="3"/>
  <c r="Q141" i="3" s="1"/>
  <c r="S141" i="3" s="1"/>
  <c r="H148" i="3"/>
  <c r="Q148" i="3" s="1"/>
  <c r="S148" i="3" s="1"/>
  <c r="H152" i="3"/>
  <c r="Q152" i="3" s="1"/>
  <c r="S152" i="3" s="1"/>
  <c r="H159" i="3"/>
  <c r="Q159" i="3" s="1"/>
  <c r="S159" i="3" s="1"/>
  <c r="H163" i="3"/>
  <c r="Q163" i="3" s="1"/>
  <c r="S163" i="3" s="1"/>
  <c r="H167" i="3"/>
  <c r="Q167" i="3" s="1"/>
  <c r="S167" i="3" s="1"/>
  <c r="H6" i="2"/>
  <c r="Q6" i="2" s="1"/>
  <c r="S6" i="2" s="1"/>
  <c r="H10" i="2"/>
  <c r="Q10" i="2" s="1"/>
  <c r="S10" i="2" s="1"/>
  <c r="H14" i="2"/>
  <c r="Q14" i="2" s="1"/>
  <c r="S14" i="2" s="1"/>
  <c r="H66" i="2"/>
  <c r="Q66" i="2" s="1"/>
  <c r="S66" i="2" s="1"/>
  <c r="H70" i="2"/>
  <c r="Q70" i="2" s="1"/>
  <c r="S70" i="2" s="1"/>
  <c r="H77" i="2"/>
  <c r="Q77" i="2" s="1"/>
  <c r="S77" i="2" s="1"/>
  <c r="H81" i="2"/>
  <c r="Q81" i="2" s="1"/>
  <c r="S81" i="2" s="1"/>
  <c r="H85" i="2"/>
  <c r="Q85" i="2" s="1"/>
  <c r="S85" i="2" s="1"/>
  <c r="H92" i="2"/>
  <c r="Q92" i="2" s="1"/>
  <c r="S92" i="2" s="1"/>
  <c r="H96" i="2"/>
  <c r="Q96" i="2" s="1"/>
  <c r="S96" i="2" s="1"/>
  <c r="H103" i="2"/>
  <c r="Q103" i="2" s="1"/>
  <c r="S103" i="2" s="1"/>
  <c r="H107" i="2"/>
  <c r="Q107" i="2" s="1"/>
  <c r="S107" i="2" s="1"/>
  <c r="H111" i="2"/>
  <c r="Q111" i="2" s="1"/>
  <c r="S111" i="2" s="1"/>
  <c r="H118" i="2"/>
  <c r="Q118" i="2" s="1"/>
  <c r="S118" i="2" s="1"/>
  <c r="H122" i="2"/>
  <c r="Q122" i="2" s="1"/>
  <c r="S122" i="2" s="1"/>
  <c r="H126" i="2"/>
  <c r="Q126" i="2" s="1"/>
  <c r="S126" i="2" s="1"/>
  <c r="H133" i="2"/>
  <c r="Q133" i="2" s="1"/>
  <c r="S133" i="2" s="1"/>
  <c r="H137" i="2"/>
  <c r="Q137" i="2" s="1"/>
  <c r="S137" i="2" s="1"/>
  <c r="H141" i="2"/>
  <c r="Q141" i="2" s="1"/>
  <c r="S141" i="2" s="1"/>
  <c r="H148" i="2"/>
  <c r="Q148" i="2" s="1"/>
  <c r="S148" i="2" s="1"/>
  <c r="H152" i="2"/>
  <c r="Q152" i="2" s="1"/>
  <c r="S152" i="2" s="1"/>
  <c r="H159" i="2"/>
  <c r="Q159" i="2" s="1"/>
  <c r="S159" i="2" s="1"/>
  <c r="H163" i="2"/>
  <c r="Q163" i="2" s="1"/>
  <c r="S163" i="2" s="1"/>
  <c r="H167" i="2"/>
  <c r="Q167" i="2" s="1"/>
  <c r="S167" i="2" s="1"/>
  <c r="H19" i="1"/>
  <c r="Q19" i="1" s="1"/>
  <c r="S19" i="1" s="1"/>
  <c r="AE14" i="1" s="1"/>
  <c r="H23" i="1"/>
  <c r="Q23" i="1" s="1"/>
  <c r="S23" i="1" s="1"/>
  <c r="AE18" i="1" s="1"/>
  <c r="H27" i="1"/>
  <c r="Q27" i="1" s="1"/>
  <c r="S27" i="1" s="1"/>
  <c r="AE22" i="1" s="1"/>
  <c r="H15" i="1"/>
  <c r="Q15" i="1" s="1"/>
  <c r="S15" i="1" s="1"/>
  <c r="Y24" i="1" s="1"/>
  <c r="H13" i="1"/>
  <c r="Q13" i="1" s="1"/>
  <c r="S13" i="1" s="1"/>
  <c r="Y22" i="1" s="1"/>
  <c r="H8" i="1"/>
  <c r="Q8" i="1" s="1"/>
  <c r="S8" i="1" s="1"/>
  <c r="Y17" i="1" s="1"/>
  <c r="H7" i="1"/>
  <c r="Q7" i="1" s="1"/>
  <c r="S7" i="1" s="1"/>
  <c r="Y16" i="1" s="1"/>
  <c r="H6" i="1"/>
  <c r="Q6" i="1" s="1"/>
  <c r="S6" i="1" s="1"/>
  <c r="Y15" i="1" s="1"/>
  <c r="Q5" i="1"/>
  <c r="S5" i="1" s="1"/>
  <c r="Y14" i="1" s="1"/>
  <c r="H40" i="2"/>
  <c r="Q40" i="2" s="1"/>
  <c r="S40" i="2" s="1"/>
  <c r="U141" i="1" l="1"/>
  <c r="AH18" i="1"/>
  <c r="AT18" i="8"/>
  <c r="AT20" i="1"/>
  <c r="CD23" i="12"/>
  <c r="CJ18" i="6"/>
  <c r="T140" i="12"/>
  <c r="CB23" i="12" s="1"/>
  <c r="T99" i="12"/>
  <c r="BJ24" i="12" s="1"/>
  <c r="T55" i="11"/>
  <c r="AR22" i="11" s="1"/>
  <c r="U57" i="10"/>
  <c r="T147" i="8"/>
  <c r="CH16" i="8" s="1"/>
  <c r="U105" i="2"/>
  <c r="BQ16" i="2" s="1"/>
  <c r="CJ16" i="8"/>
  <c r="AN18" i="6"/>
  <c r="T65" i="1"/>
  <c r="AX18" i="1" s="1"/>
  <c r="T124" i="1"/>
  <c r="BV21" i="1" s="1"/>
  <c r="U98" i="1"/>
  <c r="BK23" i="1" s="1"/>
  <c r="AH14" i="6"/>
  <c r="U47" i="5"/>
  <c r="AS14" i="5" s="1"/>
  <c r="T23" i="5"/>
  <c r="AF18" i="5" s="1"/>
  <c r="AT16" i="10"/>
  <c r="AT14" i="5"/>
  <c r="U99" i="12"/>
  <c r="BK24" i="12" s="1"/>
  <c r="T91" i="12"/>
  <c r="BJ16" i="12" s="1"/>
  <c r="U147" i="8"/>
  <c r="CI16" i="8" s="1"/>
  <c r="T37" i="6"/>
  <c r="AL18" i="6" s="1"/>
  <c r="AT22" i="11"/>
  <c r="BX16" i="2"/>
  <c r="BL24" i="12"/>
  <c r="AB18" i="12"/>
  <c r="CJ16" i="6"/>
  <c r="U37" i="6"/>
  <c r="AM18" i="6" s="1"/>
  <c r="CP21" i="12"/>
  <c r="AT20" i="12"/>
  <c r="T83" i="1"/>
  <c r="BD22" i="1" s="1"/>
  <c r="CD20" i="12"/>
  <c r="BX15" i="9"/>
  <c r="AE18" i="5"/>
  <c r="BL23" i="1"/>
  <c r="BX22" i="1"/>
  <c r="T166" i="12"/>
  <c r="CN21" i="12" s="1"/>
  <c r="BX24" i="12"/>
  <c r="U20" i="12"/>
  <c r="AG15" i="12" s="1"/>
  <c r="T9" i="12"/>
  <c r="Z18" i="12" s="1"/>
  <c r="T149" i="6"/>
  <c r="CH18" i="6" s="1"/>
  <c r="BL16" i="12"/>
  <c r="T56" i="5"/>
  <c r="U124" i="1"/>
  <c r="BW21" i="1" s="1"/>
  <c r="AN20" i="1"/>
  <c r="T20" i="12"/>
  <c r="AF15" i="12" s="1"/>
  <c r="AH18" i="5"/>
  <c r="AB22" i="10"/>
  <c r="CD17" i="7"/>
  <c r="BF17" i="7"/>
  <c r="CD16" i="1"/>
  <c r="T12" i="5"/>
  <c r="Z21" i="5" s="1"/>
  <c r="CP16" i="1"/>
  <c r="AB21" i="5"/>
  <c r="AN22" i="2"/>
  <c r="U166" i="12"/>
  <c r="CO21" i="12" s="1"/>
  <c r="T61" i="12"/>
  <c r="AX14" i="12" s="1"/>
  <c r="U9" i="12"/>
  <c r="AA18" i="12" s="1"/>
  <c r="U149" i="6"/>
  <c r="CI18" i="6" s="1"/>
  <c r="AH15" i="12"/>
  <c r="AB22" i="11"/>
  <c r="AN15" i="9"/>
  <c r="U65" i="1"/>
  <c r="AY18" i="1" s="1"/>
  <c r="U146" i="1"/>
  <c r="CI15" i="1" s="1"/>
  <c r="U133" i="1"/>
  <c r="CC16" i="1" s="1"/>
  <c r="CP18" i="3"/>
  <c r="BF21" i="11"/>
  <c r="AZ18" i="10"/>
  <c r="CD16" i="8"/>
  <c r="AZ16" i="7"/>
  <c r="CJ15" i="5"/>
  <c r="BF14" i="5"/>
  <c r="AB18" i="6"/>
  <c r="AT20" i="5"/>
  <c r="AB18" i="5"/>
  <c r="AT21" i="2"/>
  <c r="CP15" i="1"/>
  <c r="BR19" i="1"/>
  <c r="AN17" i="11"/>
  <c r="AH21" i="3"/>
  <c r="BR19" i="2"/>
  <c r="CJ18" i="1"/>
  <c r="AZ18" i="1"/>
  <c r="BR24" i="12"/>
  <c r="BR16" i="9"/>
  <c r="CJ17" i="6"/>
  <c r="CD20" i="2"/>
  <c r="AH19" i="2"/>
  <c r="T150" i="1"/>
  <c r="CH19" i="1" s="1"/>
  <c r="BL21" i="12"/>
  <c r="CJ16" i="10"/>
  <c r="AH20" i="9"/>
  <c r="CD18" i="2"/>
  <c r="AT15" i="1"/>
  <c r="AB19" i="1"/>
  <c r="AZ20" i="2"/>
  <c r="AT18" i="1"/>
  <c r="AB16" i="1"/>
  <c r="CD18" i="1"/>
  <c r="BX16" i="3"/>
  <c r="AB18" i="1"/>
  <c r="AB21" i="12"/>
  <c r="AT15" i="10"/>
  <c r="CD14" i="8"/>
  <c r="AN19" i="8"/>
  <c r="BX14" i="7"/>
  <c r="BF16" i="6"/>
  <c r="AH20" i="6"/>
  <c r="BR18" i="5"/>
  <c r="BL17" i="3"/>
  <c r="U135" i="2"/>
  <c r="CC18" i="2" s="1"/>
  <c r="BF16" i="11"/>
  <c r="CP14" i="12"/>
  <c r="AB14" i="10"/>
  <c r="AN14" i="7"/>
  <c r="BL15" i="5"/>
  <c r="BX17" i="3"/>
  <c r="BX19" i="1"/>
  <c r="BL16" i="6"/>
  <c r="AN23" i="1"/>
  <c r="BL21" i="2"/>
  <c r="BF14" i="1"/>
  <c r="AH23" i="1"/>
  <c r="AZ16" i="3"/>
  <c r="AH15" i="2"/>
  <c r="BR17" i="1"/>
  <c r="BX16" i="12"/>
  <c r="AB18" i="2"/>
  <c r="BF14" i="12"/>
  <c r="AZ22" i="11"/>
  <c r="AN16" i="11"/>
  <c r="CP16" i="9"/>
  <c r="AB14" i="8"/>
  <c r="AH15" i="7"/>
  <c r="CP14" i="5"/>
  <c r="T135" i="2"/>
  <c r="CB18" i="2" s="1"/>
  <c r="U71" i="8"/>
  <c r="T94" i="1"/>
  <c r="BJ19" i="1" s="1"/>
  <c r="AT22" i="12"/>
  <c r="AZ16" i="1"/>
  <c r="AH21" i="1"/>
  <c r="BL15" i="7"/>
  <c r="CP17" i="6"/>
  <c r="CD19" i="2"/>
  <c r="AZ14" i="8"/>
  <c r="AH17" i="6"/>
  <c r="BR19" i="5"/>
  <c r="BL18" i="2"/>
  <c r="AT19" i="12"/>
  <c r="BX16" i="1"/>
  <c r="CD18" i="12"/>
  <c r="BL14" i="10"/>
  <c r="BX15" i="6"/>
  <c r="U131" i="1"/>
  <c r="CC14" i="1" s="1"/>
  <c r="U109" i="1"/>
  <c r="BQ20" i="1" s="1"/>
  <c r="BX15" i="12"/>
  <c r="CD18" i="5"/>
  <c r="BR14" i="1"/>
  <c r="BL16" i="3"/>
  <c r="AH15" i="1"/>
  <c r="AT19" i="2"/>
  <c r="AZ17" i="11"/>
  <c r="AT14" i="2"/>
  <c r="AZ18" i="9"/>
  <c r="AB20" i="3"/>
  <c r="AN15" i="12"/>
  <c r="BL19" i="11"/>
  <c r="AN14" i="10"/>
  <c r="AB17" i="9"/>
  <c r="BL15" i="8"/>
  <c r="AH18" i="8"/>
  <c r="BR17" i="7"/>
  <c r="BX19" i="3"/>
  <c r="BF16" i="3"/>
  <c r="T20" i="1"/>
  <c r="AF15" i="1" s="1"/>
  <c r="T131" i="1"/>
  <c r="CB14" i="1" s="1"/>
  <c r="U75" i="1"/>
  <c r="BE14" i="1" s="1"/>
  <c r="AB21" i="6"/>
  <c r="CP16" i="3"/>
  <c r="AB23" i="2"/>
  <c r="BX20" i="1"/>
  <c r="BF20" i="2"/>
  <c r="AH14" i="2"/>
  <c r="BR16" i="1"/>
  <c r="AT17" i="1"/>
  <c r="U119" i="12"/>
  <c r="BW16" i="12" s="1"/>
  <c r="AT17" i="9"/>
  <c r="BL18" i="3"/>
  <c r="AT15" i="3"/>
  <c r="CD17" i="2"/>
  <c r="AH14" i="11"/>
  <c r="CJ14" i="6"/>
  <c r="BL19" i="12"/>
  <c r="AZ14" i="11"/>
  <c r="CD18" i="9"/>
  <c r="AB14" i="7"/>
  <c r="BX15" i="5"/>
  <c r="CP14" i="2"/>
  <c r="T75" i="1"/>
  <c r="BD14" i="1" s="1"/>
  <c r="BF16" i="12"/>
  <c r="AT14" i="9"/>
  <c r="AN18" i="1"/>
  <c r="CD18" i="7"/>
  <c r="AZ17" i="7"/>
  <c r="AB16" i="6"/>
  <c r="AB16" i="5"/>
  <c r="BF21" i="2"/>
  <c r="BR14" i="10"/>
  <c r="BL14" i="1"/>
  <c r="CJ23" i="12"/>
  <c r="CD17" i="10"/>
  <c r="AZ16" i="10"/>
  <c r="CP17" i="7"/>
  <c r="AZ18" i="7"/>
  <c r="BR14" i="6"/>
  <c r="AT14" i="6"/>
  <c r="CJ17" i="5"/>
  <c r="AH21" i="5"/>
  <c r="BX21" i="1"/>
  <c r="CG17" i="2"/>
  <c r="T148" i="2"/>
  <c r="CH17" i="2" s="1"/>
  <c r="U148" i="2"/>
  <c r="CI17" i="2" s="1"/>
  <c r="AW19" i="2"/>
  <c r="U66" i="2"/>
  <c r="AY19" i="2" s="1"/>
  <c r="T66" i="2"/>
  <c r="AX19" i="2" s="1"/>
  <c r="BO18" i="3"/>
  <c r="T107" i="3"/>
  <c r="BP18" i="3" s="1"/>
  <c r="U107" i="3"/>
  <c r="BQ18" i="3" s="1"/>
  <c r="U15" i="3"/>
  <c r="T15" i="3"/>
  <c r="T112" i="5"/>
  <c r="U112" i="5"/>
  <c r="U136" i="6"/>
  <c r="T136" i="6"/>
  <c r="BC15" i="6"/>
  <c r="U76" i="6"/>
  <c r="BE15" i="6" s="1"/>
  <c r="T76" i="6"/>
  <c r="BD15" i="6" s="1"/>
  <c r="BO14" i="7"/>
  <c r="U103" i="7"/>
  <c r="BQ14" i="7" s="1"/>
  <c r="T103" i="7"/>
  <c r="BP14" i="7" s="1"/>
  <c r="U126" i="8"/>
  <c r="T126" i="8"/>
  <c r="T152" i="9"/>
  <c r="U152" i="9"/>
  <c r="T70" i="9"/>
  <c r="U70" i="9"/>
  <c r="BU15" i="10"/>
  <c r="U118" i="10"/>
  <c r="BW15" i="10" s="1"/>
  <c r="T118" i="10"/>
  <c r="BV15" i="10" s="1"/>
  <c r="CG14" i="1"/>
  <c r="AE16" i="2"/>
  <c r="T21" i="2"/>
  <c r="AF16" i="2" s="1"/>
  <c r="U21" i="2"/>
  <c r="AG16" i="2" s="1"/>
  <c r="BI20" i="2"/>
  <c r="T95" i="2"/>
  <c r="BJ20" i="2" s="1"/>
  <c r="U95" i="2"/>
  <c r="BK20" i="2" s="1"/>
  <c r="CG16" i="2"/>
  <c r="T147" i="2"/>
  <c r="CH16" i="2" s="1"/>
  <c r="U147" i="2"/>
  <c r="CI16" i="2" s="1"/>
  <c r="AE14" i="3"/>
  <c r="T19" i="3"/>
  <c r="AF14" i="3" s="1"/>
  <c r="U19" i="3"/>
  <c r="AG14" i="3" s="1"/>
  <c r="T113" i="3"/>
  <c r="U113" i="3"/>
  <c r="AQ20" i="3"/>
  <c r="T53" i="3"/>
  <c r="AR20" i="3" s="1"/>
  <c r="U53" i="3"/>
  <c r="AS20" i="3" s="1"/>
  <c r="BC19" i="3"/>
  <c r="T80" i="3"/>
  <c r="BD19" i="3" s="1"/>
  <c r="U80" i="3"/>
  <c r="BE19" i="3" s="1"/>
  <c r="AQ18" i="5"/>
  <c r="U51" i="5"/>
  <c r="AS18" i="5" s="1"/>
  <c r="T51" i="5"/>
  <c r="AR18" i="5" s="1"/>
  <c r="Y17" i="6"/>
  <c r="U8" i="6"/>
  <c r="AA17" i="6" s="1"/>
  <c r="T8" i="6"/>
  <c r="Z17" i="6" s="1"/>
  <c r="U53" i="6"/>
  <c r="T53" i="6"/>
  <c r="BO15" i="6"/>
  <c r="T104" i="6"/>
  <c r="BP15" i="6" s="1"/>
  <c r="U104" i="6"/>
  <c r="BQ15" i="6" s="1"/>
  <c r="Y16" i="7"/>
  <c r="U7" i="7"/>
  <c r="AA16" i="7" s="1"/>
  <c r="T7" i="7"/>
  <c r="Z16" i="7" s="1"/>
  <c r="AK17" i="7"/>
  <c r="U36" i="7"/>
  <c r="AM17" i="7" s="1"/>
  <c r="T36" i="7"/>
  <c r="AL17" i="7" s="1"/>
  <c r="T99" i="8"/>
  <c r="U99" i="8"/>
  <c r="AW17" i="8"/>
  <c r="T64" i="8"/>
  <c r="AX17" i="8" s="1"/>
  <c r="U64" i="8"/>
  <c r="AY17" i="8" s="1"/>
  <c r="AE14" i="9"/>
  <c r="U19" i="9"/>
  <c r="AG14" i="9" s="1"/>
  <c r="T19" i="9"/>
  <c r="AF14" i="9" s="1"/>
  <c r="T83" i="9"/>
  <c r="U83" i="9"/>
  <c r="CG15" i="9"/>
  <c r="T146" i="9"/>
  <c r="CH15" i="9" s="1"/>
  <c r="U146" i="9"/>
  <c r="CI15" i="9" s="1"/>
  <c r="T68" i="10"/>
  <c r="U68" i="10"/>
  <c r="T154" i="10"/>
  <c r="U154" i="10"/>
  <c r="CG18" i="10"/>
  <c r="U149" i="10"/>
  <c r="CI18" i="10" s="1"/>
  <c r="T149" i="10"/>
  <c r="CH18" i="10" s="1"/>
  <c r="AQ14" i="11"/>
  <c r="U47" i="11"/>
  <c r="AS14" i="11" s="1"/>
  <c r="T47" i="11"/>
  <c r="AR14" i="11" s="1"/>
  <c r="CG21" i="12"/>
  <c r="T152" i="12"/>
  <c r="CH21" i="12" s="1"/>
  <c r="U152" i="12"/>
  <c r="CI21" i="12" s="1"/>
  <c r="BI17" i="12"/>
  <c r="T92" i="12"/>
  <c r="BJ17" i="12" s="1"/>
  <c r="U92" i="12"/>
  <c r="BK17" i="12" s="1"/>
  <c r="BC17" i="12"/>
  <c r="U78" i="12"/>
  <c r="BE17" i="12" s="1"/>
  <c r="T78" i="12"/>
  <c r="BD17" i="12" s="1"/>
  <c r="AQ17" i="11"/>
  <c r="T50" i="11"/>
  <c r="AR17" i="11" s="1"/>
  <c r="U50" i="11"/>
  <c r="AS17" i="11" s="1"/>
  <c r="T127" i="10"/>
  <c r="U127" i="10"/>
  <c r="CM20" i="12"/>
  <c r="T165" i="12"/>
  <c r="CN20" i="12" s="1"/>
  <c r="U165" i="12"/>
  <c r="CO20" i="12" s="1"/>
  <c r="BO16" i="12"/>
  <c r="U105" i="12"/>
  <c r="BQ16" i="12" s="1"/>
  <c r="T105" i="12"/>
  <c r="BP16" i="12" s="1"/>
  <c r="AE18" i="12"/>
  <c r="U23" i="12"/>
  <c r="AG18" i="12" s="1"/>
  <c r="T23" i="12"/>
  <c r="AF18" i="12" s="1"/>
  <c r="AK18" i="11"/>
  <c r="U37" i="11"/>
  <c r="AM18" i="11" s="1"/>
  <c r="T37" i="11"/>
  <c r="AL18" i="11" s="1"/>
  <c r="BI16" i="10"/>
  <c r="T91" i="10"/>
  <c r="BJ16" i="10" s="1"/>
  <c r="U91" i="10"/>
  <c r="BK16" i="10" s="1"/>
  <c r="T166" i="9"/>
  <c r="U166" i="9"/>
  <c r="U164" i="9"/>
  <c r="T164" i="9"/>
  <c r="BC14" i="9"/>
  <c r="T75" i="9"/>
  <c r="BD14" i="9" s="1"/>
  <c r="U75" i="9"/>
  <c r="BE14" i="9" s="1"/>
  <c r="CG15" i="8"/>
  <c r="T146" i="8"/>
  <c r="CH15" i="8" s="1"/>
  <c r="U146" i="8"/>
  <c r="CI15" i="8" s="1"/>
  <c r="U53" i="8"/>
  <c r="T53" i="8"/>
  <c r="BU17" i="7"/>
  <c r="U120" i="7"/>
  <c r="BW17" i="7" s="1"/>
  <c r="T120" i="7"/>
  <c r="BV17" i="7" s="1"/>
  <c r="AE14" i="7"/>
  <c r="T19" i="7"/>
  <c r="AF14" i="7" s="1"/>
  <c r="U19" i="7"/>
  <c r="AG14" i="7" s="1"/>
  <c r="AQ16" i="6"/>
  <c r="U49" i="6"/>
  <c r="AS16" i="6" s="1"/>
  <c r="T49" i="6"/>
  <c r="AR16" i="6" s="1"/>
  <c r="U138" i="3"/>
  <c r="T138" i="3"/>
  <c r="AK18" i="3"/>
  <c r="U37" i="3"/>
  <c r="AM18" i="3" s="1"/>
  <c r="T37" i="3"/>
  <c r="AL18" i="3" s="1"/>
  <c r="BC17" i="2"/>
  <c r="T78" i="2"/>
  <c r="BD17" i="2" s="1"/>
  <c r="U78" i="2"/>
  <c r="BE17" i="2" s="1"/>
  <c r="AE16" i="7"/>
  <c r="T21" i="7"/>
  <c r="AF16" i="7" s="1"/>
  <c r="U21" i="7"/>
  <c r="AG16" i="7" s="1"/>
  <c r="U122" i="6"/>
  <c r="T122" i="6"/>
  <c r="Y14" i="6"/>
  <c r="T5" i="6"/>
  <c r="Z14" i="6" s="1"/>
  <c r="U5" i="6"/>
  <c r="AA14" i="6" s="1"/>
  <c r="T84" i="5"/>
  <c r="U84" i="5"/>
  <c r="T140" i="3"/>
  <c r="U140" i="3"/>
  <c r="T84" i="2"/>
  <c r="U84" i="2"/>
  <c r="AQ23" i="12"/>
  <c r="T56" i="12"/>
  <c r="AR23" i="12" s="1"/>
  <c r="U56" i="12"/>
  <c r="AS23" i="12" s="1"/>
  <c r="U13" i="8"/>
  <c r="T13" i="8"/>
  <c r="T121" i="7"/>
  <c r="U121" i="7"/>
  <c r="U13" i="7"/>
  <c r="T13" i="7"/>
  <c r="Y15" i="6"/>
  <c r="U6" i="6"/>
  <c r="AA15" i="6" s="1"/>
  <c r="T6" i="6"/>
  <c r="Z15" i="6" s="1"/>
  <c r="BO14" i="5"/>
  <c r="U103" i="5"/>
  <c r="BQ14" i="5" s="1"/>
  <c r="T103" i="5"/>
  <c r="BP14" i="5" s="1"/>
  <c r="AK21" i="3"/>
  <c r="U40" i="3"/>
  <c r="AM21" i="3" s="1"/>
  <c r="T40" i="3"/>
  <c r="AL21" i="3" s="1"/>
  <c r="BF17" i="1"/>
  <c r="CD22" i="1"/>
  <c r="AZ19" i="11"/>
  <c r="BL18" i="5"/>
  <c r="BF17" i="3"/>
  <c r="CP19" i="2"/>
  <c r="CP15" i="12"/>
  <c r="CD21" i="12"/>
  <c r="AT23" i="12"/>
  <c r="AN22" i="12"/>
  <c r="AH17" i="12"/>
  <c r="BR17" i="8"/>
  <c r="AT17" i="11"/>
  <c r="AB14" i="11"/>
  <c r="BR15" i="10"/>
  <c r="AH14" i="9"/>
  <c r="BC17" i="7"/>
  <c r="T78" i="7"/>
  <c r="BD17" i="7" s="1"/>
  <c r="U78" i="7"/>
  <c r="BE17" i="7" s="1"/>
  <c r="T41" i="7"/>
  <c r="U41" i="7"/>
  <c r="BI19" i="5"/>
  <c r="U94" i="5"/>
  <c r="BK19" i="5" s="1"/>
  <c r="T94" i="5"/>
  <c r="BJ19" i="5" s="1"/>
  <c r="AZ15" i="3"/>
  <c r="AN21" i="3"/>
  <c r="AN16" i="1"/>
  <c r="CP15" i="2"/>
  <c r="BO14" i="2"/>
  <c r="U103" i="2"/>
  <c r="BQ14" i="2" s="1"/>
  <c r="T103" i="2"/>
  <c r="BP14" i="2" s="1"/>
  <c r="T141" i="3"/>
  <c r="U141" i="3"/>
  <c r="Y22" i="2"/>
  <c r="T13" i="2"/>
  <c r="Z22" i="2" s="1"/>
  <c r="U13" i="2"/>
  <c r="AA22" i="2" s="1"/>
  <c r="U168" i="5"/>
  <c r="T168" i="5"/>
  <c r="BI14" i="5"/>
  <c r="U89" i="5"/>
  <c r="BK14" i="5" s="1"/>
  <c r="T89" i="5"/>
  <c r="BJ14" i="5" s="1"/>
  <c r="U110" i="6"/>
  <c r="T110" i="6"/>
  <c r="CM14" i="7"/>
  <c r="T159" i="7"/>
  <c r="CN14" i="7" s="1"/>
  <c r="U159" i="7"/>
  <c r="CO14" i="7" s="1"/>
  <c r="BC16" i="7"/>
  <c r="U77" i="7"/>
  <c r="BE16" i="7" s="1"/>
  <c r="T77" i="7"/>
  <c r="BD16" i="7" s="1"/>
  <c r="BO14" i="8"/>
  <c r="U103" i="8"/>
  <c r="BQ14" i="8" s="1"/>
  <c r="T103" i="8"/>
  <c r="BP14" i="8" s="1"/>
  <c r="T126" i="9"/>
  <c r="U126" i="9"/>
  <c r="T152" i="10"/>
  <c r="U152" i="10"/>
  <c r="AE20" i="2"/>
  <c r="U25" i="2"/>
  <c r="AG20" i="2" s="1"/>
  <c r="T25" i="2"/>
  <c r="AF20" i="2" s="1"/>
  <c r="U98" i="2"/>
  <c r="T98" i="2"/>
  <c r="CG19" i="2"/>
  <c r="T150" i="2"/>
  <c r="CH19" i="2" s="1"/>
  <c r="U150" i="2"/>
  <c r="CI19" i="2" s="1"/>
  <c r="AE15" i="3"/>
  <c r="T20" i="3"/>
  <c r="AF15" i="3" s="1"/>
  <c r="U20" i="3"/>
  <c r="AG15" i="3" s="1"/>
  <c r="CA14" i="3"/>
  <c r="T131" i="3"/>
  <c r="CB14" i="3" s="1"/>
  <c r="U131" i="3"/>
  <c r="CC14" i="3" s="1"/>
  <c r="AQ16" i="3"/>
  <c r="U49" i="3"/>
  <c r="AS16" i="3" s="1"/>
  <c r="T49" i="3"/>
  <c r="AR16" i="3" s="1"/>
  <c r="AW14" i="3"/>
  <c r="T61" i="3"/>
  <c r="AX14" i="3" s="1"/>
  <c r="U61" i="3"/>
  <c r="AY14" i="3" s="1"/>
  <c r="AE15" i="5"/>
  <c r="T20" i="5"/>
  <c r="AF15" i="5" s="1"/>
  <c r="U20" i="5"/>
  <c r="AG15" i="5" s="1"/>
  <c r="CA18" i="5"/>
  <c r="T135" i="5"/>
  <c r="CB18" i="5" s="1"/>
  <c r="U135" i="5"/>
  <c r="CC18" i="5" s="1"/>
  <c r="AQ15" i="6"/>
  <c r="U48" i="6"/>
  <c r="AS15" i="6" s="1"/>
  <c r="T48" i="6"/>
  <c r="AR15" i="6" s="1"/>
  <c r="BI18" i="6"/>
  <c r="T93" i="6"/>
  <c r="BJ18" i="6" s="1"/>
  <c r="U93" i="6"/>
  <c r="BK18" i="6" s="1"/>
  <c r="CA18" i="6"/>
  <c r="T135" i="6"/>
  <c r="CB18" i="6" s="1"/>
  <c r="U135" i="6"/>
  <c r="CC18" i="6" s="1"/>
  <c r="AE19" i="7"/>
  <c r="T24" i="7"/>
  <c r="AF19" i="7" s="1"/>
  <c r="U24" i="7"/>
  <c r="AG19" i="7" s="1"/>
  <c r="CG14" i="7"/>
  <c r="U145" i="7"/>
  <c r="CI14" i="7" s="1"/>
  <c r="T145" i="7"/>
  <c r="CH14" i="7" s="1"/>
  <c r="AE16" i="8"/>
  <c r="U21" i="8"/>
  <c r="AG16" i="8" s="1"/>
  <c r="T21" i="8"/>
  <c r="AF16" i="8" s="1"/>
  <c r="CM16" i="8"/>
  <c r="T161" i="8"/>
  <c r="CN16" i="8" s="1"/>
  <c r="U161" i="8"/>
  <c r="CO16" i="8" s="1"/>
  <c r="AK16" i="9"/>
  <c r="T35" i="9"/>
  <c r="AL16" i="9" s="1"/>
  <c r="U35" i="9"/>
  <c r="AM16" i="9" s="1"/>
  <c r="BI16" i="9"/>
  <c r="T91" i="9"/>
  <c r="BJ16" i="9" s="1"/>
  <c r="U91" i="9"/>
  <c r="BK16" i="9" s="1"/>
  <c r="AE18" i="10"/>
  <c r="T23" i="10"/>
  <c r="AF18" i="10" s="1"/>
  <c r="U23" i="10"/>
  <c r="AG18" i="10" s="1"/>
  <c r="U110" i="10"/>
  <c r="T110" i="10"/>
  <c r="CA14" i="10"/>
  <c r="T131" i="10"/>
  <c r="CB14" i="10" s="1"/>
  <c r="U131" i="10"/>
  <c r="CC14" i="10" s="1"/>
  <c r="AK20" i="11"/>
  <c r="U39" i="11"/>
  <c r="AM20" i="11" s="1"/>
  <c r="T39" i="11"/>
  <c r="AL20" i="11" s="1"/>
  <c r="CM22" i="12"/>
  <c r="U167" i="12"/>
  <c r="CO22" i="12" s="1"/>
  <c r="T167" i="12"/>
  <c r="CN22" i="12" s="1"/>
  <c r="AW19" i="12"/>
  <c r="T66" i="12"/>
  <c r="AX19" i="12" s="1"/>
  <c r="U66" i="12"/>
  <c r="AY19" i="12" s="1"/>
  <c r="BO23" i="12"/>
  <c r="T112" i="12"/>
  <c r="BP23" i="12" s="1"/>
  <c r="U112" i="12"/>
  <c r="BQ23" i="12" s="1"/>
  <c r="AK21" i="12"/>
  <c r="U40" i="12"/>
  <c r="AM21" i="12" s="1"/>
  <c r="T40" i="12"/>
  <c r="AL21" i="12" s="1"/>
  <c r="CG14" i="10"/>
  <c r="U145" i="10"/>
  <c r="CI14" i="10" s="1"/>
  <c r="T145" i="10"/>
  <c r="CH14" i="10" s="1"/>
  <c r="AQ15" i="10"/>
  <c r="U48" i="10"/>
  <c r="AS15" i="10" s="1"/>
  <c r="T48" i="10"/>
  <c r="AR15" i="10" s="1"/>
  <c r="BI23" i="12"/>
  <c r="T98" i="12"/>
  <c r="BJ23" i="12" s="1"/>
  <c r="U98" i="12"/>
  <c r="BK23" i="12" s="1"/>
  <c r="AE14" i="12"/>
  <c r="U19" i="12"/>
  <c r="AG14" i="12" s="1"/>
  <c r="T19" i="12"/>
  <c r="AF14" i="12" s="1"/>
  <c r="AK14" i="11"/>
  <c r="U33" i="11"/>
  <c r="AM14" i="11" s="1"/>
  <c r="T33" i="11"/>
  <c r="AL14" i="11" s="1"/>
  <c r="BO17" i="10"/>
  <c r="T106" i="10"/>
  <c r="BP17" i="10" s="1"/>
  <c r="U106" i="10"/>
  <c r="BQ17" i="10" s="1"/>
  <c r="AQ17" i="10"/>
  <c r="U50" i="10"/>
  <c r="AS17" i="10" s="1"/>
  <c r="T50" i="10"/>
  <c r="AR17" i="10" s="1"/>
  <c r="T28" i="10"/>
  <c r="U28" i="10"/>
  <c r="U55" i="9"/>
  <c r="T55" i="9"/>
  <c r="AK17" i="9"/>
  <c r="U36" i="9"/>
  <c r="AM17" i="9" s="1"/>
  <c r="T36" i="9"/>
  <c r="AL17" i="9" s="1"/>
  <c r="CM16" i="9"/>
  <c r="U161" i="9"/>
  <c r="CO16" i="9" s="1"/>
  <c r="T161" i="9"/>
  <c r="CN16" i="9" s="1"/>
  <c r="U113" i="9"/>
  <c r="T113" i="9"/>
  <c r="T94" i="9"/>
  <c r="U94" i="9"/>
  <c r="U68" i="9"/>
  <c r="T68" i="9"/>
  <c r="T42" i="9"/>
  <c r="U42" i="9"/>
  <c r="T165" i="8"/>
  <c r="U165" i="8"/>
  <c r="U139" i="8"/>
  <c r="T139" i="8"/>
  <c r="U113" i="8"/>
  <c r="T113" i="8"/>
  <c r="T94" i="8"/>
  <c r="U94" i="8"/>
  <c r="BC14" i="8"/>
  <c r="T75" i="8"/>
  <c r="BD14" i="8" s="1"/>
  <c r="U75" i="8"/>
  <c r="BE14" i="8" s="1"/>
  <c r="AQ16" i="8"/>
  <c r="T49" i="8"/>
  <c r="AR16" i="8" s="1"/>
  <c r="U49" i="8"/>
  <c r="AS16" i="8" s="1"/>
  <c r="Y17" i="8"/>
  <c r="T8" i="8"/>
  <c r="Z17" i="8" s="1"/>
  <c r="U8" i="8"/>
  <c r="AA17" i="8" s="1"/>
  <c r="U154" i="7"/>
  <c r="T154" i="7"/>
  <c r="CA18" i="7"/>
  <c r="U135" i="7"/>
  <c r="CC18" i="7" s="1"/>
  <c r="T135" i="7"/>
  <c r="CB18" i="7" s="1"/>
  <c r="U113" i="7"/>
  <c r="T113" i="7"/>
  <c r="T94" i="7"/>
  <c r="U94" i="7"/>
  <c r="BC14" i="7"/>
  <c r="T75" i="7"/>
  <c r="BD14" i="7" s="1"/>
  <c r="U75" i="7"/>
  <c r="BE14" i="7" s="1"/>
  <c r="U53" i="7"/>
  <c r="T53" i="7"/>
  <c r="AK15" i="7"/>
  <c r="T34" i="7"/>
  <c r="AL15" i="7" s="1"/>
  <c r="U34" i="7"/>
  <c r="AM15" i="7" s="1"/>
  <c r="U12" i="7"/>
  <c r="T12" i="7"/>
  <c r="CM16" i="6"/>
  <c r="T161" i="6"/>
  <c r="CN16" i="6" s="1"/>
  <c r="U161" i="6"/>
  <c r="CO16" i="6" s="1"/>
  <c r="U113" i="6"/>
  <c r="T113" i="6"/>
  <c r="U83" i="6"/>
  <c r="T83" i="6"/>
  <c r="AK19" i="6"/>
  <c r="U38" i="6"/>
  <c r="AM19" i="6" s="1"/>
  <c r="T38" i="6"/>
  <c r="AL19" i="6" s="1"/>
  <c r="U15" i="5"/>
  <c r="T15" i="5"/>
  <c r="T164" i="3"/>
  <c r="U164" i="3"/>
  <c r="T127" i="3"/>
  <c r="U127" i="3"/>
  <c r="T97" i="3"/>
  <c r="U97" i="3"/>
  <c r="T71" i="3"/>
  <c r="U71" i="3"/>
  <c r="AQ19" i="3"/>
  <c r="T52" i="3"/>
  <c r="AR19" i="3" s="1"/>
  <c r="U52" i="3"/>
  <c r="AS19" i="3" s="1"/>
  <c r="AE21" i="3"/>
  <c r="U26" i="3"/>
  <c r="AG21" i="3" s="1"/>
  <c r="T26" i="3"/>
  <c r="AF21" i="3" s="1"/>
  <c r="CG18" i="2"/>
  <c r="U149" i="2"/>
  <c r="CI18" i="2" s="1"/>
  <c r="T149" i="2"/>
  <c r="CH18" i="2" s="1"/>
  <c r="BU16" i="2"/>
  <c r="U119" i="2"/>
  <c r="BW16" i="2" s="1"/>
  <c r="T119" i="2"/>
  <c r="BV16" i="2" s="1"/>
  <c r="U97" i="2"/>
  <c r="T97" i="2"/>
  <c r="T71" i="2"/>
  <c r="U71" i="2"/>
  <c r="AQ19" i="2"/>
  <c r="T52" i="2"/>
  <c r="AR19" i="2" s="1"/>
  <c r="U52" i="2"/>
  <c r="AS19" i="2" s="1"/>
  <c r="AE19" i="2"/>
  <c r="T24" i="2"/>
  <c r="AF19" i="2" s="1"/>
  <c r="U24" i="2"/>
  <c r="AG19" i="2" s="1"/>
  <c r="T29" i="9"/>
  <c r="U29" i="9"/>
  <c r="U55" i="8"/>
  <c r="T55" i="8"/>
  <c r="U25" i="8"/>
  <c r="T25" i="8"/>
  <c r="T167" i="6"/>
  <c r="U167" i="6"/>
  <c r="T137" i="6"/>
  <c r="U137" i="6"/>
  <c r="U96" i="6"/>
  <c r="T96" i="6"/>
  <c r="U70" i="6"/>
  <c r="T70" i="6"/>
  <c r="AQ14" i="6"/>
  <c r="T47" i="6"/>
  <c r="AR14" i="6" s="1"/>
  <c r="U47" i="6"/>
  <c r="AS14" i="6" s="1"/>
  <c r="AE15" i="6"/>
  <c r="U20" i="6"/>
  <c r="AG15" i="6" s="1"/>
  <c r="T20" i="6"/>
  <c r="AF15" i="6" s="1"/>
  <c r="U166" i="5"/>
  <c r="T166" i="5"/>
  <c r="CG16" i="5"/>
  <c r="U147" i="5"/>
  <c r="CI16" i="5" s="1"/>
  <c r="T147" i="5"/>
  <c r="CH16" i="5" s="1"/>
  <c r="T125" i="5"/>
  <c r="U125" i="5"/>
  <c r="T99" i="5"/>
  <c r="U99" i="5"/>
  <c r="BC19" i="5"/>
  <c r="T80" i="5"/>
  <c r="BD19" i="5" s="1"/>
  <c r="U80" i="5"/>
  <c r="BE19" i="5" s="1"/>
  <c r="AW15" i="5"/>
  <c r="U62" i="5"/>
  <c r="AY15" i="5" s="1"/>
  <c r="T62" i="5"/>
  <c r="AX15" i="5" s="1"/>
  <c r="AE16" i="5"/>
  <c r="U21" i="5"/>
  <c r="AG16" i="5" s="1"/>
  <c r="T21" i="5"/>
  <c r="AF16" i="5" s="1"/>
  <c r="CM17" i="3"/>
  <c r="T162" i="3"/>
  <c r="CN17" i="3" s="1"/>
  <c r="U162" i="3"/>
  <c r="CO17" i="3" s="1"/>
  <c r="CA15" i="3"/>
  <c r="T132" i="3"/>
  <c r="CB15" i="3" s="1"/>
  <c r="U132" i="3"/>
  <c r="CC15" i="3" s="1"/>
  <c r="BO17" i="3"/>
  <c r="U106" i="3"/>
  <c r="BQ17" i="3" s="1"/>
  <c r="T106" i="3"/>
  <c r="BP17" i="3" s="1"/>
  <c r="AW18" i="3"/>
  <c r="U65" i="3"/>
  <c r="AY18" i="3" s="1"/>
  <c r="T65" i="3"/>
  <c r="AX18" i="3" s="1"/>
  <c r="BU18" i="2"/>
  <c r="T121" i="2"/>
  <c r="BV18" i="2" s="1"/>
  <c r="U121" i="2"/>
  <c r="BW18" i="2" s="1"/>
  <c r="BC19" i="2"/>
  <c r="U80" i="2"/>
  <c r="BE19" i="2" s="1"/>
  <c r="T80" i="2"/>
  <c r="BD19" i="2" s="1"/>
  <c r="AK14" i="2"/>
  <c r="T33" i="2"/>
  <c r="AL14" i="2" s="1"/>
  <c r="U33" i="2"/>
  <c r="AM14" i="2" s="1"/>
  <c r="U28" i="6"/>
  <c r="T28" i="6"/>
  <c r="AK24" i="12"/>
  <c r="U43" i="12"/>
  <c r="AM24" i="12" s="1"/>
  <c r="T43" i="12"/>
  <c r="AL24" i="12" s="1"/>
  <c r="BI14" i="12"/>
  <c r="T89" i="12"/>
  <c r="BJ14" i="12" s="1"/>
  <c r="U89" i="12"/>
  <c r="BK14" i="12" s="1"/>
  <c r="CM19" i="12"/>
  <c r="U164" i="12"/>
  <c r="CO19" i="12" s="1"/>
  <c r="T164" i="12"/>
  <c r="CN19" i="12" s="1"/>
  <c r="U139" i="1"/>
  <c r="CC22" i="1" s="1"/>
  <c r="U90" i="1"/>
  <c r="BK15" i="1" s="1"/>
  <c r="U79" i="1"/>
  <c r="BE18" i="1" s="1"/>
  <c r="CP22" i="12"/>
  <c r="CJ17" i="12"/>
  <c r="BX23" i="12"/>
  <c r="BR18" i="12"/>
  <c r="BF24" i="12"/>
  <c r="AZ19" i="12"/>
  <c r="AT14" i="12"/>
  <c r="AN17" i="12"/>
  <c r="AH20" i="12"/>
  <c r="AB23" i="12"/>
  <c r="AB15" i="12"/>
  <c r="AZ20" i="11"/>
  <c r="AT23" i="11"/>
  <c r="AT15" i="11"/>
  <c r="AN18" i="11"/>
  <c r="AH21" i="11"/>
  <c r="AB24" i="11"/>
  <c r="AB16" i="11"/>
  <c r="BX14" i="10"/>
  <c r="BL16" i="10"/>
  <c r="AT17" i="10"/>
  <c r="AH19" i="10"/>
  <c r="CJ17" i="9"/>
  <c r="BL17" i="9"/>
  <c r="AZ15" i="9"/>
  <c r="AB19" i="9"/>
  <c r="CP14" i="8"/>
  <c r="BR14" i="8"/>
  <c r="BF16" i="8"/>
  <c r="AN17" i="8"/>
  <c r="U166" i="7"/>
  <c r="T166" i="7"/>
  <c r="U151" i="7"/>
  <c r="T151" i="7"/>
  <c r="BO17" i="7"/>
  <c r="U106" i="7"/>
  <c r="BQ17" i="7" s="1"/>
  <c r="T106" i="7"/>
  <c r="BP17" i="7" s="1"/>
  <c r="T95" i="7"/>
  <c r="U95" i="7"/>
  <c r="T84" i="7"/>
  <c r="U84" i="7"/>
  <c r="BC15" i="7"/>
  <c r="T76" i="7"/>
  <c r="BD15" i="7" s="1"/>
  <c r="U76" i="7"/>
  <c r="BE15" i="7" s="1"/>
  <c r="AT15" i="7"/>
  <c r="T28" i="7"/>
  <c r="U28" i="7"/>
  <c r="AB16" i="7"/>
  <c r="CP16" i="6"/>
  <c r="CD18" i="6"/>
  <c r="BX17" i="6"/>
  <c r="BL15" i="6"/>
  <c r="BF14" i="6"/>
  <c r="AT16" i="6"/>
  <c r="AN15" i="6"/>
  <c r="Y19" i="6"/>
  <c r="U10" i="6"/>
  <c r="AA19" i="6" s="1"/>
  <c r="T10" i="6"/>
  <c r="Z19" i="6" s="1"/>
  <c r="T167" i="5"/>
  <c r="U167" i="5"/>
  <c r="U152" i="5"/>
  <c r="T152" i="5"/>
  <c r="T141" i="5"/>
  <c r="U141" i="5"/>
  <c r="BO18" i="5"/>
  <c r="T107" i="5"/>
  <c r="BP18" i="5" s="1"/>
  <c r="U107" i="5"/>
  <c r="BQ18" i="5" s="1"/>
  <c r="T96" i="5"/>
  <c r="U96" i="5"/>
  <c r="BF18" i="5"/>
  <c r="AK14" i="5"/>
  <c r="T33" i="5"/>
  <c r="AL14" i="5" s="1"/>
  <c r="U33" i="5"/>
  <c r="AM14" i="5" s="1"/>
  <c r="AE17" i="5"/>
  <c r="T22" i="5"/>
  <c r="AF17" i="5" s="1"/>
  <c r="U22" i="5"/>
  <c r="AG17" i="5" s="1"/>
  <c r="CD18" i="3"/>
  <c r="BL19" i="3"/>
  <c r="AZ21" i="3"/>
  <c r="AQ22" i="3"/>
  <c r="T55" i="3"/>
  <c r="AR22" i="3" s="1"/>
  <c r="U55" i="3"/>
  <c r="AS22" i="3" s="1"/>
  <c r="AN15" i="3"/>
  <c r="AH14" i="3"/>
  <c r="AB17" i="3"/>
  <c r="CJ19" i="2"/>
  <c r="BX21" i="2"/>
  <c r="BL19" i="2"/>
  <c r="BF22" i="2"/>
  <c r="AZ17" i="2"/>
  <c r="AQ14" i="2"/>
  <c r="U47" i="2"/>
  <c r="AS14" i="2" s="1"/>
  <c r="T47" i="2"/>
  <c r="AR14" i="2" s="1"/>
  <c r="AH16" i="2"/>
  <c r="Y21" i="2"/>
  <c r="T12" i="2"/>
  <c r="Z21" i="2" s="1"/>
  <c r="U12" i="2"/>
  <c r="AA21" i="2" s="1"/>
  <c r="CP18" i="1"/>
  <c r="CJ17" i="1"/>
  <c r="BF16" i="1"/>
  <c r="AZ20" i="1"/>
  <c r="AT19" i="1"/>
  <c r="AN14" i="1"/>
  <c r="BF15" i="6"/>
  <c r="AH19" i="6"/>
  <c r="CP17" i="5"/>
  <c r="BF15" i="5"/>
  <c r="CP17" i="3"/>
  <c r="CD19" i="3"/>
  <c r="BX18" i="3"/>
  <c r="BR17" i="3"/>
  <c r="BF15" i="3"/>
  <c r="AT17" i="3"/>
  <c r="AN16" i="3"/>
  <c r="AH15" i="3"/>
  <c r="AB18" i="3"/>
  <c r="CP17" i="2"/>
  <c r="BX18" i="2"/>
  <c r="BR21" i="2"/>
  <c r="BL20" i="2"/>
  <c r="BF19" i="2"/>
  <c r="AZ18" i="2"/>
  <c r="AN18" i="2"/>
  <c r="AH21" i="2"/>
  <c r="AB20" i="2"/>
  <c r="BX19" i="2"/>
  <c r="AH22" i="2"/>
  <c r="AB23" i="11"/>
  <c r="BR16" i="10"/>
  <c r="BF18" i="10"/>
  <c r="AZ17" i="10"/>
  <c r="BX14" i="8"/>
  <c r="AB19" i="8"/>
  <c r="CJ17" i="7"/>
  <c r="BR14" i="7"/>
  <c r="BF16" i="7"/>
  <c r="AT18" i="7"/>
  <c r="AN17" i="7"/>
  <c r="AB19" i="7"/>
  <c r="BL18" i="6"/>
  <c r="BF17" i="6"/>
  <c r="CJ16" i="1"/>
  <c r="BL16" i="1"/>
  <c r="AZ19" i="1"/>
  <c r="AH24" i="1"/>
  <c r="AH16" i="1"/>
  <c r="CJ22" i="12"/>
  <c r="CD17" i="12"/>
  <c r="BR23" i="12"/>
  <c r="BL18" i="12"/>
  <c r="AN18" i="12"/>
  <c r="AN19" i="11"/>
  <c r="AN15" i="7"/>
  <c r="AH14" i="7"/>
  <c r="BX18" i="5"/>
  <c r="BR17" i="5"/>
  <c r="BF19" i="5"/>
  <c r="AT16" i="5"/>
  <c r="AH16" i="5"/>
  <c r="AZ18" i="3"/>
  <c r="AZ22" i="2"/>
  <c r="BX15" i="2"/>
  <c r="BL15" i="1"/>
  <c r="BF18" i="1"/>
  <c r="AB19" i="11"/>
  <c r="AB14" i="9"/>
  <c r="AN14" i="6"/>
  <c r="BL14" i="5"/>
  <c r="CD15" i="1"/>
  <c r="AZ23" i="1"/>
  <c r="AB18" i="8"/>
  <c r="T168" i="7"/>
  <c r="U168" i="7"/>
  <c r="CM15" i="7"/>
  <c r="U160" i="7"/>
  <c r="CO15" i="7" s="1"/>
  <c r="T160" i="7"/>
  <c r="CN15" i="7" s="1"/>
  <c r="CJ16" i="7"/>
  <c r="CD15" i="7"/>
  <c r="BO15" i="7"/>
  <c r="T104" i="7"/>
  <c r="BP15" i="7" s="1"/>
  <c r="U104" i="7"/>
  <c r="BQ15" i="7" s="1"/>
  <c r="BL16" i="7"/>
  <c r="AW16" i="7"/>
  <c r="U63" i="7"/>
  <c r="AY16" i="7" s="1"/>
  <c r="T63" i="7"/>
  <c r="AX16" i="7" s="1"/>
  <c r="U52" i="7"/>
  <c r="T52" i="7"/>
  <c r="AK18" i="7"/>
  <c r="T37" i="7"/>
  <c r="AL18" i="7" s="1"/>
  <c r="U37" i="7"/>
  <c r="AM18" i="7" s="1"/>
  <c r="AB19" i="6"/>
  <c r="T165" i="5"/>
  <c r="U165" i="5"/>
  <c r="T154" i="5"/>
  <c r="U154" i="5"/>
  <c r="CG15" i="5"/>
  <c r="T146" i="5"/>
  <c r="CH15" i="5" s="1"/>
  <c r="U146" i="5"/>
  <c r="CI15" i="5" s="1"/>
  <c r="U124" i="5"/>
  <c r="T124" i="5"/>
  <c r="T113" i="5"/>
  <c r="U113" i="5"/>
  <c r="BF16" i="5"/>
  <c r="AZ19" i="5"/>
  <c r="AN14" i="5"/>
  <c r="AB15" i="5"/>
  <c r="CD14" i="10"/>
  <c r="CJ16" i="9"/>
  <c r="CP14" i="7"/>
  <c r="CP17" i="1"/>
  <c r="BX18" i="1"/>
  <c r="BF19" i="1"/>
  <c r="AN17" i="1"/>
  <c r="U126" i="2"/>
  <c r="T126" i="2"/>
  <c r="T167" i="3"/>
  <c r="U167" i="3"/>
  <c r="U85" i="3"/>
  <c r="T85" i="3"/>
  <c r="Y18" i="3"/>
  <c r="U9" i="3"/>
  <c r="AA18" i="3" s="1"/>
  <c r="T9" i="3"/>
  <c r="Z18" i="3" s="1"/>
  <c r="CA17" i="5"/>
  <c r="T134" i="5"/>
  <c r="CB17" i="5" s="1"/>
  <c r="U134" i="5"/>
  <c r="CC17" i="5" s="1"/>
  <c r="U155" i="6"/>
  <c r="T155" i="6"/>
  <c r="T95" i="6"/>
  <c r="U95" i="6"/>
  <c r="U122" i="7"/>
  <c r="T122" i="7"/>
  <c r="CG17" i="8"/>
  <c r="U148" i="8"/>
  <c r="CI17" i="8" s="1"/>
  <c r="T148" i="8"/>
  <c r="CH17" i="8" s="1"/>
  <c r="U85" i="8"/>
  <c r="T85" i="8"/>
  <c r="T111" i="9"/>
  <c r="U111" i="9"/>
  <c r="T137" i="10"/>
  <c r="U137" i="10"/>
  <c r="AK17" i="2"/>
  <c r="U36" i="2"/>
  <c r="AM17" i="2" s="1"/>
  <c r="T36" i="2"/>
  <c r="AL17" i="2" s="1"/>
  <c r="BI15" i="2"/>
  <c r="U90" i="2"/>
  <c r="BK15" i="2" s="1"/>
  <c r="T90" i="2"/>
  <c r="BJ15" i="2" s="1"/>
  <c r="U154" i="2"/>
  <c r="T154" i="2"/>
  <c r="T154" i="3"/>
  <c r="U154" i="3"/>
  <c r="BI19" i="3"/>
  <c r="T94" i="3"/>
  <c r="BJ19" i="3" s="1"/>
  <c r="U94" i="3"/>
  <c r="BK19" i="3" s="1"/>
  <c r="AK14" i="3"/>
  <c r="U33" i="3"/>
  <c r="AM14" i="3" s="1"/>
  <c r="T33" i="3"/>
  <c r="AL14" i="3" s="1"/>
  <c r="CG14" i="3"/>
  <c r="T145" i="3"/>
  <c r="CH14" i="3" s="1"/>
  <c r="U145" i="3"/>
  <c r="CI14" i="3" s="1"/>
  <c r="BI17" i="5"/>
  <c r="U92" i="5"/>
  <c r="BK17" i="5" s="1"/>
  <c r="T92" i="5"/>
  <c r="BJ17" i="5" s="1"/>
  <c r="AK14" i="6"/>
  <c r="T33" i="6"/>
  <c r="AL14" i="6" s="1"/>
  <c r="U33" i="6"/>
  <c r="AM14" i="6" s="1"/>
  <c r="T82" i="6"/>
  <c r="U82" i="6"/>
  <c r="U150" i="6"/>
  <c r="T150" i="6"/>
  <c r="AE17" i="7"/>
  <c r="T22" i="7"/>
  <c r="AF17" i="7" s="1"/>
  <c r="U22" i="7"/>
  <c r="AG17" i="7" s="1"/>
  <c r="T43" i="8"/>
  <c r="U43" i="8"/>
  <c r="AK16" i="8"/>
  <c r="T35" i="8"/>
  <c r="AL16" i="8" s="1"/>
  <c r="U35" i="8"/>
  <c r="AM16" i="8" s="1"/>
  <c r="Y18" i="9"/>
  <c r="U9" i="9"/>
  <c r="AA18" i="9" s="1"/>
  <c r="T9" i="9"/>
  <c r="Z18" i="9" s="1"/>
  <c r="U43" i="9"/>
  <c r="T43" i="9"/>
  <c r="BC15" i="9"/>
  <c r="U76" i="9"/>
  <c r="BE15" i="9" s="1"/>
  <c r="T76" i="9"/>
  <c r="BD15" i="9" s="1"/>
  <c r="AK15" i="10"/>
  <c r="T34" i="10"/>
  <c r="AL15" i="10" s="1"/>
  <c r="U34" i="10"/>
  <c r="AM15" i="10" s="1"/>
  <c r="T94" i="10"/>
  <c r="U94" i="10"/>
  <c r="Y19" i="11"/>
  <c r="T10" i="11"/>
  <c r="Z19" i="11" s="1"/>
  <c r="U10" i="11"/>
  <c r="AA19" i="11" s="1"/>
  <c r="AW19" i="11"/>
  <c r="T66" i="11"/>
  <c r="AX19" i="11" s="1"/>
  <c r="U66" i="11"/>
  <c r="AY19" i="11" s="1"/>
  <c r="CA16" i="12"/>
  <c r="U133" i="12"/>
  <c r="CC16" i="12" s="1"/>
  <c r="T133" i="12"/>
  <c r="CB16" i="12" s="1"/>
  <c r="AW23" i="12"/>
  <c r="U70" i="12"/>
  <c r="AY23" i="12" s="1"/>
  <c r="T70" i="12"/>
  <c r="AX23" i="12" s="1"/>
  <c r="AQ18" i="12"/>
  <c r="U51" i="12"/>
  <c r="AS18" i="12" s="1"/>
  <c r="T51" i="12"/>
  <c r="AR18" i="12" s="1"/>
  <c r="U98" i="11"/>
  <c r="T98" i="11"/>
  <c r="U153" i="10"/>
  <c r="T153" i="10"/>
  <c r="T71" i="10"/>
  <c r="U71" i="10"/>
  <c r="BU21" i="12"/>
  <c r="U124" i="12"/>
  <c r="BW21" i="12" s="1"/>
  <c r="T124" i="12"/>
  <c r="BV21" i="12" s="1"/>
  <c r="AK23" i="12"/>
  <c r="U42" i="12"/>
  <c r="AM23" i="12" s="1"/>
  <c r="T42" i="12"/>
  <c r="AL23" i="12" s="1"/>
  <c r="AQ23" i="11"/>
  <c r="U56" i="11"/>
  <c r="AS23" i="11" s="1"/>
  <c r="T56" i="11"/>
  <c r="AR23" i="11" s="1"/>
  <c r="T151" i="10"/>
  <c r="U151" i="10"/>
  <c r="AK16" i="10"/>
  <c r="U35" i="10"/>
  <c r="AM16" i="10" s="1"/>
  <c r="T35" i="10"/>
  <c r="AL16" i="10" s="1"/>
  <c r="U139" i="9"/>
  <c r="T139" i="9"/>
  <c r="AQ16" i="9"/>
  <c r="U49" i="9"/>
  <c r="AS16" i="9" s="1"/>
  <c r="T49" i="9"/>
  <c r="AR16" i="9" s="1"/>
  <c r="T120" i="8"/>
  <c r="U120" i="8"/>
  <c r="T12" i="8"/>
  <c r="U12" i="8"/>
  <c r="U98" i="7"/>
  <c r="T98" i="7"/>
  <c r="AK19" i="7"/>
  <c r="U38" i="7"/>
  <c r="AM19" i="7" s="1"/>
  <c r="T38" i="7"/>
  <c r="AL19" i="7" s="1"/>
  <c r="BI15" i="6"/>
  <c r="T90" i="6"/>
  <c r="BJ15" i="6" s="1"/>
  <c r="U90" i="6"/>
  <c r="BK15" i="6" s="1"/>
  <c r="U168" i="3"/>
  <c r="T168" i="3"/>
  <c r="T56" i="3"/>
  <c r="U56" i="3"/>
  <c r="BO15" i="2"/>
  <c r="U104" i="2"/>
  <c r="BQ15" i="2" s="1"/>
  <c r="T104" i="2"/>
  <c r="BP15" i="2" s="1"/>
  <c r="AW15" i="8"/>
  <c r="U62" i="8"/>
  <c r="AY15" i="8" s="1"/>
  <c r="T62" i="8"/>
  <c r="AX15" i="8" s="1"/>
  <c r="U81" i="6"/>
  <c r="T81" i="6"/>
  <c r="T151" i="5"/>
  <c r="U151" i="5"/>
  <c r="AW18" i="5"/>
  <c r="T65" i="5"/>
  <c r="AX18" i="5" s="1"/>
  <c r="U65" i="5"/>
  <c r="AY18" i="5" s="1"/>
  <c r="U110" i="3"/>
  <c r="T110" i="3"/>
  <c r="AK18" i="2"/>
  <c r="U37" i="2"/>
  <c r="AM18" i="2" s="1"/>
  <c r="T37" i="2"/>
  <c r="AL18" i="2" s="1"/>
  <c r="AE17" i="12"/>
  <c r="U22" i="12"/>
  <c r="AG17" i="12" s="1"/>
  <c r="T22" i="12"/>
  <c r="AF17" i="12" s="1"/>
  <c r="CG16" i="7"/>
  <c r="U147" i="7"/>
  <c r="CI16" i="7" s="1"/>
  <c r="T147" i="7"/>
  <c r="CH16" i="7" s="1"/>
  <c r="T110" i="7"/>
  <c r="U110" i="7"/>
  <c r="U122" i="5"/>
  <c r="T122" i="5"/>
  <c r="U54" i="5"/>
  <c r="T54" i="5"/>
  <c r="AH19" i="5"/>
  <c r="AQ18" i="3"/>
  <c r="U51" i="3"/>
  <c r="AS18" i="3" s="1"/>
  <c r="T51" i="3"/>
  <c r="AR18" i="3" s="1"/>
  <c r="AE22" i="2"/>
  <c r="U27" i="2"/>
  <c r="AG22" i="2" s="1"/>
  <c r="T27" i="2"/>
  <c r="AF22" i="2" s="1"/>
  <c r="CP16" i="7"/>
  <c r="CJ14" i="1"/>
  <c r="CD17" i="5"/>
  <c r="AT18" i="5"/>
  <c r="BF17" i="12"/>
  <c r="AN19" i="2"/>
  <c r="AH19" i="11"/>
  <c r="U26" i="7"/>
  <c r="T26" i="7"/>
  <c r="AZ15" i="6"/>
  <c r="U169" i="5"/>
  <c r="T169" i="5"/>
  <c r="CD16" i="5"/>
  <c r="CJ17" i="3"/>
  <c r="BR18" i="3"/>
  <c r="AT18" i="3"/>
  <c r="AH20" i="3"/>
  <c r="AH14" i="5"/>
  <c r="AN18" i="3"/>
  <c r="CM18" i="2"/>
  <c r="U163" i="2"/>
  <c r="CO18" i="2" s="1"/>
  <c r="T163" i="2"/>
  <c r="CN18" i="2" s="1"/>
  <c r="BC20" i="2"/>
  <c r="U81" i="2"/>
  <c r="BE20" i="2" s="1"/>
  <c r="T81" i="2"/>
  <c r="BD20" i="2" s="1"/>
  <c r="BU19" i="3"/>
  <c r="T122" i="3"/>
  <c r="BV19" i="3" s="1"/>
  <c r="U122" i="3"/>
  <c r="BW19" i="3" s="1"/>
  <c r="Y20" i="3"/>
  <c r="U11" i="3"/>
  <c r="AA20" i="3" s="1"/>
  <c r="T11" i="3"/>
  <c r="Z20" i="3" s="1"/>
  <c r="U149" i="5"/>
  <c r="T149" i="5"/>
  <c r="T67" i="5"/>
  <c r="U67" i="5"/>
  <c r="BI16" i="6"/>
  <c r="T91" i="6"/>
  <c r="BJ16" i="6" s="1"/>
  <c r="U91" i="6"/>
  <c r="BK16" i="6" s="1"/>
  <c r="BU15" i="7"/>
  <c r="T118" i="7"/>
  <c r="BV15" i="7" s="1"/>
  <c r="U118" i="7"/>
  <c r="BW15" i="7" s="1"/>
  <c r="T163" i="8"/>
  <c r="U163" i="8"/>
  <c r="U81" i="8"/>
  <c r="T81" i="8"/>
  <c r="T107" i="9"/>
  <c r="U107" i="9"/>
  <c r="CA16" i="10"/>
  <c r="U133" i="10"/>
  <c r="CC16" i="10" s="1"/>
  <c r="T133" i="10"/>
  <c r="CB16" i="10" s="1"/>
  <c r="U70" i="10"/>
  <c r="T70" i="10"/>
  <c r="AW22" i="2"/>
  <c r="T69" i="2"/>
  <c r="AX22" i="2" s="1"/>
  <c r="U69" i="2"/>
  <c r="AY22" i="2" s="1"/>
  <c r="T125" i="2"/>
  <c r="U125" i="2"/>
  <c r="U165" i="2"/>
  <c r="T165" i="2"/>
  <c r="T109" i="3"/>
  <c r="U109" i="3"/>
  <c r="AE22" i="3"/>
  <c r="T27" i="3"/>
  <c r="AF22" i="3" s="1"/>
  <c r="U27" i="3"/>
  <c r="AG22" i="3" s="1"/>
  <c r="U123" i="3"/>
  <c r="T123" i="3"/>
  <c r="BC14" i="5"/>
  <c r="U75" i="5"/>
  <c r="BE14" i="5" s="1"/>
  <c r="T75" i="5"/>
  <c r="BD14" i="5" s="1"/>
  <c r="Y20" i="6"/>
  <c r="U11" i="6"/>
  <c r="AA20" i="6" s="1"/>
  <c r="T11" i="6"/>
  <c r="Z20" i="6" s="1"/>
  <c r="AW16" i="6"/>
  <c r="T63" i="6"/>
  <c r="AX16" i="6" s="1"/>
  <c r="U63" i="6"/>
  <c r="AY16" i="6" s="1"/>
  <c r="U124" i="6"/>
  <c r="T124" i="6"/>
  <c r="Y15" i="7"/>
  <c r="T6" i="7"/>
  <c r="Z15" i="7" s="1"/>
  <c r="U6" i="7"/>
  <c r="AA15" i="7" s="1"/>
  <c r="AQ14" i="7"/>
  <c r="U47" i="7"/>
  <c r="AS14" i="7" s="1"/>
  <c r="T47" i="7"/>
  <c r="AR14" i="7" s="1"/>
  <c r="T125" i="8"/>
  <c r="U125" i="8"/>
  <c r="AK17" i="8"/>
  <c r="U36" i="8"/>
  <c r="AM17" i="8" s="1"/>
  <c r="T36" i="8"/>
  <c r="AL17" i="8" s="1"/>
  <c r="Y19" i="9"/>
  <c r="T10" i="9"/>
  <c r="Z19" i="9" s="1"/>
  <c r="U10" i="9"/>
  <c r="AA19" i="9" s="1"/>
  <c r="AQ17" i="9"/>
  <c r="U50" i="9"/>
  <c r="AS17" i="9" s="1"/>
  <c r="T50" i="9"/>
  <c r="AR17" i="9" s="1"/>
  <c r="AW15" i="9"/>
  <c r="T62" i="9"/>
  <c r="AX15" i="9" s="1"/>
  <c r="U62" i="9"/>
  <c r="AY15" i="9" s="1"/>
  <c r="U42" i="10"/>
  <c r="T42" i="10"/>
  <c r="U150" i="10"/>
  <c r="T150" i="10"/>
  <c r="CM16" i="10"/>
  <c r="U161" i="10"/>
  <c r="CO16" i="10" s="1"/>
  <c r="T161" i="10"/>
  <c r="CN16" i="10" s="1"/>
  <c r="AQ21" i="11"/>
  <c r="U54" i="11"/>
  <c r="AS21" i="11" s="1"/>
  <c r="T54" i="11"/>
  <c r="AR21" i="11" s="1"/>
  <c r="CG17" i="12"/>
  <c r="U148" i="12"/>
  <c r="CI17" i="12" s="1"/>
  <c r="T148" i="12"/>
  <c r="CH17" i="12" s="1"/>
  <c r="BC24" i="12"/>
  <c r="T85" i="12"/>
  <c r="BD24" i="12" s="1"/>
  <c r="U85" i="12"/>
  <c r="BE24" i="12" s="1"/>
  <c r="AK18" i="12"/>
  <c r="T37" i="12"/>
  <c r="AL18" i="12" s="1"/>
  <c r="U37" i="12"/>
  <c r="AM18" i="12" s="1"/>
  <c r="BI19" i="11"/>
  <c r="U94" i="11"/>
  <c r="BK19" i="11" s="1"/>
  <c r="T94" i="11"/>
  <c r="BJ19" i="11" s="1"/>
  <c r="T168" i="10"/>
  <c r="U168" i="10"/>
  <c r="U67" i="10"/>
  <c r="T67" i="10"/>
  <c r="CA22" i="12"/>
  <c r="U139" i="12"/>
  <c r="CC22" i="12" s="1"/>
  <c r="T139" i="12"/>
  <c r="CB22" i="12" s="1"/>
  <c r="AQ24" i="12"/>
  <c r="T57" i="12"/>
  <c r="AR24" i="12" s="1"/>
  <c r="U57" i="12"/>
  <c r="AS24" i="12" s="1"/>
  <c r="U71" i="11"/>
  <c r="T71" i="11"/>
  <c r="T140" i="10"/>
  <c r="U140" i="10"/>
  <c r="U15" i="10"/>
  <c r="T15" i="10"/>
  <c r="AK21" i="2"/>
  <c r="T40" i="2"/>
  <c r="AL21" i="2" s="1"/>
  <c r="U40" i="2"/>
  <c r="AM21" i="2" s="1"/>
  <c r="CM14" i="2"/>
  <c r="T159" i="2"/>
  <c r="CN14" i="2" s="1"/>
  <c r="U159" i="2"/>
  <c r="CO14" i="2" s="1"/>
  <c r="BI21" i="2"/>
  <c r="T96" i="2"/>
  <c r="BJ21" i="2" s="1"/>
  <c r="U96" i="2"/>
  <c r="BK21" i="2" s="1"/>
  <c r="CM14" i="3"/>
  <c r="T159" i="3"/>
  <c r="CN14" i="3" s="1"/>
  <c r="U159" i="3"/>
  <c r="CO14" i="3" s="1"/>
  <c r="T96" i="3"/>
  <c r="U96" i="3"/>
  <c r="Y16" i="3"/>
  <c r="T7" i="3"/>
  <c r="Z16" i="3" s="1"/>
  <c r="U7" i="3"/>
  <c r="AA16" i="3" s="1"/>
  <c r="T164" i="5"/>
  <c r="U164" i="5"/>
  <c r="T82" i="5"/>
  <c r="U82" i="5"/>
  <c r="U125" i="6"/>
  <c r="T125" i="6"/>
  <c r="U84" i="6"/>
  <c r="T84" i="6"/>
  <c r="CA16" i="7"/>
  <c r="T133" i="7"/>
  <c r="CB16" i="7" s="1"/>
  <c r="U133" i="7"/>
  <c r="CC16" i="7" s="1"/>
  <c r="T70" i="7"/>
  <c r="U70" i="7"/>
  <c r="BU15" i="8"/>
  <c r="U118" i="8"/>
  <c r="BW15" i="8" s="1"/>
  <c r="T118" i="8"/>
  <c r="BV15" i="8" s="1"/>
  <c r="T163" i="9"/>
  <c r="U163" i="9"/>
  <c r="BO14" i="9"/>
  <c r="U103" i="9"/>
  <c r="BQ14" i="9" s="1"/>
  <c r="T103" i="9"/>
  <c r="BP14" i="9" s="1"/>
  <c r="CG17" i="10"/>
  <c r="U148" i="10"/>
  <c r="CI17" i="10" s="1"/>
  <c r="T148" i="10"/>
  <c r="CH17" i="10" s="1"/>
  <c r="T85" i="10"/>
  <c r="U85" i="10"/>
  <c r="Y20" i="2"/>
  <c r="T11" i="2"/>
  <c r="Z20" i="2" s="1"/>
  <c r="U11" i="2"/>
  <c r="AA20" i="2" s="1"/>
  <c r="AW17" i="2"/>
  <c r="U64" i="2"/>
  <c r="AY17" i="2" s="1"/>
  <c r="T64" i="2"/>
  <c r="AX17" i="2" s="1"/>
  <c r="BU14" i="2"/>
  <c r="T117" i="2"/>
  <c r="BV14" i="2" s="1"/>
  <c r="U117" i="2"/>
  <c r="BW14" i="2" s="1"/>
  <c r="CG20" i="2"/>
  <c r="U151" i="2"/>
  <c r="CI20" i="2" s="1"/>
  <c r="T151" i="2"/>
  <c r="CH20" i="2" s="1"/>
  <c r="AE18" i="3"/>
  <c r="T23" i="3"/>
  <c r="AF18" i="3" s="1"/>
  <c r="U23" i="3"/>
  <c r="AG18" i="3" s="1"/>
  <c r="T124" i="3"/>
  <c r="U124" i="3"/>
  <c r="AW17" i="3"/>
  <c r="T64" i="3"/>
  <c r="AX17" i="3" s="1"/>
  <c r="U64" i="3"/>
  <c r="AY17" i="3" s="1"/>
  <c r="AK20" i="3"/>
  <c r="T39" i="3"/>
  <c r="AL20" i="3" s="1"/>
  <c r="U39" i="3"/>
  <c r="AM20" i="3" s="1"/>
  <c r="CA17" i="3"/>
  <c r="T134" i="3"/>
  <c r="CB17" i="3" s="1"/>
  <c r="U134" i="3"/>
  <c r="CC17" i="3" s="1"/>
  <c r="AW17" i="5"/>
  <c r="U64" i="5"/>
  <c r="AY17" i="5" s="1"/>
  <c r="T64" i="5"/>
  <c r="AX17" i="5" s="1"/>
  <c r="CM14" i="5"/>
  <c r="T159" i="5"/>
  <c r="CN14" i="5" s="1"/>
  <c r="U159" i="5"/>
  <c r="CO14" i="5" s="1"/>
  <c r="T42" i="6"/>
  <c r="U42" i="6"/>
  <c r="BC16" i="6"/>
  <c r="T77" i="6"/>
  <c r="BD16" i="6" s="1"/>
  <c r="U77" i="6"/>
  <c r="BE16" i="6" s="1"/>
  <c r="U138" i="6"/>
  <c r="T138" i="6"/>
  <c r="Y19" i="7"/>
  <c r="T10" i="7"/>
  <c r="Z19" i="7" s="1"/>
  <c r="U10" i="7"/>
  <c r="AA19" i="7" s="1"/>
  <c r="U25" i="7"/>
  <c r="T25" i="7"/>
  <c r="CM17" i="7"/>
  <c r="T162" i="7"/>
  <c r="CN17" i="7" s="1"/>
  <c r="U162" i="7"/>
  <c r="CO17" i="7" s="1"/>
  <c r="Y15" i="8"/>
  <c r="T6" i="8"/>
  <c r="Z15" i="8" s="1"/>
  <c r="U6" i="8"/>
  <c r="AA15" i="8" s="1"/>
  <c r="U136" i="8"/>
  <c r="T136" i="8"/>
  <c r="Y21" i="9"/>
  <c r="U12" i="9"/>
  <c r="AA21" i="9" s="1"/>
  <c r="T12" i="9"/>
  <c r="Z21" i="9" s="1"/>
  <c r="T54" i="9"/>
  <c r="U54" i="9"/>
  <c r="AW17" i="9"/>
  <c r="T64" i="9"/>
  <c r="AX17" i="9" s="1"/>
  <c r="U64" i="9"/>
  <c r="AY17" i="9" s="1"/>
  <c r="Y21" i="10"/>
  <c r="U12" i="10"/>
  <c r="AA21" i="10" s="1"/>
  <c r="T12" i="10"/>
  <c r="Z21" i="10" s="1"/>
  <c r="BC14" i="10"/>
  <c r="U75" i="10"/>
  <c r="BE14" i="10" s="1"/>
  <c r="T75" i="10"/>
  <c r="BD14" i="10" s="1"/>
  <c r="U166" i="10"/>
  <c r="T166" i="10"/>
  <c r="CM17" i="10"/>
  <c r="U162" i="10"/>
  <c r="CO17" i="10" s="1"/>
  <c r="T162" i="10"/>
  <c r="CN17" i="10" s="1"/>
  <c r="AK15" i="11"/>
  <c r="T34" i="11"/>
  <c r="AL15" i="11" s="1"/>
  <c r="U34" i="11"/>
  <c r="AM15" i="11" s="1"/>
  <c r="BC15" i="11"/>
  <c r="U76" i="11"/>
  <c r="BE15" i="11" s="1"/>
  <c r="T76" i="11"/>
  <c r="BD15" i="11" s="1"/>
  <c r="CA24" i="12"/>
  <c r="T141" i="12"/>
  <c r="CB24" i="12" s="1"/>
  <c r="U141" i="12"/>
  <c r="CC24" i="12" s="1"/>
  <c r="BC20" i="12"/>
  <c r="U81" i="12"/>
  <c r="BE20" i="12" s="1"/>
  <c r="T81" i="12"/>
  <c r="BD20" i="12" s="1"/>
  <c r="AK14" i="12"/>
  <c r="U33" i="12"/>
  <c r="AM14" i="12" s="1"/>
  <c r="T33" i="12"/>
  <c r="AL14" i="12" s="1"/>
  <c r="CG22" i="12"/>
  <c r="U153" i="12"/>
  <c r="CI22" i="12" s="1"/>
  <c r="T153" i="12"/>
  <c r="CH22" i="12" s="1"/>
  <c r="AK16" i="11"/>
  <c r="T35" i="11"/>
  <c r="AL16" i="11" s="1"/>
  <c r="U35" i="11"/>
  <c r="AM16" i="11" s="1"/>
  <c r="T138" i="10"/>
  <c r="U138" i="10"/>
  <c r="AW16" i="10"/>
  <c r="T63" i="10"/>
  <c r="AX16" i="10" s="1"/>
  <c r="U63" i="10"/>
  <c r="AY16" i="10" s="1"/>
  <c r="BO24" i="12"/>
  <c r="U113" i="12"/>
  <c r="BQ24" i="12" s="1"/>
  <c r="T113" i="12"/>
  <c r="BP24" i="12" s="1"/>
  <c r="AQ20" i="12"/>
  <c r="U53" i="12"/>
  <c r="AS20" i="12" s="1"/>
  <c r="T53" i="12"/>
  <c r="AR20" i="12" s="1"/>
  <c r="U85" i="11"/>
  <c r="T85" i="11"/>
  <c r="AE21" i="11"/>
  <c r="U26" i="11"/>
  <c r="AG21" i="11" s="1"/>
  <c r="T26" i="11"/>
  <c r="AF21" i="11" s="1"/>
  <c r="U99" i="10"/>
  <c r="T99" i="10"/>
  <c r="AE19" i="10"/>
  <c r="T24" i="10"/>
  <c r="AF19" i="10" s="1"/>
  <c r="U24" i="10"/>
  <c r="AG19" i="10" s="1"/>
  <c r="Y16" i="10"/>
  <c r="U7" i="10"/>
  <c r="AA16" i="10" s="1"/>
  <c r="T7" i="10"/>
  <c r="Z16" i="10" s="1"/>
  <c r="T109" i="9"/>
  <c r="U109" i="9"/>
  <c r="AK15" i="9"/>
  <c r="U34" i="9"/>
  <c r="AM15" i="9" s="1"/>
  <c r="T34" i="9"/>
  <c r="AL15" i="9" s="1"/>
  <c r="T154" i="8"/>
  <c r="U154" i="8"/>
  <c r="CA18" i="8"/>
  <c r="T135" i="8"/>
  <c r="CB18" i="8" s="1"/>
  <c r="U135" i="8"/>
  <c r="CC18" i="8" s="1"/>
  <c r="U109" i="8"/>
  <c r="T109" i="8"/>
  <c r="BI15" i="8"/>
  <c r="T90" i="8"/>
  <c r="BJ15" i="8" s="1"/>
  <c r="U90" i="8"/>
  <c r="BK15" i="8" s="1"/>
  <c r="T42" i="8"/>
  <c r="U42" i="8"/>
  <c r="T169" i="7"/>
  <c r="U169" i="7"/>
  <c r="T150" i="7"/>
  <c r="U150" i="7"/>
  <c r="CA14" i="7"/>
  <c r="T131" i="7"/>
  <c r="CB14" i="7" s="1"/>
  <c r="U131" i="7"/>
  <c r="CC14" i="7" s="1"/>
  <c r="T109" i="7"/>
  <c r="U109" i="7"/>
  <c r="BI15" i="7"/>
  <c r="U90" i="7"/>
  <c r="BK15" i="7" s="1"/>
  <c r="T90" i="7"/>
  <c r="BJ15" i="7" s="1"/>
  <c r="U68" i="7"/>
  <c r="T68" i="7"/>
  <c r="AQ16" i="7"/>
  <c r="U49" i="7"/>
  <c r="AS16" i="7" s="1"/>
  <c r="T49" i="7"/>
  <c r="AR16" i="7" s="1"/>
  <c r="T27" i="7"/>
  <c r="U27" i="7"/>
  <c r="Y17" i="7"/>
  <c r="U8" i="7"/>
  <c r="AA17" i="7" s="1"/>
  <c r="T8" i="7"/>
  <c r="Z17" i="7" s="1"/>
  <c r="CG15" i="6"/>
  <c r="T146" i="6"/>
  <c r="CH15" i="6" s="1"/>
  <c r="U146" i="6"/>
  <c r="CI15" i="6" s="1"/>
  <c r="U109" i="6"/>
  <c r="T109" i="6"/>
  <c r="T68" i="6"/>
  <c r="U68" i="6"/>
  <c r="AK15" i="6"/>
  <c r="T34" i="6"/>
  <c r="AL15" i="6" s="1"/>
  <c r="U34" i="6"/>
  <c r="AM15" i="6" s="1"/>
  <c r="Y17" i="5"/>
  <c r="U8" i="5"/>
  <c r="AA17" i="5" s="1"/>
  <c r="T8" i="5"/>
  <c r="Z17" i="5" s="1"/>
  <c r="U153" i="3"/>
  <c r="T153" i="3"/>
  <c r="BU16" i="3"/>
  <c r="U119" i="3"/>
  <c r="BW16" i="3" s="1"/>
  <c r="T119" i="3"/>
  <c r="BV16" i="3" s="1"/>
  <c r="BI18" i="3"/>
  <c r="T93" i="3"/>
  <c r="BJ18" i="3" s="1"/>
  <c r="U93" i="3"/>
  <c r="BK18" i="3" s="1"/>
  <c r="AW20" i="3"/>
  <c r="U67" i="3"/>
  <c r="AY20" i="3" s="1"/>
  <c r="T67" i="3"/>
  <c r="AX20" i="3" s="1"/>
  <c r="AQ15" i="3"/>
  <c r="U48" i="3"/>
  <c r="AS15" i="3" s="1"/>
  <c r="T48" i="3"/>
  <c r="AR15" i="3" s="1"/>
  <c r="AE17" i="3"/>
  <c r="U22" i="3"/>
  <c r="AG17" i="3" s="1"/>
  <c r="T22" i="3"/>
  <c r="AF17" i="3" s="1"/>
  <c r="CG14" i="2"/>
  <c r="T145" i="2"/>
  <c r="CH14" i="2" s="1"/>
  <c r="U145" i="2"/>
  <c r="CI14" i="2" s="1"/>
  <c r="U112" i="2"/>
  <c r="T112" i="2"/>
  <c r="BI18" i="2"/>
  <c r="T93" i="2"/>
  <c r="BJ18" i="2" s="1"/>
  <c r="U93" i="2"/>
  <c r="BK18" i="2" s="1"/>
  <c r="AW20" i="2"/>
  <c r="U67" i="2"/>
  <c r="AY20" i="2" s="1"/>
  <c r="T67" i="2"/>
  <c r="AX20" i="2" s="1"/>
  <c r="AQ15" i="2"/>
  <c r="T48" i="2"/>
  <c r="AR15" i="2" s="1"/>
  <c r="U48" i="2"/>
  <c r="AS15" i="2" s="1"/>
  <c r="AE15" i="2"/>
  <c r="T20" i="2"/>
  <c r="AF15" i="2" s="1"/>
  <c r="U20" i="2"/>
  <c r="AG15" i="2" s="1"/>
  <c r="AE20" i="9"/>
  <c r="T25" i="9"/>
  <c r="AF20" i="9" s="1"/>
  <c r="U25" i="9"/>
  <c r="AG20" i="9" s="1"/>
  <c r="AQ18" i="8"/>
  <c r="U51" i="8"/>
  <c r="AS18" i="8" s="1"/>
  <c r="T51" i="8"/>
  <c r="AR18" i="8" s="1"/>
  <c r="Y19" i="8"/>
  <c r="T10" i="8"/>
  <c r="Z19" i="8" s="1"/>
  <c r="U10" i="8"/>
  <c r="AA19" i="8" s="1"/>
  <c r="CM14" i="6"/>
  <c r="U159" i="6"/>
  <c r="CO14" i="6" s="1"/>
  <c r="T159" i="6"/>
  <c r="CN14" i="6" s="1"/>
  <c r="CA16" i="6"/>
  <c r="U133" i="6"/>
  <c r="CC16" i="6" s="1"/>
  <c r="T133" i="6"/>
  <c r="CB16" i="6" s="1"/>
  <c r="BI17" i="6"/>
  <c r="U92" i="6"/>
  <c r="BK17" i="6" s="1"/>
  <c r="T92" i="6"/>
  <c r="BJ17" i="6" s="1"/>
  <c r="AW19" i="6"/>
  <c r="U66" i="6"/>
  <c r="AY19" i="6" s="1"/>
  <c r="T66" i="6"/>
  <c r="AX19" i="6" s="1"/>
  <c r="U40" i="6"/>
  <c r="T40" i="6"/>
  <c r="U13" i="6"/>
  <c r="T13" i="6"/>
  <c r="CM17" i="5"/>
  <c r="U162" i="5"/>
  <c r="CO17" i="5" s="1"/>
  <c r="T162" i="5"/>
  <c r="CN17" i="5" s="1"/>
  <c r="U140" i="5"/>
  <c r="T140" i="5"/>
  <c r="BU14" i="5"/>
  <c r="T117" i="5"/>
  <c r="BV14" i="5" s="1"/>
  <c r="U117" i="5"/>
  <c r="BW14" i="5" s="1"/>
  <c r="T95" i="5"/>
  <c r="U95" i="5"/>
  <c r="BC15" i="5"/>
  <c r="U76" i="5"/>
  <c r="BE15" i="5" s="1"/>
  <c r="T76" i="5"/>
  <c r="BD15" i="5" s="1"/>
  <c r="T57" i="5"/>
  <c r="U57" i="5"/>
  <c r="Y20" i="5"/>
  <c r="T11" i="5"/>
  <c r="Z20" i="5" s="1"/>
  <c r="U11" i="5"/>
  <c r="AA20" i="5" s="1"/>
  <c r="U155" i="3"/>
  <c r="T155" i="3"/>
  <c r="U125" i="3"/>
  <c r="T125" i="3"/>
  <c r="U99" i="3"/>
  <c r="T99" i="3"/>
  <c r="AQ21" i="3"/>
  <c r="T54" i="3"/>
  <c r="AR21" i="3" s="1"/>
  <c r="U54" i="3"/>
  <c r="AS21" i="3" s="1"/>
  <c r="BO21" i="2"/>
  <c r="T110" i="2"/>
  <c r="BP21" i="2" s="1"/>
  <c r="U110" i="2"/>
  <c r="BQ21" i="2" s="1"/>
  <c r="BC15" i="2"/>
  <c r="T76" i="2"/>
  <c r="BD15" i="2" s="1"/>
  <c r="U76" i="2"/>
  <c r="BE15" i="2" s="1"/>
  <c r="AE21" i="2"/>
  <c r="U26" i="2"/>
  <c r="AG21" i="2" s="1"/>
  <c r="T26" i="2"/>
  <c r="AF21" i="2" s="1"/>
  <c r="Y16" i="12"/>
  <c r="U7" i="12"/>
  <c r="AA16" i="12" s="1"/>
  <c r="T7" i="12"/>
  <c r="Z16" i="12" s="1"/>
  <c r="AQ15" i="12"/>
  <c r="U48" i="12"/>
  <c r="AS15" i="12" s="1"/>
  <c r="T48" i="12"/>
  <c r="AR15" i="12" s="1"/>
  <c r="BI18" i="12"/>
  <c r="U93" i="12"/>
  <c r="BK18" i="12" s="1"/>
  <c r="T93" i="12"/>
  <c r="BJ18" i="12" s="1"/>
  <c r="CM23" i="12"/>
  <c r="T168" i="12"/>
  <c r="CN23" i="12" s="1"/>
  <c r="U168" i="12"/>
  <c r="CO23" i="12" s="1"/>
  <c r="U20" i="1"/>
  <c r="AG15" i="1" s="1"/>
  <c r="T139" i="1"/>
  <c r="CB22" i="1" s="1"/>
  <c r="T90" i="1"/>
  <c r="BJ15" i="1" s="1"/>
  <c r="T79" i="1"/>
  <c r="BD18" i="1" s="1"/>
  <c r="T39" i="1"/>
  <c r="AL20" i="1" s="1"/>
  <c r="CJ14" i="7"/>
  <c r="BX16" i="7"/>
  <c r="BI16" i="7"/>
  <c r="U91" i="7"/>
  <c r="BK16" i="7" s="1"/>
  <c r="T91" i="7"/>
  <c r="BJ16" i="7" s="1"/>
  <c r="U80" i="7"/>
  <c r="T80" i="7"/>
  <c r="T69" i="7"/>
  <c r="U69" i="7"/>
  <c r="T54" i="7"/>
  <c r="U54" i="7"/>
  <c r="T43" i="7"/>
  <c r="U43" i="7"/>
  <c r="AK16" i="7"/>
  <c r="T35" i="7"/>
  <c r="AL16" i="7" s="1"/>
  <c r="U35" i="7"/>
  <c r="AM16" i="7" s="1"/>
  <c r="AB20" i="7"/>
  <c r="Y14" i="7"/>
  <c r="T5" i="7"/>
  <c r="Z14" i="7" s="1"/>
  <c r="U5" i="7"/>
  <c r="AA14" i="7" s="1"/>
  <c r="U14" i="6"/>
  <c r="T14" i="6"/>
  <c r="U163" i="5"/>
  <c r="T163" i="5"/>
  <c r="CG17" i="5"/>
  <c r="T148" i="5"/>
  <c r="CH17" i="5" s="1"/>
  <c r="U148" i="5"/>
  <c r="CI17" i="5" s="1"/>
  <c r="T137" i="5"/>
  <c r="U137" i="5"/>
  <c r="CD14" i="5"/>
  <c r="U85" i="5"/>
  <c r="T85" i="5"/>
  <c r="BC16" i="5"/>
  <c r="T77" i="5"/>
  <c r="BD16" i="5" s="1"/>
  <c r="U77" i="5"/>
  <c r="BE16" i="5" s="1"/>
  <c r="AZ17" i="5"/>
  <c r="U43" i="5"/>
  <c r="T43" i="5"/>
  <c r="AE21" i="5"/>
  <c r="U26" i="5"/>
  <c r="AG21" i="5" s="1"/>
  <c r="T26" i="5"/>
  <c r="AF21" i="5" s="1"/>
  <c r="AT16" i="3"/>
  <c r="AN19" i="3"/>
  <c r="T29" i="3"/>
  <c r="U29" i="3"/>
  <c r="AH18" i="3"/>
  <c r="AW15" i="2"/>
  <c r="U62" i="2"/>
  <c r="AY15" i="2" s="1"/>
  <c r="T62" i="2"/>
  <c r="AX15" i="2" s="1"/>
  <c r="AQ18" i="2"/>
  <c r="U51" i="2"/>
  <c r="AS18" i="2" s="1"/>
  <c r="T51" i="2"/>
  <c r="AR18" i="2" s="1"/>
  <c r="AN17" i="2"/>
  <c r="AH20" i="2"/>
  <c r="AE14" i="2"/>
  <c r="T19" i="2"/>
  <c r="AF14" i="2" s="1"/>
  <c r="U19" i="2"/>
  <c r="AG14" i="2" s="1"/>
  <c r="AB15" i="2"/>
  <c r="CJ21" i="1"/>
  <c r="BR22" i="1"/>
  <c r="BL17" i="1"/>
  <c r="BF20" i="1"/>
  <c r="AT23" i="1"/>
  <c r="AB15" i="1"/>
  <c r="AB17" i="8"/>
  <c r="CJ15" i="7"/>
  <c r="CD14" i="7"/>
  <c r="BR16" i="7"/>
  <c r="BF14" i="7"/>
  <c r="AT16" i="7"/>
  <c r="AB17" i="7"/>
  <c r="BR17" i="6"/>
  <c r="CJ22" i="1"/>
  <c r="CD21" i="1"/>
  <c r="BR23" i="1"/>
  <c r="BL22" i="1"/>
  <c r="BF21" i="1"/>
  <c r="AZ21" i="1"/>
  <c r="AT16" i="1"/>
  <c r="AN19" i="1"/>
  <c r="AH22" i="1"/>
  <c r="AH14" i="1"/>
  <c r="AB24" i="1"/>
  <c r="BR14" i="2"/>
  <c r="BL17" i="2"/>
  <c r="BF16" i="2"/>
  <c r="CP20" i="1"/>
  <c r="CJ19" i="1"/>
  <c r="CD14" i="1"/>
  <c r="BL19" i="1"/>
  <c r="AZ14" i="1"/>
  <c r="AN24" i="1"/>
  <c r="AB17" i="1"/>
  <c r="AN21" i="11"/>
  <c r="AH24" i="11"/>
  <c r="AB17" i="10"/>
  <c r="AN16" i="8"/>
  <c r="AB20" i="6"/>
  <c r="CJ14" i="5"/>
  <c r="BX16" i="5"/>
  <c r="BR15" i="5"/>
  <c r="BF17" i="5"/>
  <c r="AN19" i="5"/>
  <c r="CJ18" i="3"/>
  <c r="CD17" i="3"/>
  <c r="BR15" i="3"/>
  <c r="BL14" i="3"/>
  <c r="AZ20" i="3"/>
  <c r="AT19" i="3"/>
  <c r="AN22" i="3"/>
  <c r="AH17" i="3"/>
  <c r="CJ18" i="2"/>
  <c r="BX20" i="2"/>
  <c r="BR15" i="2"/>
  <c r="BL14" i="2"/>
  <c r="BF17" i="2"/>
  <c r="AZ16" i="2"/>
  <c r="AT15" i="2"/>
  <c r="AN16" i="2"/>
  <c r="AB22" i="2"/>
  <c r="CP23" i="12"/>
  <c r="CJ18" i="12"/>
  <c r="BR19" i="12"/>
  <c r="BL14" i="12"/>
  <c r="AT15" i="12"/>
  <c r="AN14" i="12"/>
  <c r="AB20" i="12"/>
  <c r="BL14" i="11"/>
  <c r="AZ21" i="11"/>
  <c r="AB21" i="11"/>
  <c r="CP18" i="10"/>
  <c r="CJ17" i="10"/>
  <c r="CD16" i="10"/>
  <c r="BR18" i="10"/>
  <c r="BL17" i="10"/>
  <c r="CD15" i="6"/>
  <c r="BX14" i="6"/>
  <c r="AZ18" i="6"/>
  <c r="CP19" i="1"/>
  <c r="CD17" i="1"/>
  <c r="BR15" i="1"/>
  <c r="AZ17" i="1"/>
  <c r="AZ15" i="2"/>
  <c r="AN21" i="2"/>
  <c r="AB17" i="2"/>
  <c r="AH18" i="10"/>
  <c r="AZ14" i="9"/>
  <c r="CP15" i="3"/>
  <c r="AN14" i="3"/>
  <c r="CJ14" i="2"/>
  <c r="AN20" i="2"/>
  <c r="AB14" i="2"/>
  <c r="CP16" i="12"/>
  <c r="CJ19" i="12"/>
  <c r="CD22" i="12"/>
  <c r="CD14" i="12"/>
  <c r="BX17" i="12"/>
  <c r="BR20" i="12"/>
  <c r="BL23" i="12"/>
  <c r="BL15" i="12"/>
  <c r="BF18" i="12"/>
  <c r="AZ21" i="12"/>
  <c r="AT24" i="12"/>
  <c r="AT16" i="12"/>
  <c r="AN19" i="12"/>
  <c r="AH22" i="12"/>
  <c r="AH14" i="12"/>
  <c r="AB17" i="12"/>
  <c r="BL15" i="11"/>
  <c r="BF15" i="11"/>
  <c r="AZ18" i="11"/>
  <c r="AT21" i="11"/>
  <c r="AN20" i="11"/>
  <c r="AH23" i="11"/>
  <c r="AH15" i="11"/>
  <c r="AB18" i="11"/>
  <c r="CP15" i="10"/>
  <c r="CJ14" i="10"/>
  <c r="BX16" i="10"/>
  <c r="BL18" i="10"/>
  <c r="BF17" i="10"/>
  <c r="AT19" i="10"/>
  <c r="AN18" i="10"/>
  <c r="AH17" i="10"/>
  <c r="AB16" i="10"/>
  <c r="CJ15" i="9"/>
  <c r="CD14" i="9"/>
  <c r="BL15" i="9"/>
  <c r="AZ17" i="9"/>
  <c r="AN19" i="9"/>
  <c r="AH18" i="9"/>
  <c r="AB21" i="9"/>
  <c r="CP16" i="8"/>
  <c r="CD18" i="8"/>
  <c r="BR16" i="8"/>
  <c r="BF14" i="8"/>
  <c r="AT16" i="8"/>
  <c r="AN15" i="8"/>
  <c r="AH14" i="8"/>
  <c r="Y16" i="8"/>
  <c r="U7" i="8"/>
  <c r="AA16" i="8" s="1"/>
  <c r="T7" i="8"/>
  <c r="Z16" i="8" s="1"/>
  <c r="U164" i="7"/>
  <c r="T164" i="7"/>
  <c r="U153" i="7"/>
  <c r="T153" i="7"/>
  <c r="U138" i="7"/>
  <c r="T138" i="7"/>
  <c r="T127" i="7"/>
  <c r="U127" i="7"/>
  <c r="U112" i="7"/>
  <c r="T112" i="7"/>
  <c r="T97" i="7"/>
  <c r="U97" i="7"/>
  <c r="BI14" i="7"/>
  <c r="T89" i="7"/>
  <c r="BJ14" i="7" s="1"/>
  <c r="U89" i="7"/>
  <c r="BK14" i="7" s="1"/>
  <c r="BF15" i="7"/>
  <c r="AH19" i="7"/>
  <c r="AB18" i="7"/>
  <c r="CP14" i="6"/>
  <c r="CD16" i="6"/>
  <c r="BR18" i="6"/>
  <c r="BL17" i="6"/>
  <c r="AZ19" i="6"/>
  <c r="AT18" i="6"/>
  <c r="AN17" i="6"/>
  <c r="AH16" i="6"/>
  <c r="CM16" i="5"/>
  <c r="U161" i="5"/>
  <c r="CO16" i="5" s="1"/>
  <c r="T161" i="5"/>
  <c r="CN16" i="5" s="1"/>
  <c r="T150" i="5"/>
  <c r="U150" i="5"/>
  <c r="U139" i="5"/>
  <c r="T139" i="5"/>
  <c r="BU17" i="5"/>
  <c r="U120" i="5"/>
  <c r="BW17" i="5" s="1"/>
  <c r="T120" i="5"/>
  <c r="BV17" i="5" s="1"/>
  <c r="U109" i="5"/>
  <c r="T109" i="5"/>
  <c r="BR14" i="5"/>
  <c r="BL17" i="5"/>
  <c r="AT17" i="5"/>
  <c r="U42" i="5"/>
  <c r="T42" i="5"/>
  <c r="U29" i="5"/>
  <c r="T29" i="5"/>
  <c r="AH17" i="5"/>
  <c r="Y14" i="5"/>
  <c r="T5" i="5"/>
  <c r="Z14" i="5" s="1"/>
  <c r="U5" i="5"/>
  <c r="AA14" i="5" s="1"/>
  <c r="CP14" i="3"/>
  <c r="CD16" i="3"/>
  <c r="BX15" i="3"/>
  <c r="BR14" i="3"/>
  <c r="BF20" i="3"/>
  <c r="AZ19" i="3"/>
  <c r="AT22" i="3"/>
  <c r="AT14" i="3"/>
  <c r="AN17" i="3"/>
  <c r="AH16" i="3"/>
  <c r="AB15" i="3"/>
  <c r="CP18" i="2"/>
  <c r="CJ17" i="2"/>
  <c r="AT18" i="2"/>
  <c r="AT21" i="1"/>
  <c r="AB21" i="1"/>
  <c r="AN24" i="12"/>
  <c r="BF20" i="11"/>
  <c r="AH16" i="11"/>
  <c r="AN15" i="10"/>
  <c r="AB21" i="10"/>
  <c r="AN16" i="9"/>
  <c r="CP15" i="5"/>
  <c r="AN15" i="5"/>
  <c r="AB16" i="3"/>
  <c r="AH23" i="2"/>
  <c r="T167" i="2"/>
  <c r="U167" i="2"/>
  <c r="BO18" i="2"/>
  <c r="U107" i="2"/>
  <c r="BQ18" i="2" s="1"/>
  <c r="T107" i="2"/>
  <c r="BP18" i="2" s="1"/>
  <c r="T85" i="2"/>
  <c r="U85" i="2"/>
  <c r="CG17" i="3"/>
  <c r="T148" i="3"/>
  <c r="CH17" i="3" s="1"/>
  <c r="U148" i="3"/>
  <c r="CI17" i="3" s="1"/>
  <c r="T126" i="3"/>
  <c r="U126" i="3"/>
  <c r="AW19" i="3"/>
  <c r="T66" i="3"/>
  <c r="AX19" i="3" s="1"/>
  <c r="U66" i="3"/>
  <c r="AY19" i="3" s="1"/>
  <c r="Y15" i="3"/>
  <c r="U6" i="3"/>
  <c r="AA15" i="3" s="1"/>
  <c r="T6" i="3"/>
  <c r="Z15" i="3" s="1"/>
  <c r="U153" i="5"/>
  <c r="T153" i="5"/>
  <c r="BI18" i="5"/>
  <c r="T93" i="5"/>
  <c r="BJ18" i="5" s="1"/>
  <c r="U93" i="5"/>
  <c r="BK18" i="5" s="1"/>
  <c r="T71" i="5"/>
  <c r="U71" i="5"/>
  <c r="BU14" i="6"/>
  <c r="U117" i="6"/>
  <c r="BW14" i="6" s="1"/>
  <c r="T117" i="6"/>
  <c r="BV14" i="6" s="1"/>
  <c r="U163" i="7"/>
  <c r="T163" i="7"/>
  <c r="U141" i="7"/>
  <c r="T141" i="7"/>
  <c r="T81" i="7"/>
  <c r="U81" i="7"/>
  <c r="U167" i="8"/>
  <c r="T167" i="8"/>
  <c r="T107" i="8"/>
  <c r="U107" i="8"/>
  <c r="U66" i="8"/>
  <c r="T66" i="8"/>
  <c r="CA16" i="9"/>
  <c r="T133" i="9"/>
  <c r="CB16" i="9" s="1"/>
  <c r="U133" i="9"/>
  <c r="CC16" i="9" s="1"/>
  <c r="BI17" i="9"/>
  <c r="T92" i="9"/>
  <c r="BJ17" i="9" s="1"/>
  <c r="U92" i="9"/>
  <c r="BK17" i="9" s="1"/>
  <c r="CM14" i="10"/>
  <c r="U159" i="10"/>
  <c r="CO14" i="10" s="1"/>
  <c r="T159" i="10"/>
  <c r="CN14" i="10" s="1"/>
  <c r="T96" i="10"/>
  <c r="U96" i="10"/>
  <c r="BC16" i="10"/>
  <c r="T77" i="10"/>
  <c r="BD16" i="10" s="1"/>
  <c r="U77" i="10"/>
  <c r="BE16" i="10" s="1"/>
  <c r="U57" i="2"/>
  <c r="T57" i="2"/>
  <c r="AW21" i="2"/>
  <c r="T68" i="2"/>
  <c r="AX21" i="2" s="1"/>
  <c r="U68" i="2"/>
  <c r="AY21" i="2" s="1"/>
  <c r="BU21" i="2"/>
  <c r="U124" i="2"/>
  <c r="BW21" i="2" s="1"/>
  <c r="T124" i="2"/>
  <c r="BV21" i="2" s="1"/>
  <c r="U138" i="2"/>
  <c r="T138" i="2"/>
  <c r="CM19" i="2"/>
  <c r="T164" i="2"/>
  <c r="CN19" i="2" s="1"/>
  <c r="U164" i="2"/>
  <c r="CO19" i="2" s="1"/>
  <c r="AE20" i="3"/>
  <c r="U25" i="3"/>
  <c r="AG20" i="3" s="1"/>
  <c r="T25" i="3"/>
  <c r="AF20" i="3" s="1"/>
  <c r="CA18" i="3"/>
  <c r="U135" i="3"/>
  <c r="CC18" i="3" s="1"/>
  <c r="T135" i="3"/>
  <c r="CB18" i="3" s="1"/>
  <c r="BC14" i="3"/>
  <c r="T75" i="3"/>
  <c r="BD14" i="3" s="1"/>
  <c r="U75" i="3"/>
  <c r="BE14" i="3" s="1"/>
  <c r="AK15" i="3"/>
  <c r="T34" i="3"/>
  <c r="AL15" i="3" s="1"/>
  <c r="U34" i="3"/>
  <c r="AM15" i="3" s="1"/>
  <c r="AQ17" i="3"/>
  <c r="T50" i="3"/>
  <c r="AR17" i="3" s="1"/>
  <c r="U50" i="3"/>
  <c r="AS17" i="3" s="1"/>
  <c r="BU18" i="3"/>
  <c r="U121" i="3"/>
  <c r="BW18" i="3" s="1"/>
  <c r="T121" i="3"/>
  <c r="BV18" i="3" s="1"/>
  <c r="AE14" i="5"/>
  <c r="U19" i="5"/>
  <c r="AG14" i="5" s="1"/>
  <c r="T19" i="5"/>
  <c r="AF14" i="5" s="1"/>
  <c r="U70" i="5"/>
  <c r="T70" i="5"/>
  <c r="CA16" i="5"/>
  <c r="T133" i="5"/>
  <c r="CB16" i="5" s="1"/>
  <c r="U133" i="5"/>
  <c r="CC16" i="5" s="1"/>
  <c r="AE16" i="6"/>
  <c r="U21" i="6"/>
  <c r="AG16" i="6" s="1"/>
  <c r="T21" i="6"/>
  <c r="AF16" i="6" s="1"/>
  <c r="AW15" i="6"/>
  <c r="U62" i="6"/>
  <c r="AY15" i="6" s="1"/>
  <c r="T62" i="6"/>
  <c r="AX15" i="6" s="1"/>
  <c r="BC18" i="6"/>
  <c r="U79" i="6"/>
  <c r="BE18" i="6" s="1"/>
  <c r="T79" i="6"/>
  <c r="BD18" i="6" s="1"/>
  <c r="T111" i="6"/>
  <c r="U111" i="6"/>
  <c r="CA14" i="6"/>
  <c r="T131" i="6"/>
  <c r="CB14" i="6" s="1"/>
  <c r="U131" i="6"/>
  <c r="CC14" i="6" s="1"/>
  <c r="T40" i="7"/>
  <c r="U40" i="7"/>
  <c r="AW14" i="7"/>
  <c r="U61" i="7"/>
  <c r="AY14" i="7" s="1"/>
  <c r="T61" i="7"/>
  <c r="AX14" i="7" s="1"/>
  <c r="CA15" i="7"/>
  <c r="U132" i="7"/>
  <c r="CC15" i="7" s="1"/>
  <c r="T132" i="7"/>
  <c r="CB15" i="7" s="1"/>
  <c r="U166" i="8"/>
  <c r="T166" i="8"/>
  <c r="AE14" i="8"/>
  <c r="T19" i="8"/>
  <c r="AF14" i="8" s="1"/>
  <c r="U19" i="8"/>
  <c r="AG14" i="8" s="1"/>
  <c r="BO17" i="8"/>
  <c r="T106" i="8"/>
  <c r="BP17" i="8" s="1"/>
  <c r="U106" i="8"/>
  <c r="BQ17" i="8" s="1"/>
  <c r="CG14" i="8"/>
  <c r="U145" i="8"/>
  <c r="CI14" i="8" s="1"/>
  <c r="T145" i="8"/>
  <c r="CH14" i="8" s="1"/>
  <c r="U28" i="9"/>
  <c r="T28" i="9"/>
  <c r="T125" i="9"/>
  <c r="U125" i="9"/>
  <c r="AW14" i="9"/>
  <c r="U61" i="9"/>
  <c r="AY14" i="9" s="1"/>
  <c r="T61" i="9"/>
  <c r="AX14" i="9" s="1"/>
  <c r="Y18" i="10"/>
  <c r="U9" i="10"/>
  <c r="AA18" i="10" s="1"/>
  <c r="T9" i="10"/>
  <c r="Z18" i="10" s="1"/>
  <c r="AE15" i="10"/>
  <c r="U20" i="10"/>
  <c r="AG15" i="10" s="1"/>
  <c r="T20" i="10"/>
  <c r="AF15" i="10" s="1"/>
  <c r="BC17" i="10"/>
  <c r="U78" i="10"/>
  <c r="BE17" i="10" s="1"/>
  <c r="T78" i="10"/>
  <c r="BD17" i="10" s="1"/>
  <c r="BO15" i="10"/>
  <c r="U104" i="10"/>
  <c r="BQ15" i="10" s="1"/>
  <c r="T104" i="10"/>
  <c r="BP15" i="10" s="1"/>
  <c r="BU17" i="10"/>
  <c r="U120" i="10"/>
  <c r="BW17" i="10" s="1"/>
  <c r="T120" i="10"/>
  <c r="BV17" i="10" s="1"/>
  <c r="AE16" i="11"/>
  <c r="U21" i="11"/>
  <c r="AG16" i="11" s="1"/>
  <c r="T21" i="11"/>
  <c r="AF16" i="11" s="1"/>
  <c r="AK19" i="11"/>
  <c r="T38" i="11"/>
  <c r="AL19" i="11" s="1"/>
  <c r="U38" i="11"/>
  <c r="AM19" i="11" s="1"/>
  <c r="BC18" i="11"/>
  <c r="U79" i="11"/>
  <c r="BE18" i="11" s="1"/>
  <c r="T79" i="11"/>
  <c r="BD18" i="11" s="1"/>
  <c r="BI15" i="11"/>
  <c r="T90" i="11"/>
  <c r="BJ15" i="11" s="1"/>
  <c r="U90" i="11"/>
  <c r="BK15" i="11" s="1"/>
  <c r="BO22" i="12"/>
  <c r="T111" i="12"/>
  <c r="BP22" i="12" s="1"/>
  <c r="U111" i="12"/>
  <c r="BQ22" i="12" s="1"/>
  <c r="Y15" i="12"/>
  <c r="U6" i="12"/>
  <c r="AA15" i="12" s="1"/>
  <c r="AA25" i="12" s="1"/>
  <c r="T6" i="12"/>
  <c r="Z15" i="12" s="1"/>
  <c r="AK22" i="12"/>
  <c r="U41" i="12"/>
  <c r="AM22" i="12" s="1"/>
  <c r="T41" i="12"/>
  <c r="AL22" i="12" s="1"/>
  <c r="CA21" i="12"/>
  <c r="T138" i="12"/>
  <c r="CB21" i="12" s="1"/>
  <c r="U138" i="12"/>
  <c r="CC21" i="12" s="1"/>
  <c r="CG14" i="12"/>
  <c r="U145" i="12"/>
  <c r="CI14" i="12" s="1"/>
  <c r="T145" i="12"/>
  <c r="CH14" i="12" s="1"/>
  <c r="AE19" i="11"/>
  <c r="T24" i="11"/>
  <c r="AF19" i="11" s="1"/>
  <c r="U24" i="11"/>
  <c r="AG19" i="11" s="1"/>
  <c r="Y14" i="11"/>
  <c r="T5" i="11"/>
  <c r="Z14" i="11" s="1"/>
  <c r="U5" i="11"/>
  <c r="AA14" i="11" s="1"/>
  <c r="T97" i="10"/>
  <c r="U97" i="10"/>
  <c r="AQ19" i="10"/>
  <c r="U52" i="10"/>
  <c r="AS19" i="10" s="1"/>
  <c r="T52" i="10"/>
  <c r="AR19" i="10" s="1"/>
  <c r="CG15" i="12"/>
  <c r="T146" i="12"/>
  <c r="CH15" i="12" s="1"/>
  <c r="U146" i="12"/>
  <c r="CI15" i="12" s="1"/>
  <c r="BC22" i="12"/>
  <c r="U83" i="12"/>
  <c r="BE22" i="12" s="1"/>
  <c r="T83" i="12"/>
  <c r="BD22" i="12" s="1"/>
  <c r="AW17" i="12"/>
  <c r="T64" i="12"/>
  <c r="AX17" i="12" s="1"/>
  <c r="U64" i="12"/>
  <c r="AY17" i="12" s="1"/>
  <c r="U96" i="11"/>
  <c r="T96" i="11"/>
  <c r="BC17" i="11"/>
  <c r="U78" i="11"/>
  <c r="BE17" i="11" s="1"/>
  <c r="T78" i="11"/>
  <c r="BD17" i="11" s="1"/>
  <c r="Y24" i="11"/>
  <c r="U15" i="11"/>
  <c r="AA24" i="11" s="1"/>
  <c r="T15" i="11"/>
  <c r="Z24" i="11" s="1"/>
  <c r="T121" i="10"/>
  <c r="U121" i="10"/>
  <c r="AW14" i="10"/>
  <c r="T61" i="10"/>
  <c r="AX14" i="10" s="1"/>
  <c r="U61" i="10"/>
  <c r="AY14" i="10" s="1"/>
  <c r="T40" i="9"/>
  <c r="U40" i="9"/>
  <c r="AE17" i="10"/>
  <c r="U22" i="10"/>
  <c r="AG17" i="10" s="1"/>
  <c r="T22" i="10"/>
  <c r="AF17" i="10" s="1"/>
  <c r="T120" i="9"/>
  <c r="U120" i="9"/>
  <c r="T98" i="9"/>
  <c r="U98" i="9"/>
  <c r="U169" i="8"/>
  <c r="T169" i="8"/>
  <c r="U98" i="8"/>
  <c r="T98" i="8"/>
  <c r="T79" i="8"/>
  <c r="U79" i="8"/>
  <c r="CM16" i="7"/>
  <c r="T161" i="7"/>
  <c r="CN16" i="7" s="1"/>
  <c r="U161" i="7"/>
  <c r="CO16" i="7" s="1"/>
  <c r="T139" i="7"/>
  <c r="U139" i="7"/>
  <c r="U79" i="7"/>
  <c r="T79" i="7"/>
  <c r="U57" i="7"/>
  <c r="T57" i="7"/>
  <c r="T165" i="6"/>
  <c r="U165" i="6"/>
  <c r="BU17" i="6"/>
  <c r="U120" i="6"/>
  <c r="BW17" i="6" s="1"/>
  <c r="T120" i="6"/>
  <c r="BV17" i="6" s="1"/>
  <c r="AE19" i="5"/>
  <c r="U24" i="5"/>
  <c r="AG19" i="5" s="1"/>
  <c r="T24" i="5"/>
  <c r="AF19" i="5" s="1"/>
  <c r="BO19" i="3"/>
  <c r="U108" i="3"/>
  <c r="BQ19" i="3" s="1"/>
  <c r="T108" i="3"/>
  <c r="BP19" i="3" s="1"/>
  <c r="BC17" i="3"/>
  <c r="U78" i="3"/>
  <c r="BE17" i="3" s="1"/>
  <c r="T78" i="3"/>
  <c r="BD17" i="3" s="1"/>
  <c r="CM15" i="2"/>
  <c r="U160" i="2"/>
  <c r="CO15" i="2" s="1"/>
  <c r="T160" i="2"/>
  <c r="CN15" i="2" s="1"/>
  <c r="BU20" i="2"/>
  <c r="T123" i="2"/>
  <c r="BV20" i="2" s="1"/>
  <c r="U123" i="2"/>
  <c r="BW20" i="2" s="1"/>
  <c r="T56" i="2"/>
  <c r="U56" i="2"/>
  <c r="AK16" i="2"/>
  <c r="U35" i="2"/>
  <c r="AM16" i="2" s="1"/>
  <c r="T35" i="2"/>
  <c r="AL16" i="2" s="1"/>
  <c r="U40" i="8"/>
  <c r="T40" i="8"/>
  <c r="T141" i="6"/>
  <c r="U141" i="6"/>
  <c r="AQ18" i="6"/>
  <c r="U51" i="6"/>
  <c r="AS18" i="6" s="1"/>
  <c r="T51" i="6"/>
  <c r="AR18" i="6" s="1"/>
  <c r="AE19" i="6"/>
  <c r="U24" i="6"/>
  <c r="AG19" i="6" s="1"/>
  <c r="T24" i="6"/>
  <c r="AF19" i="6" s="1"/>
  <c r="CA15" i="5"/>
  <c r="T132" i="5"/>
  <c r="CB15" i="5" s="1"/>
  <c r="U132" i="5"/>
  <c r="CC15" i="5" s="1"/>
  <c r="BO17" i="5"/>
  <c r="T106" i="5"/>
  <c r="BP17" i="5" s="1"/>
  <c r="U106" i="5"/>
  <c r="BQ17" i="5" s="1"/>
  <c r="T41" i="5"/>
  <c r="U41" i="5"/>
  <c r="U166" i="3"/>
  <c r="T166" i="3"/>
  <c r="U84" i="3"/>
  <c r="T84" i="3"/>
  <c r="CA15" i="2"/>
  <c r="T132" i="2"/>
  <c r="CB15" i="2" s="1"/>
  <c r="U132" i="2"/>
  <c r="CC15" i="2" s="1"/>
  <c r="Y16" i="2"/>
  <c r="T7" i="2"/>
  <c r="Z16" i="2" s="1"/>
  <c r="U7" i="2"/>
  <c r="AA16" i="2" s="1"/>
  <c r="CM15" i="12"/>
  <c r="T160" i="12"/>
  <c r="CN15" i="12" s="1"/>
  <c r="U160" i="12"/>
  <c r="CO15" i="12" s="1"/>
  <c r="U155" i="7"/>
  <c r="T155" i="7"/>
  <c r="T136" i="7"/>
  <c r="U136" i="7"/>
  <c r="U99" i="7"/>
  <c r="T99" i="7"/>
  <c r="U111" i="5"/>
  <c r="T111" i="5"/>
  <c r="AW15" i="3"/>
  <c r="T62" i="3"/>
  <c r="AX15" i="3" s="1"/>
  <c r="U62" i="3"/>
  <c r="AY15" i="3" s="1"/>
  <c r="AK19" i="2"/>
  <c r="U38" i="2"/>
  <c r="AM19" i="2" s="1"/>
  <c r="T38" i="2"/>
  <c r="AL19" i="2" s="1"/>
  <c r="Y17" i="2"/>
  <c r="T8" i="2"/>
  <c r="Z17" i="2" s="1"/>
  <c r="U8" i="2"/>
  <c r="AA17" i="2" s="1"/>
  <c r="BX17" i="7"/>
  <c r="AN19" i="7"/>
  <c r="BL18" i="1"/>
  <c r="AN15" i="1"/>
  <c r="AB20" i="1"/>
  <c r="BR20" i="1"/>
  <c r="AT14" i="11"/>
  <c r="CJ14" i="3"/>
  <c r="BR19" i="3"/>
  <c r="BF18" i="11"/>
  <c r="CP14" i="10"/>
  <c r="BX15" i="10"/>
  <c r="BF16" i="10"/>
  <c r="AZ19" i="2"/>
  <c r="CP20" i="12"/>
  <c r="CJ15" i="12"/>
  <c r="BX21" i="12"/>
  <c r="BR16" i="12"/>
  <c r="BF22" i="12"/>
  <c r="AZ17" i="12"/>
  <c r="AN23" i="12"/>
  <c r="AH18" i="12"/>
  <c r="CJ18" i="10"/>
  <c r="BF14" i="9"/>
  <c r="AT16" i="9"/>
  <c r="CJ15" i="8"/>
  <c r="AZ17" i="8"/>
  <c r="T56" i="7"/>
  <c r="U56" i="7"/>
  <c r="T141" i="2"/>
  <c r="U141" i="2"/>
  <c r="BU19" i="2"/>
  <c r="T122" i="2"/>
  <c r="BV19" i="2" s="1"/>
  <c r="U122" i="2"/>
  <c r="BW19" i="2" s="1"/>
  <c r="Y23" i="2"/>
  <c r="T14" i="2"/>
  <c r="Z23" i="2" s="1"/>
  <c r="U14" i="2"/>
  <c r="AA23" i="2" s="1"/>
  <c r="CM18" i="3"/>
  <c r="U163" i="3"/>
  <c r="CO18" i="3" s="1"/>
  <c r="T163" i="3"/>
  <c r="CN18" i="3" s="1"/>
  <c r="BO14" i="3"/>
  <c r="T103" i="3"/>
  <c r="BP14" i="3" s="1"/>
  <c r="U103" i="3"/>
  <c r="BQ14" i="3" s="1"/>
  <c r="BC20" i="3"/>
  <c r="T81" i="3"/>
  <c r="BD20" i="3" s="1"/>
  <c r="U81" i="3"/>
  <c r="BE20" i="3" s="1"/>
  <c r="Y14" i="3"/>
  <c r="T5" i="3"/>
  <c r="Z14" i="3" s="1"/>
  <c r="U5" i="3"/>
  <c r="AA14" i="3" s="1"/>
  <c r="T127" i="5"/>
  <c r="U127" i="5"/>
  <c r="BO19" i="5"/>
  <c r="T108" i="5"/>
  <c r="BP19" i="5" s="1"/>
  <c r="U108" i="5"/>
  <c r="BQ19" i="5" s="1"/>
  <c r="U151" i="6"/>
  <c r="T151" i="6"/>
  <c r="CA15" i="6"/>
  <c r="U132" i="6"/>
  <c r="CC15" i="6" s="1"/>
  <c r="T132" i="6"/>
  <c r="CB15" i="6" s="1"/>
  <c r="T69" i="6"/>
  <c r="U69" i="6"/>
  <c r="T137" i="7"/>
  <c r="U137" i="7"/>
  <c r="U96" i="7"/>
  <c r="T96" i="7"/>
  <c r="T141" i="8"/>
  <c r="U141" i="8"/>
  <c r="U122" i="8"/>
  <c r="T122" i="8"/>
  <c r="U167" i="9"/>
  <c r="T167" i="9"/>
  <c r="CG17" i="9"/>
  <c r="U148" i="9"/>
  <c r="CI17" i="9" s="1"/>
  <c r="T148" i="9"/>
  <c r="CH17" i="9" s="1"/>
  <c r="U85" i="9"/>
  <c r="T85" i="9"/>
  <c r="U66" i="9"/>
  <c r="T66" i="9"/>
  <c r="U111" i="10"/>
  <c r="T111" i="10"/>
  <c r="BI17" i="10"/>
  <c r="U92" i="10"/>
  <c r="BK17" i="10" s="1"/>
  <c r="T92" i="10"/>
  <c r="BJ17" i="10" s="1"/>
  <c r="AK22" i="2"/>
  <c r="U41" i="2"/>
  <c r="AM22" i="2" s="1"/>
  <c r="T41" i="2"/>
  <c r="AL22" i="2" s="1"/>
  <c r="AW14" i="2"/>
  <c r="U61" i="2"/>
  <c r="AY14" i="2" s="1"/>
  <c r="T61" i="2"/>
  <c r="AX14" i="2" s="1"/>
  <c r="BI14" i="2"/>
  <c r="U89" i="2"/>
  <c r="BK14" i="2" s="1"/>
  <c r="T89" i="2"/>
  <c r="BJ14" i="2" s="1"/>
  <c r="T139" i="2"/>
  <c r="U139" i="2"/>
  <c r="U155" i="2"/>
  <c r="T155" i="2"/>
  <c r="T169" i="3"/>
  <c r="U169" i="3"/>
  <c r="T150" i="3"/>
  <c r="U150" i="3"/>
  <c r="BI15" i="3"/>
  <c r="U90" i="3"/>
  <c r="BK15" i="3" s="1"/>
  <c r="T90" i="3"/>
  <c r="BJ15" i="3" s="1"/>
  <c r="AW21" i="3"/>
  <c r="T68" i="3"/>
  <c r="AX21" i="3" s="1"/>
  <c r="U68" i="3"/>
  <c r="AY21" i="3" s="1"/>
  <c r="AK16" i="3"/>
  <c r="T35" i="3"/>
  <c r="AL16" i="3" s="1"/>
  <c r="U35" i="3"/>
  <c r="AM16" i="3" s="1"/>
  <c r="BI14" i="3"/>
  <c r="U89" i="3"/>
  <c r="BK14" i="3" s="1"/>
  <c r="T89" i="3"/>
  <c r="BJ14" i="3" s="1"/>
  <c r="CG16" i="3"/>
  <c r="U147" i="3"/>
  <c r="CI16" i="3" s="1"/>
  <c r="T147" i="3"/>
  <c r="CH16" i="3" s="1"/>
  <c r="AW16" i="5"/>
  <c r="T63" i="5"/>
  <c r="AX16" i="5" s="1"/>
  <c r="U63" i="5"/>
  <c r="AY16" i="5" s="1"/>
  <c r="BO16" i="5"/>
  <c r="T105" i="5"/>
  <c r="BP16" i="5" s="1"/>
  <c r="U105" i="5"/>
  <c r="BQ16" i="5" s="1"/>
  <c r="AE17" i="6"/>
  <c r="U22" i="6"/>
  <c r="AG17" i="6" s="1"/>
  <c r="T22" i="6"/>
  <c r="AF17" i="6" s="1"/>
  <c r="U41" i="6"/>
  <c r="T41" i="6"/>
  <c r="BC14" i="6"/>
  <c r="U75" i="6"/>
  <c r="BE14" i="6" s="1"/>
  <c r="T75" i="6"/>
  <c r="BD14" i="6" s="1"/>
  <c r="BO16" i="6"/>
  <c r="U105" i="6"/>
  <c r="BQ16" i="6" s="1"/>
  <c r="T105" i="6"/>
  <c r="BP16" i="6" s="1"/>
  <c r="T168" i="6"/>
  <c r="U168" i="6"/>
  <c r="U14" i="7"/>
  <c r="T14" i="7"/>
  <c r="U55" i="7"/>
  <c r="T55" i="7"/>
  <c r="T67" i="7"/>
  <c r="U67" i="7"/>
  <c r="U54" i="8"/>
  <c r="T54" i="8"/>
  <c r="Y14" i="8"/>
  <c r="U5" i="8"/>
  <c r="AA14" i="8" s="1"/>
  <c r="T5" i="8"/>
  <c r="Z14" i="8" s="1"/>
  <c r="U65" i="8"/>
  <c r="T65" i="8"/>
  <c r="BU14" i="8"/>
  <c r="T117" i="8"/>
  <c r="BV14" i="8" s="1"/>
  <c r="U117" i="8"/>
  <c r="BW14" i="8" s="1"/>
  <c r="AE16" i="9"/>
  <c r="T21" i="9"/>
  <c r="AF16" i="9" s="1"/>
  <c r="U21" i="9"/>
  <c r="AG16" i="9" s="1"/>
  <c r="U99" i="9"/>
  <c r="T99" i="9"/>
  <c r="U140" i="9"/>
  <c r="T140" i="9"/>
  <c r="CG16" i="9"/>
  <c r="U147" i="9"/>
  <c r="CI16" i="9" s="1"/>
  <c r="T147" i="9"/>
  <c r="CH16" i="9" s="1"/>
  <c r="Y20" i="10"/>
  <c r="U11" i="10"/>
  <c r="AA20" i="10" s="1"/>
  <c r="T11" i="10"/>
  <c r="Z20" i="10" s="1"/>
  <c r="T69" i="10"/>
  <c r="U69" i="10"/>
  <c r="BC18" i="10"/>
  <c r="T79" i="10"/>
  <c r="BD18" i="10" s="1"/>
  <c r="U79" i="10"/>
  <c r="BE18" i="10" s="1"/>
  <c r="BO16" i="10"/>
  <c r="U105" i="10"/>
  <c r="BQ16" i="10" s="1"/>
  <c r="T105" i="10"/>
  <c r="BP16" i="10" s="1"/>
  <c r="Y15" i="11"/>
  <c r="U6" i="11"/>
  <c r="AA15" i="11" s="1"/>
  <c r="T6" i="11"/>
  <c r="Z15" i="11" s="1"/>
  <c r="AE24" i="11"/>
  <c r="U29" i="11"/>
  <c r="AG24" i="11" s="1"/>
  <c r="T29" i="11"/>
  <c r="AF24" i="11" s="1"/>
  <c r="AW21" i="11"/>
  <c r="T68" i="11"/>
  <c r="AX21" i="11" s="1"/>
  <c r="U68" i="11"/>
  <c r="AY21" i="11" s="1"/>
  <c r="BC19" i="11"/>
  <c r="T80" i="11"/>
  <c r="BD19" i="11" s="1"/>
  <c r="U80" i="11"/>
  <c r="BE19" i="11" s="1"/>
  <c r="BU23" i="12"/>
  <c r="U126" i="12"/>
  <c r="BW23" i="12" s="1"/>
  <c r="T126" i="12"/>
  <c r="BV23" i="12" s="1"/>
  <c r="BO18" i="12"/>
  <c r="U107" i="12"/>
  <c r="BQ18" i="12" s="1"/>
  <c r="T107" i="12"/>
  <c r="BP18" i="12" s="1"/>
  <c r="AE24" i="12"/>
  <c r="T29" i="12"/>
  <c r="AF24" i="12" s="1"/>
  <c r="U29" i="12"/>
  <c r="AG24" i="12" s="1"/>
  <c r="AQ14" i="12"/>
  <c r="T47" i="12"/>
  <c r="AR14" i="12" s="1"/>
  <c r="U47" i="12"/>
  <c r="AS14" i="12" s="1"/>
  <c r="CA17" i="12"/>
  <c r="U134" i="12"/>
  <c r="CC17" i="12" s="1"/>
  <c r="T134" i="12"/>
  <c r="CB17" i="12" s="1"/>
  <c r="T43" i="11"/>
  <c r="U43" i="11"/>
  <c r="AE15" i="11"/>
  <c r="U20" i="11"/>
  <c r="AG15" i="11" s="1"/>
  <c r="T20" i="11"/>
  <c r="AF15" i="11" s="1"/>
  <c r="U123" i="10"/>
  <c r="T123" i="10"/>
  <c r="BI18" i="10"/>
  <c r="U93" i="10"/>
  <c r="BK18" i="10" s="1"/>
  <c r="T93" i="10"/>
  <c r="BJ18" i="10" s="1"/>
  <c r="CM16" i="12"/>
  <c r="U161" i="12"/>
  <c r="CO16" i="12" s="1"/>
  <c r="T161" i="12"/>
  <c r="CN16" i="12" s="1"/>
  <c r="BU17" i="12"/>
  <c r="U120" i="12"/>
  <c r="BW17" i="12" s="1"/>
  <c r="T120" i="12"/>
  <c r="BV17" i="12" s="1"/>
  <c r="BC18" i="12"/>
  <c r="T79" i="12"/>
  <c r="BD18" i="12" s="1"/>
  <c r="U79" i="12"/>
  <c r="BE18" i="12" s="1"/>
  <c r="AK19" i="12"/>
  <c r="T38" i="12"/>
  <c r="AL19" i="12" s="1"/>
  <c r="U38" i="12"/>
  <c r="AM19" i="12" s="1"/>
  <c r="BI17" i="11"/>
  <c r="U92" i="11"/>
  <c r="BK17" i="11" s="1"/>
  <c r="T92" i="11"/>
  <c r="BJ17" i="11" s="1"/>
  <c r="AQ19" i="11"/>
  <c r="U52" i="11"/>
  <c r="AS19" i="11" s="1"/>
  <c r="T52" i="11"/>
  <c r="AR19" i="11" s="1"/>
  <c r="Y20" i="11"/>
  <c r="U11" i="11"/>
  <c r="AA20" i="11" s="1"/>
  <c r="T11" i="11"/>
  <c r="Z20" i="11" s="1"/>
  <c r="U84" i="10"/>
  <c r="T84" i="10"/>
  <c r="CA18" i="9"/>
  <c r="T135" i="9"/>
  <c r="CB18" i="9" s="1"/>
  <c r="U135" i="9"/>
  <c r="CC18" i="9" s="1"/>
  <c r="CA20" i="2"/>
  <c r="T137" i="2"/>
  <c r="CB20" i="2" s="1"/>
  <c r="U137" i="2"/>
  <c r="CC20" i="2" s="1"/>
  <c r="BU15" i="2"/>
  <c r="U118" i="2"/>
  <c r="BW15" i="2" s="1"/>
  <c r="T118" i="2"/>
  <c r="BV15" i="2" s="1"/>
  <c r="BC16" i="2"/>
  <c r="U77" i="2"/>
  <c r="BE16" i="2" s="1"/>
  <c r="T77" i="2"/>
  <c r="BD16" i="2" s="1"/>
  <c r="Y19" i="2"/>
  <c r="T10" i="2"/>
  <c r="Z19" i="2" s="1"/>
  <c r="U10" i="2"/>
  <c r="AA19" i="2" s="1"/>
  <c r="T137" i="3"/>
  <c r="U137" i="3"/>
  <c r="BU15" i="3"/>
  <c r="T118" i="3"/>
  <c r="BV15" i="3" s="1"/>
  <c r="U118" i="3"/>
  <c r="BW15" i="3" s="1"/>
  <c r="BC16" i="3"/>
  <c r="T77" i="3"/>
  <c r="BD16" i="3" s="1"/>
  <c r="U77" i="3"/>
  <c r="BE16" i="3" s="1"/>
  <c r="Y18" i="2"/>
  <c r="T9" i="2"/>
  <c r="Z18" i="2" s="1"/>
  <c r="U9" i="2"/>
  <c r="AA18" i="2" s="1"/>
  <c r="T14" i="3"/>
  <c r="U14" i="3"/>
  <c r="CG14" i="5"/>
  <c r="T145" i="5"/>
  <c r="CH14" i="5" s="1"/>
  <c r="U145" i="5"/>
  <c r="CI14" i="5" s="1"/>
  <c r="T123" i="5"/>
  <c r="U123" i="5"/>
  <c r="BO15" i="5"/>
  <c r="T104" i="5"/>
  <c r="BP15" i="5" s="1"/>
  <c r="U104" i="5"/>
  <c r="BQ15" i="5" s="1"/>
  <c r="U166" i="6"/>
  <c r="T166" i="6"/>
  <c r="CG16" i="6"/>
  <c r="U147" i="6"/>
  <c r="CI16" i="6" s="1"/>
  <c r="T147" i="6"/>
  <c r="CH16" i="6" s="1"/>
  <c r="BO17" i="6"/>
  <c r="T106" i="6"/>
  <c r="BP17" i="6" s="1"/>
  <c r="U106" i="6"/>
  <c r="BQ17" i="6" s="1"/>
  <c r="AW18" i="6"/>
  <c r="T65" i="6"/>
  <c r="AX18" i="6" s="1"/>
  <c r="U65" i="6"/>
  <c r="AY18" i="6" s="1"/>
  <c r="T152" i="7"/>
  <c r="U152" i="7"/>
  <c r="U111" i="7"/>
  <c r="T111" i="7"/>
  <c r="BI17" i="7"/>
  <c r="U92" i="7"/>
  <c r="BK17" i="7" s="1"/>
  <c r="T92" i="7"/>
  <c r="BJ17" i="7" s="1"/>
  <c r="CM14" i="8"/>
  <c r="T159" i="8"/>
  <c r="CN14" i="8" s="1"/>
  <c r="U159" i="8"/>
  <c r="CO14" i="8" s="1"/>
  <c r="T137" i="8"/>
  <c r="U137" i="8"/>
  <c r="T96" i="8"/>
  <c r="U96" i="8"/>
  <c r="BC16" i="8"/>
  <c r="U77" i="8"/>
  <c r="BE16" i="8" s="1"/>
  <c r="T77" i="8"/>
  <c r="BD16" i="8" s="1"/>
  <c r="T141" i="9"/>
  <c r="U141" i="9"/>
  <c r="U122" i="9"/>
  <c r="T122" i="9"/>
  <c r="T81" i="9"/>
  <c r="U81" i="9"/>
  <c r="T167" i="10"/>
  <c r="U167" i="10"/>
  <c r="U126" i="10"/>
  <c r="T126" i="10"/>
  <c r="BO18" i="10"/>
  <c r="U107" i="10"/>
  <c r="BQ18" i="10" s="1"/>
  <c r="T107" i="10"/>
  <c r="BP18" i="10" s="1"/>
  <c r="T66" i="10"/>
  <c r="U66" i="10"/>
  <c r="AE23" i="2"/>
  <c r="U28" i="2"/>
  <c r="AG23" i="2" s="1"/>
  <c r="T28" i="2"/>
  <c r="AF23" i="2" s="1"/>
  <c r="U43" i="2"/>
  <c r="T43" i="2"/>
  <c r="BC22" i="2"/>
  <c r="U83" i="2"/>
  <c r="BE22" i="2" s="1"/>
  <c r="T83" i="2"/>
  <c r="BD22" i="2" s="1"/>
  <c r="T99" i="2"/>
  <c r="U99" i="2"/>
  <c r="U127" i="2"/>
  <c r="T127" i="2"/>
  <c r="U140" i="2"/>
  <c r="T140" i="2"/>
  <c r="CM16" i="2"/>
  <c r="T161" i="2"/>
  <c r="CN16" i="2" s="1"/>
  <c r="U161" i="2"/>
  <c r="CO16" i="2" s="1"/>
  <c r="T166" i="2"/>
  <c r="U166" i="2"/>
  <c r="U165" i="3"/>
  <c r="T165" i="3"/>
  <c r="CG15" i="3"/>
  <c r="U146" i="3"/>
  <c r="CI15" i="3" s="1"/>
  <c r="T146" i="3"/>
  <c r="CH15" i="3" s="1"/>
  <c r="BO16" i="3"/>
  <c r="U105" i="3"/>
  <c r="BQ16" i="3" s="1"/>
  <c r="T105" i="3"/>
  <c r="BP16" i="3" s="1"/>
  <c r="U83" i="3"/>
  <c r="T83" i="3"/>
  <c r="T42" i="3"/>
  <c r="U42" i="3"/>
  <c r="Y17" i="3"/>
  <c r="T8" i="3"/>
  <c r="Z17" i="3" s="1"/>
  <c r="U8" i="3"/>
  <c r="AA17" i="3" s="1"/>
  <c r="U69" i="3"/>
  <c r="T69" i="3"/>
  <c r="BI20" i="3"/>
  <c r="T95" i="3"/>
  <c r="BJ20" i="3" s="1"/>
  <c r="U95" i="3"/>
  <c r="BK20" i="3" s="1"/>
  <c r="CM15" i="3"/>
  <c r="U160" i="3"/>
  <c r="CO15" i="3" s="1"/>
  <c r="T160" i="3"/>
  <c r="CN15" i="3" s="1"/>
  <c r="AK19" i="5"/>
  <c r="T38" i="5"/>
  <c r="AL19" i="5" s="1"/>
  <c r="U38" i="5"/>
  <c r="AM19" i="5" s="1"/>
  <c r="BC18" i="5"/>
  <c r="U79" i="5"/>
  <c r="BE18" i="5" s="1"/>
  <c r="T79" i="5"/>
  <c r="BD18" i="5" s="1"/>
  <c r="BU18" i="5"/>
  <c r="T121" i="5"/>
  <c r="BV18" i="5" s="1"/>
  <c r="U121" i="5"/>
  <c r="BW18" i="5" s="1"/>
  <c r="Y21" i="6"/>
  <c r="U12" i="6"/>
  <c r="AA21" i="6" s="1"/>
  <c r="T12" i="6"/>
  <c r="Z21" i="6" s="1"/>
  <c r="AE18" i="6"/>
  <c r="U23" i="6"/>
  <c r="AG18" i="6" s="1"/>
  <c r="T23" i="6"/>
  <c r="AF18" i="6" s="1"/>
  <c r="T71" i="6"/>
  <c r="U71" i="6"/>
  <c r="AW17" i="6"/>
  <c r="U64" i="6"/>
  <c r="AY17" i="6" s="1"/>
  <c r="T64" i="6"/>
  <c r="AX17" i="6" s="1"/>
  <c r="U94" i="6"/>
  <c r="T94" i="6"/>
  <c r="BO18" i="6"/>
  <c r="U107" i="6"/>
  <c r="BQ18" i="6" s="1"/>
  <c r="T107" i="6"/>
  <c r="BP18" i="6" s="1"/>
  <c r="U164" i="6"/>
  <c r="T164" i="6"/>
  <c r="CG14" i="6"/>
  <c r="U145" i="6"/>
  <c r="CI14" i="6" s="1"/>
  <c r="T145" i="6"/>
  <c r="CH14" i="6" s="1"/>
  <c r="U15" i="7"/>
  <c r="T15" i="7"/>
  <c r="T71" i="7"/>
  <c r="U71" i="7"/>
  <c r="AQ15" i="7"/>
  <c r="T48" i="7"/>
  <c r="AR15" i="7" s="1"/>
  <c r="U48" i="7"/>
  <c r="AS15" i="7" s="1"/>
  <c r="T108" i="7"/>
  <c r="U108" i="7"/>
  <c r="U69" i="8"/>
  <c r="T69" i="8"/>
  <c r="T140" i="8"/>
  <c r="U140" i="8"/>
  <c r="AE18" i="8"/>
  <c r="U23" i="8"/>
  <c r="AG18" i="8" s="1"/>
  <c r="T23" i="8"/>
  <c r="AF18" i="8" s="1"/>
  <c r="AK19" i="8"/>
  <c r="U38" i="8"/>
  <c r="AM19" i="8" s="1"/>
  <c r="T38" i="8"/>
  <c r="AL19" i="8" s="1"/>
  <c r="CA14" i="8"/>
  <c r="T131" i="8"/>
  <c r="CB14" i="8" s="1"/>
  <c r="U131" i="8"/>
  <c r="CC14" i="8" s="1"/>
  <c r="CM17" i="8"/>
  <c r="T162" i="8"/>
  <c r="CN17" i="8" s="1"/>
  <c r="U162" i="8"/>
  <c r="CO17" i="8" s="1"/>
  <c r="AE18" i="9"/>
  <c r="U23" i="9"/>
  <c r="AG18" i="9" s="1"/>
  <c r="T23" i="9"/>
  <c r="AF18" i="9" s="1"/>
  <c r="AK19" i="9"/>
  <c r="U38" i="9"/>
  <c r="AM19" i="9" s="1"/>
  <c r="T38" i="9"/>
  <c r="AL19" i="9" s="1"/>
  <c r="T95" i="9"/>
  <c r="U95" i="9"/>
  <c r="T155" i="9"/>
  <c r="U155" i="9"/>
  <c r="U121" i="9"/>
  <c r="T121" i="9"/>
  <c r="CM17" i="9"/>
  <c r="U162" i="9"/>
  <c r="CO17" i="9" s="1"/>
  <c r="T162" i="9"/>
  <c r="CN17" i="9" s="1"/>
  <c r="U27" i="10"/>
  <c r="T27" i="10"/>
  <c r="U54" i="10"/>
  <c r="T54" i="10"/>
  <c r="U83" i="10"/>
  <c r="T83" i="10"/>
  <c r="U124" i="10"/>
  <c r="T124" i="10"/>
  <c r="BU14" i="10"/>
  <c r="T117" i="10"/>
  <c r="BV14" i="10" s="1"/>
  <c r="U117" i="10"/>
  <c r="BW14" i="10" s="1"/>
  <c r="CA15" i="10"/>
  <c r="U132" i="10"/>
  <c r="CC15" i="10" s="1"/>
  <c r="T132" i="10"/>
  <c r="CB15" i="10" s="1"/>
  <c r="Y21" i="11"/>
  <c r="T12" i="11"/>
  <c r="Z21" i="11" s="1"/>
  <c r="U12" i="11"/>
  <c r="AA21" i="11" s="1"/>
  <c r="AK21" i="11"/>
  <c r="T40" i="11"/>
  <c r="AL21" i="11" s="1"/>
  <c r="U40" i="11"/>
  <c r="AM21" i="11" s="1"/>
  <c r="AW17" i="11"/>
  <c r="U64" i="11"/>
  <c r="AY17" i="11" s="1"/>
  <c r="T64" i="11"/>
  <c r="AX17" i="11" s="1"/>
  <c r="BC20" i="11"/>
  <c r="T81" i="11"/>
  <c r="BD20" i="11" s="1"/>
  <c r="U81" i="11"/>
  <c r="BE20" i="11" s="1"/>
  <c r="CM18" i="12"/>
  <c r="T163" i="12"/>
  <c r="CN18" i="12" s="1"/>
  <c r="U163" i="12"/>
  <c r="CO18" i="12" s="1"/>
  <c r="BU19" i="12"/>
  <c r="U122" i="12"/>
  <c r="BW19" i="12" s="1"/>
  <c r="T122" i="12"/>
  <c r="BV19" i="12" s="1"/>
  <c r="BO14" i="12"/>
  <c r="T103" i="12"/>
  <c r="BP14" i="12" s="1"/>
  <c r="U103" i="12"/>
  <c r="BQ14" i="12" s="1"/>
  <c r="Y23" i="12"/>
  <c r="T14" i="12"/>
  <c r="Z23" i="12" s="1"/>
  <c r="U14" i="12"/>
  <c r="AA23" i="12" s="1"/>
  <c r="AE20" i="12"/>
  <c r="T25" i="12"/>
  <c r="AF20" i="12" s="1"/>
  <c r="U25" i="12"/>
  <c r="AG20" i="12" s="1"/>
  <c r="AW15" i="12"/>
  <c r="T62" i="12"/>
  <c r="AX15" i="12" s="1"/>
  <c r="U62" i="12"/>
  <c r="AY15" i="12" s="1"/>
  <c r="AY25" i="12" s="1"/>
  <c r="BO19" i="12"/>
  <c r="T108" i="12"/>
  <c r="BP19" i="12" s="1"/>
  <c r="U108" i="12"/>
  <c r="BQ19" i="12" s="1"/>
  <c r="AK17" i="12"/>
  <c r="T36" i="12"/>
  <c r="AL17" i="12" s="1"/>
  <c r="U36" i="12"/>
  <c r="AM17" i="12" s="1"/>
  <c r="AW22" i="11"/>
  <c r="T69" i="11"/>
  <c r="AX22" i="11" s="1"/>
  <c r="U69" i="11"/>
  <c r="AY22" i="11" s="1"/>
  <c r="Y22" i="11"/>
  <c r="T13" i="11"/>
  <c r="Z22" i="11" s="1"/>
  <c r="U13" i="11"/>
  <c r="AA22" i="11" s="1"/>
  <c r="U164" i="10"/>
  <c r="T164" i="10"/>
  <c r="T112" i="10"/>
  <c r="U112" i="10"/>
  <c r="BI14" i="10"/>
  <c r="U89" i="10"/>
  <c r="BK14" i="10" s="1"/>
  <c r="T89" i="10"/>
  <c r="BJ14" i="10" s="1"/>
  <c r="T41" i="10"/>
  <c r="U41" i="10"/>
  <c r="CG23" i="12"/>
  <c r="T154" i="12"/>
  <c r="CH23" i="12" s="1"/>
  <c r="U154" i="12"/>
  <c r="CI23" i="12" s="1"/>
  <c r="CA18" i="12"/>
  <c r="T135" i="12"/>
  <c r="CB18" i="12" s="1"/>
  <c r="U135" i="12"/>
  <c r="CC18" i="12" s="1"/>
  <c r="BI19" i="12"/>
  <c r="T94" i="12"/>
  <c r="BJ19" i="12" s="1"/>
  <c r="U94" i="12"/>
  <c r="BK19" i="12" s="1"/>
  <c r="BC14" i="12"/>
  <c r="U75" i="12"/>
  <c r="BE14" i="12" s="1"/>
  <c r="T75" i="12"/>
  <c r="BD14" i="12" s="1"/>
  <c r="AK15" i="12"/>
  <c r="T34" i="12"/>
  <c r="AL15" i="12" s="1"/>
  <c r="U34" i="12"/>
  <c r="AM15" i="12" s="1"/>
  <c r="Y21" i="12"/>
  <c r="T12" i="12"/>
  <c r="Z21" i="12" s="1"/>
  <c r="U12" i="12"/>
  <c r="AA21" i="12" s="1"/>
  <c r="AW20" i="11"/>
  <c r="U67" i="11"/>
  <c r="AY20" i="11" s="1"/>
  <c r="T67" i="11"/>
  <c r="AX20" i="11" s="1"/>
  <c r="AQ15" i="11"/>
  <c r="U48" i="11"/>
  <c r="AS15" i="11" s="1"/>
  <c r="T48" i="11"/>
  <c r="AR15" i="11" s="1"/>
  <c r="Y16" i="11"/>
  <c r="U7" i="11"/>
  <c r="AA16" i="11" s="1"/>
  <c r="T7" i="11"/>
  <c r="Z16" i="11" s="1"/>
  <c r="U136" i="10"/>
  <c r="T136" i="10"/>
  <c r="U80" i="10"/>
  <c r="T80" i="10"/>
  <c r="U43" i="10"/>
  <c r="T43" i="10"/>
  <c r="AQ18" i="9"/>
  <c r="T51" i="9"/>
  <c r="AR18" i="9" s="1"/>
  <c r="U51" i="9"/>
  <c r="AS18" i="9" s="1"/>
  <c r="AK18" i="10"/>
  <c r="U37" i="10"/>
  <c r="AM18" i="10" s="1"/>
  <c r="T37" i="10"/>
  <c r="AL18" i="10" s="1"/>
  <c r="T154" i="9"/>
  <c r="U154" i="9"/>
  <c r="CA14" i="9"/>
  <c r="T131" i="9"/>
  <c r="CB14" i="9" s="1"/>
  <c r="U131" i="9"/>
  <c r="CC14" i="9" s="1"/>
  <c r="BI15" i="9"/>
  <c r="U90" i="9"/>
  <c r="BK15" i="9" s="1"/>
  <c r="T90" i="9"/>
  <c r="BJ15" i="9" s="1"/>
  <c r="U57" i="9"/>
  <c r="T57" i="9"/>
  <c r="U68" i="8"/>
  <c r="T68" i="8"/>
  <c r="U152" i="2"/>
  <c r="T152" i="2"/>
  <c r="CA16" i="2"/>
  <c r="T133" i="2"/>
  <c r="CB16" i="2" s="1"/>
  <c r="U133" i="2"/>
  <c r="CC16" i="2" s="1"/>
  <c r="T111" i="2"/>
  <c r="U111" i="2"/>
  <c r="BI17" i="2"/>
  <c r="U92" i="2"/>
  <c r="BK17" i="2" s="1"/>
  <c r="T92" i="2"/>
  <c r="BJ17" i="2" s="1"/>
  <c r="U70" i="2"/>
  <c r="T70" i="2"/>
  <c r="Y15" i="2"/>
  <c r="T6" i="2"/>
  <c r="Z15" i="2" s="1"/>
  <c r="U6" i="2"/>
  <c r="AA15" i="2" s="1"/>
  <c r="U152" i="3"/>
  <c r="T152" i="3"/>
  <c r="CA16" i="3"/>
  <c r="T133" i="3"/>
  <c r="CB16" i="3" s="1"/>
  <c r="U133" i="3"/>
  <c r="CC16" i="3" s="1"/>
  <c r="U111" i="3"/>
  <c r="T111" i="3"/>
  <c r="BI17" i="3"/>
  <c r="U92" i="3"/>
  <c r="BK17" i="3" s="1"/>
  <c r="T92" i="3"/>
  <c r="BJ17" i="3" s="1"/>
  <c r="T70" i="3"/>
  <c r="U70" i="3"/>
  <c r="Y14" i="2"/>
  <c r="T5" i="2"/>
  <c r="Z14" i="2" s="1"/>
  <c r="U5" i="2"/>
  <c r="AA14" i="2" s="1"/>
  <c r="Y22" i="3"/>
  <c r="U13" i="3"/>
  <c r="AA22" i="3" s="1"/>
  <c r="T13" i="3"/>
  <c r="Z22" i="3" s="1"/>
  <c r="Y19" i="3"/>
  <c r="T10" i="3"/>
  <c r="Z19" i="3" s="1"/>
  <c r="U10" i="3"/>
  <c r="AA19" i="3" s="1"/>
  <c r="CM15" i="5"/>
  <c r="U160" i="5"/>
  <c r="CO15" i="5" s="1"/>
  <c r="T160" i="5"/>
  <c r="CN15" i="5" s="1"/>
  <c r="U138" i="5"/>
  <c r="T138" i="5"/>
  <c r="BU16" i="5"/>
  <c r="U119" i="5"/>
  <c r="BW16" i="5" s="1"/>
  <c r="T119" i="5"/>
  <c r="BV16" i="5" s="1"/>
  <c r="U97" i="5"/>
  <c r="T97" i="5"/>
  <c r="BC17" i="5"/>
  <c r="U78" i="5"/>
  <c r="BE17" i="5" s="1"/>
  <c r="T78" i="5"/>
  <c r="BD17" i="5" s="1"/>
  <c r="CM17" i="6"/>
  <c r="T162" i="6"/>
  <c r="CN17" i="6" s="1"/>
  <c r="U162" i="6"/>
  <c r="CO17" i="6" s="1"/>
  <c r="T140" i="6"/>
  <c r="U140" i="6"/>
  <c r="T121" i="6"/>
  <c r="U121" i="6"/>
  <c r="U99" i="6"/>
  <c r="T99" i="6"/>
  <c r="T80" i="6"/>
  <c r="U80" i="6"/>
  <c r="T167" i="7"/>
  <c r="U167" i="7"/>
  <c r="CG17" i="7"/>
  <c r="T148" i="7"/>
  <c r="CH17" i="7" s="1"/>
  <c r="U148" i="7"/>
  <c r="CI17" i="7" s="1"/>
  <c r="U126" i="7"/>
  <c r="T126" i="7"/>
  <c r="T107" i="7"/>
  <c r="U107" i="7"/>
  <c r="U85" i="7"/>
  <c r="T85" i="7"/>
  <c r="U66" i="7"/>
  <c r="T66" i="7"/>
  <c r="T152" i="8"/>
  <c r="U152" i="8"/>
  <c r="CA16" i="8"/>
  <c r="T133" i="8"/>
  <c r="CB16" i="8" s="1"/>
  <c r="U133" i="8"/>
  <c r="CC16" i="8" s="1"/>
  <c r="U111" i="8"/>
  <c r="T111" i="8"/>
  <c r="BI17" i="8"/>
  <c r="U92" i="8"/>
  <c r="BK17" i="8" s="1"/>
  <c r="T92" i="8"/>
  <c r="BJ17" i="8" s="1"/>
  <c r="U70" i="8"/>
  <c r="T70" i="8"/>
  <c r="CM14" i="9"/>
  <c r="T159" i="9"/>
  <c r="CN14" i="9" s="1"/>
  <c r="U159" i="9"/>
  <c r="CO14" i="9" s="1"/>
  <c r="U137" i="9"/>
  <c r="T137" i="9"/>
  <c r="BU15" i="9"/>
  <c r="U118" i="9"/>
  <c r="BW15" i="9" s="1"/>
  <c r="T118" i="9"/>
  <c r="BV15" i="9" s="1"/>
  <c r="U96" i="9"/>
  <c r="T96" i="9"/>
  <c r="BC16" i="9"/>
  <c r="U77" i="9"/>
  <c r="BE16" i="9" s="1"/>
  <c r="T77" i="9"/>
  <c r="BD16" i="9" s="1"/>
  <c r="CM18" i="10"/>
  <c r="T163" i="10"/>
  <c r="CN18" i="10" s="1"/>
  <c r="U163" i="10"/>
  <c r="CO18" i="10" s="1"/>
  <c r="T141" i="10"/>
  <c r="U141" i="10"/>
  <c r="T122" i="10"/>
  <c r="U122" i="10"/>
  <c r="BO14" i="10"/>
  <c r="T103" i="10"/>
  <c r="BP14" i="10" s="1"/>
  <c r="U103" i="10"/>
  <c r="BQ14" i="10" s="1"/>
  <c r="T81" i="10"/>
  <c r="U81" i="10"/>
  <c r="T15" i="2"/>
  <c r="U15" i="2"/>
  <c r="T29" i="2"/>
  <c r="U29" i="2"/>
  <c r="AQ17" i="2"/>
  <c r="U50" i="2"/>
  <c r="AS17" i="2" s="1"/>
  <c r="T50" i="2"/>
  <c r="AR17" i="2" s="1"/>
  <c r="AW18" i="2"/>
  <c r="T65" i="2"/>
  <c r="AX18" i="2" s="1"/>
  <c r="U65" i="2"/>
  <c r="AY18" i="2" s="1"/>
  <c r="BI16" i="2"/>
  <c r="T91" i="2"/>
  <c r="BJ16" i="2" s="1"/>
  <c r="U91" i="2"/>
  <c r="BK16" i="2" s="1"/>
  <c r="BI19" i="2"/>
  <c r="U94" i="2"/>
  <c r="BK19" i="2" s="1"/>
  <c r="T94" i="2"/>
  <c r="BJ19" i="2" s="1"/>
  <c r="BU17" i="2"/>
  <c r="U120" i="2"/>
  <c r="BW17" i="2" s="1"/>
  <c r="T120" i="2"/>
  <c r="BV17" i="2" s="1"/>
  <c r="CA14" i="2"/>
  <c r="U131" i="2"/>
  <c r="CC14" i="2" s="1"/>
  <c r="T131" i="2"/>
  <c r="CB14" i="2" s="1"/>
  <c r="CG15" i="2"/>
  <c r="T146" i="2"/>
  <c r="CH15" i="2" s="1"/>
  <c r="U146" i="2"/>
  <c r="CI15" i="2" s="1"/>
  <c r="U153" i="2"/>
  <c r="T153" i="2"/>
  <c r="CM17" i="2"/>
  <c r="U162" i="2"/>
  <c r="CO17" i="2" s="1"/>
  <c r="T162" i="2"/>
  <c r="CN17" i="2" s="1"/>
  <c r="Y21" i="3"/>
  <c r="U12" i="3"/>
  <c r="AA21" i="3" s="1"/>
  <c r="T12" i="3"/>
  <c r="Z21" i="3" s="1"/>
  <c r="AE19" i="3"/>
  <c r="U24" i="3"/>
  <c r="AG19" i="3" s="1"/>
  <c r="T24" i="3"/>
  <c r="AF19" i="3" s="1"/>
  <c r="CM16" i="3"/>
  <c r="T161" i="3"/>
  <c r="CN16" i="3" s="1"/>
  <c r="U161" i="3"/>
  <c r="CO16" i="3" s="1"/>
  <c r="T139" i="3"/>
  <c r="U139" i="3"/>
  <c r="BU17" i="3"/>
  <c r="U120" i="3"/>
  <c r="BW17" i="3" s="1"/>
  <c r="T120" i="3"/>
  <c r="BV17" i="3" s="1"/>
  <c r="T98" i="3"/>
  <c r="U98" i="3"/>
  <c r="BC18" i="3"/>
  <c r="T79" i="3"/>
  <c r="BD18" i="3" s="1"/>
  <c r="U79" i="3"/>
  <c r="BE18" i="3" s="1"/>
  <c r="T57" i="3"/>
  <c r="U57" i="3"/>
  <c r="AK19" i="3"/>
  <c r="T38" i="3"/>
  <c r="AL19" i="3" s="1"/>
  <c r="U38" i="3"/>
  <c r="AM19" i="3" s="1"/>
  <c r="U28" i="3"/>
  <c r="T28" i="3"/>
  <c r="U43" i="3"/>
  <c r="T43" i="3"/>
  <c r="BC15" i="3"/>
  <c r="U76" i="3"/>
  <c r="BE15" i="3" s="1"/>
  <c r="T76" i="3"/>
  <c r="BD15" i="3" s="1"/>
  <c r="BO15" i="3"/>
  <c r="U104" i="3"/>
  <c r="BQ15" i="3" s="1"/>
  <c r="T104" i="3"/>
  <c r="BP15" i="3" s="1"/>
  <c r="CA19" i="3"/>
  <c r="U136" i="3"/>
  <c r="CC19" i="3" s="1"/>
  <c r="T136" i="3"/>
  <c r="CB19" i="3" s="1"/>
  <c r="Y15" i="5"/>
  <c r="T6" i="5"/>
  <c r="Z15" i="5" s="1"/>
  <c r="U6" i="5"/>
  <c r="AA15" i="5" s="1"/>
  <c r="AQ16" i="5"/>
  <c r="U49" i="5"/>
  <c r="AS16" i="5" s="1"/>
  <c r="T49" i="5"/>
  <c r="AR16" i="5" s="1"/>
  <c r="AW19" i="5"/>
  <c r="T66" i="5"/>
  <c r="AX19" i="5" s="1"/>
  <c r="U66" i="5"/>
  <c r="AY19" i="5" s="1"/>
  <c r="BI15" i="5"/>
  <c r="U90" i="5"/>
  <c r="BK15" i="5" s="1"/>
  <c r="T90" i="5"/>
  <c r="BJ15" i="5" s="1"/>
  <c r="CA14" i="5"/>
  <c r="U131" i="5"/>
  <c r="CC14" i="5" s="1"/>
  <c r="T131" i="5"/>
  <c r="CB14" i="5" s="1"/>
  <c r="Y16" i="6"/>
  <c r="U7" i="6"/>
  <c r="AA16" i="6" s="1"/>
  <c r="T7" i="6"/>
  <c r="Z16" i="6" s="1"/>
  <c r="U15" i="6"/>
  <c r="T15" i="6"/>
  <c r="AE20" i="6"/>
  <c r="T25" i="6"/>
  <c r="AF20" i="6" s="1"/>
  <c r="U25" i="6"/>
  <c r="AG20" i="6" s="1"/>
  <c r="U56" i="6"/>
  <c r="T56" i="6"/>
  <c r="T67" i="6"/>
  <c r="U67" i="6"/>
  <c r="T97" i="6"/>
  <c r="U97" i="6"/>
  <c r="BC17" i="6"/>
  <c r="U78" i="6"/>
  <c r="BE17" i="6" s="1"/>
  <c r="T78" i="6"/>
  <c r="BD17" i="6" s="1"/>
  <c r="BO14" i="6"/>
  <c r="T103" i="6"/>
  <c r="BP14" i="6" s="1"/>
  <c r="U103" i="6"/>
  <c r="BQ14" i="6" s="1"/>
  <c r="T108" i="6"/>
  <c r="U108" i="6"/>
  <c r="T154" i="6"/>
  <c r="U154" i="6"/>
  <c r="BU15" i="6"/>
  <c r="T118" i="6"/>
  <c r="BV15" i="6" s="1"/>
  <c r="U118" i="6"/>
  <c r="BW15" i="6" s="1"/>
  <c r="CG17" i="6"/>
  <c r="U148" i="6"/>
  <c r="CI17" i="6" s="1"/>
  <c r="T148" i="6"/>
  <c r="CH17" i="6" s="1"/>
  <c r="Y20" i="7"/>
  <c r="U11" i="7"/>
  <c r="AA20" i="7" s="1"/>
  <c r="T11" i="7"/>
  <c r="Z20" i="7" s="1"/>
  <c r="T29" i="7"/>
  <c r="U29" i="7"/>
  <c r="AE15" i="7"/>
  <c r="U20" i="7"/>
  <c r="AG15" i="7" s="1"/>
  <c r="T20" i="7"/>
  <c r="AF15" i="7" s="1"/>
  <c r="AK14" i="7"/>
  <c r="T33" i="7"/>
  <c r="AL14" i="7" s="1"/>
  <c r="U33" i="7"/>
  <c r="AM14" i="7" s="1"/>
  <c r="AQ18" i="7"/>
  <c r="T51" i="7"/>
  <c r="AR18" i="7" s="1"/>
  <c r="U51" i="7"/>
  <c r="AS18" i="7" s="1"/>
  <c r="BU16" i="7"/>
  <c r="T119" i="7"/>
  <c r="BV16" i="7" s="1"/>
  <c r="U119" i="7"/>
  <c r="BW16" i="7" s="1"/>
  <c r="U29" i="8"/>
  <c r="T29" i="8"/>
  <c r="T84" i="8"/>
  <c r="U84" i="8"/>
  <c r="U155" i="8"/>
  <c r="T155" i="8"/>
  <c r="Y18" i="8"/>
  <c r="T9" i="8"/>
  <c r="Z18" i="8" s="1"/>
  <c r="U9" i="8"/>
  <c r="AA18" i="8" s="1"/>
  <c r="AK15" i="8"/>
  <c r="T34" i="8"/>
  <c r="AL15" i="8" s="1"/>
  <c r="U34" i="8"/>
  <c r="AM15" i="8" s="1"/>
  <c r="AW14" i="8"/>
  <c r="U61" i="8"/>
  <c r="AY14" i="8" s="1"/>
  <c r="T61" i="8"/>
  <c r="AX14" i="8" s="1"/>
  <c r="U151" i="8"/>
  <c r="T151" i="8"/>
  <c r="CA15" i="8"/>
  <c r="U132" i="8"/>
  <c r="CC15" i="8" s="1"/>
  <c r="T132" i="8"/>
  <c r="CB15" i="8" s="1"/>
  <c r="Y14" i="9"/>
  <c r="U5" i="9"/>
  <c r="AA14" i="9" s="1"/>
  <c r="T5" i="9"/>
  <c r="Z14" i="9" s="1"/>
  <c r="T14" i="9"/>
  <c r="U14" i="9"/>
  <c r="U27" i="9"/>
  <c r="T27" i="9"/>
  <c r="U39" i="9"/>
  <c r="T39" i="9"/>
  <c r="T69" i="9"/>
  <c r="U69" i="9"/>
  <c r="U110" i="9"/>
  <c r="T110" i="9"/>
  <c r="U151" i="9"/>
  <c r="T151" i="9"/>
  <c r="AW18" i="9"/>
  <c r="U65" i="9"/>
  <c r="AY18" i="9" s="1"/>
  <c r="T65" i="9"/>
  <c r="AX18" i="9" s="1"/>
  <c r="T136" i="9"/>
  <c r="U136" i="9"/>
  <c r="Y17" i="10"/>
  <c r="U8" i="10"/>
  <c r="AA17" i="10" s="1"/>
  <c r="T8" i="10"/>
  <c r="Z17" i="10" s="1"/>
  <c r="Y22" i="10"/>
  <c r="U13" i="10"/>
  <c r="AA22" i="10" s="1"/>
  <c r="T13" i="10"/>
  <c r="Z22" i="10" s="1"/>
  <c r="AK14" i="10"/>
  <c r="T33" i="10"/>
  <c r="AL14" i="10" s="1"/>
  <c r="U33" i="10"/>
  <c r="AM14" i="10" s="1"/>
  <c r="AW17" i="10"/>
  <c r="U64" i="10"/>
  <c r="AY17" i="10" s="1"/>
  <c r="T64" i="10"/>
  <c r="AX17" i="10" s="1"/>
  <c r="BC15" i="10"/>
  <c r="U76" i="10"/>
  <c r="BE15" i="10" s="1"/>
  <c r="T76" i="10"/>
  <c r="BD15" i="10" s="1"/>
  <c r="T98" i="10"/>
  <c r="U98" i="10"/>
  <c r="T139" i="10"/>
  <c r="U139" i="10"/>
  <c r="BI15" i="10"/>
  <c r="T90" i="10"/>
  <c r="BJ15" i="10" s="1"/>
  <c r="U90" i="10"/>
  <c r="BK15" i="10" s="1"/>
  <c r="BU16" i="10"/>
  <c r="T119" i="10"/>
  <c r="BV16" i="10" s="1"/>
  <c r="U119" i="10"/>
  <c r="BW16" i="10" s="1"/>
  <c r="CG16" i="10"/>
  <c r="U147" i="10"/>
  <c r="CI16" i="10" s="1"/>
  <c r="T147" i="10"/>
  <c r="CH16" i="10" s="1"/>
  <c r="Y23" i="11"/>
  <c r="U14" i="11"/>
  <c r="AA23" i="11" s="1"/>
  <c r="T14" i="11"/>
  <c r="Z23" i="11" s="1"/>
  <c r="AE14" i="11"/>
  <c r="T19" i="11"/>
  <c r="AF14" i="11" s="1"/>
  <c r="U19" i="11"/>
  <c r="AG14" i="11" s="1"/>
  <c r="AK17" i="11"/>
  <c r="U36" i="11"/>
  <c r="AM17" i="11" s="1"/>
  <c r="T36" i="11"/>
  <c r="AL17" i="11" s="1"/>
  <c r="AK23" i="11"/>
  <c r="T42" i="11"/>
  <c r="AL23" i="11" s="1"/>
  <c r="U42" i="11"/>
  <c r="AM23" i="11" s="1"/>
  <c r="AW18" i="11"/>
  <c r="U65" i="11"/>
  <c r="AY18" i="11" s="1"/>
  <c r="T65" i="11"/>
  <c r="AX18" i="11" s="1"/>
  <c r="BC16" i="11"/>
  <c r="T77" i="11"/>
  <c r="BD16" i="11" s="1"/>
  <c r="U77" i="11"/>
  <c r="BE16" i="11" s="1"/>
  <c r="BI14" i="11"/>
  <c r="T89" i="11"/>
  <c r="BJ14" i="11" s="1"/>
  <c r="U89" i="11"/>
  <c r="BK14" i="11" s="1"/>
  <c r="CM14" i="12"/>
  <c r="U159" i="12"/>
  <c r="CO14" i="12" s="1"/>
  <c r="T159" i="12"/>
  <c r="CN14" i="12" s="1"/>
  <c r="CA20" i="12"/>
  <c r="T137" i="12"/>
  <c r="CB20" i="12" s="1"/>
  <c r="U137" i="12"/>
  <c r="CC20" i="12" s="1"/>
  <c r="BU15" i="12"/>
  <c r="U118" i="12"/>
  <c r="BW15" i="12" s="1"/>
  <c r="BW25" i="12" s="1"/>
  <c r="T118" i="12"/>
  <c r="BV15" i="12" s="1"/>
  <c r="BI21" i="12"/>
  <c r="T96" i="12"/>
  <c r="BJ21" i="12" s="1"/>
  <c r="U96" i="12"/>
  <c r="BK21" i="12" s="1"/>
  <c r="BC16" i="12"/>
  <c r="T77" i="12"/>
  <c r="BD16" i="12" s="1"/>
  <c r="U77" i="12"/>
  <c r="BE16" i="12" s="1"/>
  <c r="Y19" i="12"/>
  <c r="U10" i="12"/>
  <c r="AA19" i="12" s="1"/>
  <c r="T10" i="12"/>
  <c r="Z19" i="12" s="1"/>
  <c r="AE16" i="12"/>
  <c r="U21" i="12"/>
  <c r="AG16" i="12" s="1"/>
  <c r="T21" i="12"/>
  <c r="AF16" i="12" s="1"/>
  <c r="AQ22" i="12"/>
  <c r="T55" i="12"/>
  <c r="AR22" i="12" s="1"/>
  <c r="U55" i="12"/>
  <c r="AS22" i="12" s="1"/>
  <c r="BC21" i="12"/>
  <c r="U82" i="12"/>
  <c r="BE21" i="12" s="1"/>
  <c r="T82" i="12"/>
  <c r="BD21" i="12" s="1"/>
  <c r="BO15" i="12"/>
  <c r="U104" i="12"/>
  <c r="BQ15" i="12" s="1"/>
  <c r="T104" i="12"/>
  <c r="BP15" i="12" s="1"/>
  <c r="CG18" i="12"/>
  <c r="U149" i="12"/>
  <c r="CI18" i="12" s="1"/>
  <c r="T149" i="12"/>
  <c r="CH18" i="12" s="1"/>
  <c r="T84" i="11"/>
  <c r="U84" i="11"/>
  <c r="AW14" i="11"/>
  <c r="T61" i="11"/>
  <c r="AX14" i="11" s="1"/>
  <c r="U61" i="11"/>
  <c r="AY14" i="11" s="1"/>
  <c r="AE23" i="11"/>
  <c r="T28" i="11"/>
  <c r="AF23" i="11" s="1"/>
  <c r="U28" i="11"/>
  <c r="AG23" i="11" s="1"/>
  <c r="Y18" i="11"/>
  <c r="T9" i="11"/>
  <c r="Z18" i="11" s="1"/>
  <c r="U9" i="11"/>
  <c r="AA18" i="11" s="1"/>
  <c r="CM15" i="10"/>
  <c r="T160" i="10"/>
  <c r="CN15" i="10" s="1"/>
  <c r="U160" i="10"/>
  <c r="CO15" i="10" s="1"/>
  <c r="CA17" i="10"/>
  <c r="U134" i="10"/>
  <c r="CC17" i="10" s="1"/>
  <c r="T134" i="10"/>
  <c r="CB17" i="10" s="1"/>
  <c r="T108" i="10"/>
  <c r="U108" i="10"/>
  <c r="T82" i="10"/>
  <c r="U82" i="10"/>
  <c r="U56" i="10"/>
  <c r="T56" i="10"/>
  <c r="U169" i="12"/>
  <c r="T169" i="12"/>
  <c r="CG19" i="12"/>
  <c r="T150" i="12"/>
  <c r="CH19" i="12" s="1"/>
  <c r="U150" i="12"/>
  <c r="CI19" i="12" s="1"/>
  <c r="CA14" i="12"/>
  <c r="T131" i="12"/>
  <c r="CB14" i="12" s="1"/>
  <c r="U131" i="12"/>
  <c r="CC14" i="12" s="1"/>
  <c r="CC25" i="12" s="1"/>
  <c r="BO20" i="12"/>
  <c r="T109" i="12"/>
  <c r="BP20" i="12" s="1"/>
  <c r="U109" i="12"/>
  <c r="BQ20" i="12" s="1"/>
  <c r="BI15" i="12"/>
  <c r="T90" i="12"/>
  <c r="BJ15" i="12" s="1"/>
  <c r="U90" i="12"/>
  <c r="BK15" i="12" s="1"/>
  <c r="AW21" i="12"/>
  <c r="T68" i="12"/>
  <c r="AX21" i="12" s="1"/>
  <c r="U68" i="12"/>
  <c r="AY21" i="12" s="1"/>
  <c r="AQ16" i="12"/>
  <c r="T49" i="12"/>
  <c r="AR16" i="12" s="1"/>
  <c r="U49" i="12"/>
  <c r="AS16" i="12" s="1"/>
  <c r="AE22" i="12"/>
  <c r="T27" i="12"/>
  <c r="AF22" i="12" s="1"/>
  <c r="U27" i="12"/>
  <c r="AG22" i="12" s="1"/>
  <c r="Y17" i="12"/>
  <c r="U8" i="12"/>
  <c r="AA17" i="12" s="1"/>
  <c r="T8" i="12"/>
  <c r="Z17" i="12" s="1"/>
  <c r="BC21" i="11"/>
  <c r="U82" i="11"/>
  <c r="BE21" i="11" s="1"/>
  <c r="T82" i="11"/>
  <c r="BD21" i="11" s="1"/>
  <c r="AW16" i="11"/>
  <c r="U63" i="11"/>
  <c r="AY16" i="11" s="1"/>
  <c r="T63" i="11"/>
  <c r="AX16" i="11" s="1"/>
  <c r="AK22" i="11"/>
  <c r="U41" i="11"/>
  <c r="AM22" i="11" s="1"/>
  <c r="T41" i="11"/>
  <c r="AL22" i="11" s="1"/>
  <c r="AE17" i="11"/>
  <c r="U22" i="11"/>
  <c r="AG17" i="11" s="1"/>
  <c r="T22" i="11"/>
  <c r="AF17" i="11" s="1"/>
  <c r="U155" i="10"/>
  <c r="T155" i="10"/>
  <c r="T125" i="10"/>
  <c r="U125" i="10"/>
  <c r="U95" i="10"/>
  <c r="T95" i="10"/>
  <c r="AW18" i="10"/>
  <c r="U65" i="10"/>
  <c r="AY18" i="10" s="1"/>
  <c r="T65" i="10"/>
  <c r="AX18" i="10" s="1"/>
  <c r="T39" i="10"/>
  <c r="U39" i="10"/>
  <c r="Y14" i="10"/>
  <c r="U5" i="10"/>
  <c r="AA14" i="10" s="1"/>
  <c r="T5" i="10"/>
  <c r="Z14" i="10" s="1"/>
  <c r="AQ14" i="9"/>
  <c r="U47" i="9"/>
  <c r="AS14" i="9" s="1"/>
  <c r="T47" i="9"/>
  <c r="AR14" i="9" s="1"/>
  <c r="T26" i="10"/>
  <c r="U26" i="10"/>
  <c r="U168" i="9"/>
  <c r="T168" i="9"/>
  <c r="T150" i="9"/>
  <c r="U150" i="9"/>
  <c r="T124" i="9"/>
  <c r="U124" i="9"/>
  <c r="BO16" i="9"/>
  <c r="U105" i="9"/>
  <c r="BQ16" i="9" s="1"/>
  <c r="T105" i="9"/>
  <c r="BP16" i="9" s="1"/>
  <c r="U79" i="9"/>
  <c r="T79" i="9"/>
  <c r="T53" i="9"/>
  <c r="U53" i="9"/>
  <c r="Y17" i="9"/>
  <c r="U8" i="9"/>
  <c r="AA17" i="9" s="1"/>
  <c r="T8" i="9"/>
  <c r="Z17" i="9" s="1"/>
  <c r="U150" i="8"/>
  <c r="T150" i="8"/>
  <c r="T124" i="8"/>
  <c r="U124" i="8"/>
  <c r="BO16" i="8"/>
  <c r="T105" i="8"/>
  <c r="BP16" i="8" s="1"/>
  <c r="U105" i="8"/>
  <c r="BQ16" i="8" s="1"/>
  <c r="U83" i="8"/>
  <c r="T83" i="8"/>
  <c r="T57" i="8"/>
  <c r="U57" i="8"/>
  <c r="T27" i="8"/>
  <c r="U27" i="8"/>
  <c r="U165" i="7"/>
  <c r="T165" i="7"/>
  <c r="CG15" i="7"/>
  <c r="T146" i="7"/>
  <c r="CH15" i="7" s="1"/>
  <c r="U146" i="7"/>
  <c r="CI15" i="7" s="1"/>
  <c r="U124" i="7"/>
  <c r="T124" i="7"/>
  <c r="BO16" i="7"/>
  <c r="U105" i="7"/>
  <c r="BQ16" i="7" s="1"/>
  <c r="T105" i="7"/>
  <c r="BP16" i="7" s="1"/>
  <c r="U83" i="7"/>
  <c r="T83" i="7"/>
  <c r="AW17" i="7"/>
  <c r="T64" i="7"/>
  <c r="AX17" i="7" s="1"/>
  <c r="U64" i="7"/>
  <c r="AY17" i="7" s="1"/>
  <c r="T42" i="7"/>
  <c r="U42" i="7"/>
  <c r="AE18" i="7"/>
  <c r="U23" i="7"/>
  <c r="AG18" i="7" s="1"/>
  <c r="T23" i="7"/>
  <c r="AF18" i="7" s="1"/>
  <c r="U169" i="6"/>
  <c r="T169" i="6"/>
  <c r="T139" i="6"/>
  <c r="U139" i="6"/>
  <c r="U98" i="6"/>
  <c r="T98" i="6"/>
  <c r="T57" i="6"/>
  <c r="U57" i="6"/>
  <c r="AK15" i="5"/>
  <c r="U34" i="5"/>
  <c r="AM15" i="5" s="1"/>
  <c r="T34" i="5"/>
  <c r="AL15" i="5" s="1"/>
  <c r="Y16" i="5"/>
  <c r="U7" i="5"/>
  <c r="AA16" i="5" s="1"/>
  <c r="T7" i="5"/>
  <c r="Z16" i="5" s="1"/>
  <c r="CG18" i="3"/>
  <c r="U149" i="3"/>
  <c r="CI18" i="3" s="1"/>
  <c r="T149" i="3"/>
  <c r="CH18" i="3" s="1"/>
  <c r="T112" i="3"/>
  <c r="U112" i="3"/>
  <c r="U82" i="3"/>
  <c r="T82" i="3"/>
  <c r="AW16" i="3"/>
  <c r="U63" i="3"/>
  <c r="AY16" i="3" s="1"/>
  <c r="T63" i="3"/>
  <c r="AX16" i="3" s="1"/>
  <c r="AK22" i="3"/>
  <c r="U41" i="3"/>
  <c r="AM22" i="3" s="1"/>
  <c r="T41" i="3"/>
  <c r="AL22" i="3" s="1"/>
  <c r="U168" i="2"/>
  <c r="T168" i="2"/>
  <c r="CA17" i="2"/>
  <c r="T134" i="2"/>
  <c r="CB17" i="2" s="1"/>
  <c r="U134" i="2"/>
  <c r="CC17" i="2" s="1"/>
  <c r="BO19" i="2"/>
  <c r="T108" i="2"/>
  <c r="BP19" i="2" s="1"/>
  <c r="U108" i="2"/>
  <c r="BQ19" i="2" s="1"/>
  <c r="BC21" i="2"/>
  <c r="T82" i="2"/>
  <c r="BD21" i="2" s="1"/>
  <c r="U82" i="2"/>
  <c r="BE21" i="2" s="1"/>
  <c r="AW16" i="2"/>
  <c r="T63" i="2"/>
  <c r="AX16" i="2" s="1"/>
  <c r="U63" i="2"/>
  <c r="AY16" i="2" s="1"/>
  <c r="AK20" i="2"/>
  <c r="U39" i="2"/>
  <c r="AM20" i="2" s="1"/>
  <c r="T39" i="2"/>
  <c r="AL20" i="2" s="1"/>
  <c r="Y15" i="9"/>
  <c r="T6" i="9"/>
  <c r="Z15" i="9" s="1"/>
  <c r="U6" i="9"/>
  <c r="AA15" i="9" s="1"/>
  <c r="AQ14" i="8"/>
  <c r="U47" i="8"/>
  <c r="AS14" i="8" s="1"/>
  <c r="T47" i="8"/>
  <c r="AR14" i="8" s="1"/>
  <c r="AW15" i="7"/>
  <c r="U62" i="7"/>
  <c r="AY15" i="7" s="1"/>
  <c r="T62" i="7"/>
  <c r="AX15" i="7" s="1"/>
  <c r="T152" i="6"/>
  <c r="U152" i="6"/>
  <c r="T126" i="6"/>
  <c r="U126" i="6"/>
  <c r="T85" i="6"/>
  <c r="U85" i="6"/>
  <c r="T55" i="6"/>
  <c r="U55" i="6"/>
  <c r="AK17" i="6"/>
  <c r="T36" i="6"/>
  <c r="AL17" i="6" s="1"/>
  <c r="U36" i="6"/>
  <c r="AM17" i="6" s="1"/>
  <c r="Y18" i="6"/>
  <c r="U9" i="6"/>
  <c r="AA18" i="6" s="1"/>
  <c r="T9" i="6"/>
  <c r="Z18" i="6" s="1"/>
  <c r="U155" i="5"/>
  <c r="T155" i="5"/>
  <c r="U136" i="5"/>
  <c r="T136" i="5"/>
  <c r="U110" i="5"/>
  <c r="T110" i="5"/>
  <c r="BI16" i="5"/>
  <c r="U91" i="5"/>
  <c r="BK16" i="5" s="1"/>
  <c r="T91" i="5"/>
  <c r="BJ16" i="5" s="1"/>
  <c r="T69" i="5"/>
  <c r="U69" i="5"/>
  <c r="AQ20" i="5"/>
  <c r="U53" i="5"/>
  <c r="AS20" i="5" s="1"/>
  <c r="T53" i="5"/>
  <c r="AR20" i="5" s="1"/>
  <c r="Y18" i="5"/>
  <c r="T9" i="5"/>
  <c r="Z18" i="5" s="1"/>
  <c r="U9" i="5"/>
  <c r="AA18" i="5" s="1"/>
  <c r="U151" i="3"/>
  <c r="T151" i="3"/>
  <c r="BU14" i="3"/>
  <c r="T117" i="3"/>
  <c r="BV14" i="3" s="1"/>
  <c r="U117" i="3"/>
  <c r="BW14" i="3" s="1"/>
  <c r="BI16" i="3"/>
  <c r="U91" i="3"/>
  <c r="BK16" i="3" s="1"/>
  <c r="T91" i="3"/>
  <c r="BJ16" i="3" s="1"/>
  <c r="CA19" i="2"/>
  <c r="U136" i="2"/>
  <c r="CC19" i="2" s="1"/>
  <c r="T136" i="2"/>
  <c r="CB19" i="2" s="1"/>
  <c r="BO17" i="2"/>
  <c r="T106" i="2"/>
  <c r="BP17" i="2" s="1"/>
  <c r="U106" i="2"/>
  <c r="BQ17" i="2" s="1"/>
  <c r="AQ21" i="2"/>
  <c r="T54" i="2"/>
  <c r="AR21" i="2" s="1"/>
  <c r="U54" i="2"/>
  <c r="AS21" i="2" s="1"/>
  <c r="AE17" i="2"/>
  <c r="T22" i="2"/>
  <c r="AF17" i="2" s="1"/>
  <c r="U22" i="2"/>
  <c r="AG17" i="2" s="1"/>
  <c r="Y20" i="12"/>
  <c r="U11" i="12"/>
  <c r="AA20" i="12" s="1"/>
  <c r="T11" i="12"/>
  <c r="Z20" i="12" s="1"/>
  <c r="AQ19" i="12"/>
  <c r="U52" i="12"/>
  <c r="AS19" i="12" s="1"/>
  <c r="T52" i="12"/>
  <c r="AR19" i="12" s="1"/>
  <c r="BU20" i="12"/>
  <c r="U123" i="12"/>
  <c r="BW20" i="12" s="1"/>
  <c r="T123" i="12"/>
  <c r="BV20" i="12" s="1"/>
  <c r="T54" i="1"/>
  <c r="AR21" i="1" s="1"/>
  <c r="U43" i="1"/>
  <c r="AM24" i="1" s="1"/>
  <c r="T24" i="1"/>
  <c r="AF19" i="1" s="1"/>
  <c r="U150" i="1"/>
  <c r="CI19" i="1" s="1"/>
  <c r="T120" i="1"/>
  <c r="BV17" i="1" s="1"/>
  <c r="T109" i="1"/>
  <c r="BP20" i="1" s="1"/>
  <c r="U94" i="1"/>
  <c r="BK19" i="1" s="1"/>
  <c r="U83" i="1"/>
  <c r="BE22" i="1" s="1"/>
  <c r="T69" i="1"/>
  <c r="AX22" i="1" s="1"/>
  <c r="U35" i="1"/>
  <c r="AM16" i="1" s="1"/>
  <c r="CP18" i="12"/>
  <c r="CJ21" i="12"/>
  <c r="CD24" i="12"/>
  <c r="CD16" i="12"/>
  <c r="BX19" i="12"/>
  <c r="BR22" i="12"/>
  <c r="BR14" i="12"/>
  <c r="BL17" i="12"/>
  <c r="BF20" i="12"/>
  <c r="AZ23" i="12"/>
  <c r="AZ15" i="12"/>
  <c r="AT18" i="12"/>
  <c r="AN21" i="12"/>
  <c r="AH24" i="12"/>
  <c r="AH16" i="12"/>
  <c r="AB19" i="12"/>
  <c r="BL17" i="11"/>
  <c r="BF17" i="11"/>
  <c r="AZ16" i="11"/>
  <c r="AT19" i="11"/>
  <c r="AN22" i="11"/>
  <c r="AN14" i="11"/>
  <c r="AH17" i="11"/>
  <c r="AB20" i="11"/>
  <c r="CP17" i="10"/>
  <c r="CD15" i="10"/>
  <c r="BR17" i="10"/>
  <c r="BF15" i="10"/>
  <c r="AZ14" i="10"/>
  <c r="AN16" i="10"/>
  <c r="AH15" i="10"/>
  <c r="AB18" i="10"/>
  <c r="CP14" i="9"/>
  <c r="CD16" i="9"/>
  <c r="BR14" i="9"/>
  <c r="BF16" i="9"/>
  <c r="AT18" i="9"/>
  <c r="AN17" i="9"/>
  <c r="AH16" i="9"/>
  <c r="AB15" i="9"/>
  <c r="CJ17" i="8"/>
  <c r="BX15" i="8"/>
  <c r="BL17" i="8"/>
  <c r="AZ15" i="8"/>
  <c r="AT14" i="8"/>
  <c r="AH16" i="8"/>
  <c r="CP15" i="7"/>
  <c r="T140" i="7"/>
  <c r="U140" i="7"/>
  <c r="U125" i="7"/>
  <c r="T125" i="7"/>
  <c r="BU14" i="7"/>
  <c r="T117" i="7"/>
  <c r="BV14" i="7" s="1"/>
  <c r="U117" i="7"/>
  <c r="BW14" i="7" s="1"/>
  <c r="BR15" i="7"/>
  <c r="AW18" i="7"/>
  <c r="T65" i="7"/>
  <c r="AX18" i="7" s="1"/>
  <c r="U65" i="7"/>
  <c r="AY18" i="7" s="1"/>
  <c r="AQ17" i="7"/>
  <c r="U50" i="7"/>
  <c r="AS17" i="7" s="1"/>
  <c r="T50" i="7"/>
  <c r="AR17" i="7" s="1"/>
  <c r="T39" i="7"/>
  <c r="U39" i="7"/>
  <c r="AH17" i="7"/>
  <c r="Y18" i="7"/>
  <c r="U9" i="7"/>
  <c r="AA18" i="7" s="1"/>
  <c r="T9" i="7"/>
  <c r="Z18" i="7" s="1"/>
  <c r="T163" i="6"/>
  <c r="U163" i="6"/>
  <c r="CJ15" i="6"/>
  <c r="CD14" i="6"/>
  <c r="BR16" i="6"/>
  <c r="BF18" i="6"/>
  <c r="AZ17" i="6"/>
  <c r="AN19" i="6"/>
  <c r="AH18" i="6"/>
  <c r="AB17" i="6"/>
  <c r="T126" i="5"/>
  <c r="U126" i="5"/>
  <c r="BU15" i="5"/>
  <c r="U118" i="5"/>
  <c r="BW15" i="5" s="1"/>
  <c r="T118" i="5"/>
  <c r="BV15" i="5" s="1"/>
  <c r="BR16" i="5"/>
  <c r="BL19" i="5"/>
  <c r="U81" i="5"/>
  <c r="T81" i="5"/>
  <c r="U55" i="5"/>
  <c r="T55" i="5"/>
  <c r="AQ17" i="5"/>
  <c r="T50" i="5"/>
  <c r="AR17" i="5" s="1"/>
  <c r="U50" i="5"/>
  <c r="AS17" i="5" s="1"/>
  <c r="AH15" i="5"/>
  <c r="AB17" i="5"/>
  <c r="CJ15" i="3"/>
  <c r="CD14" i="3"/>
  <c r="BR16" i="3"/>
  <c r="BL15" i="3"/>
  <c r="BF14" i="3"/>
  <c r="AZ17" i="3"/>
  <c r="AT20" i="3"/>
  <c r="AQ14" i="3"/>
  <c r="T47" i="3"/>
  <c r="AR14" i="3" s="1"/>
  <c r="U47" i="3"/>
  <c r="AS14" i="3" s="1"/>
  <c r="AK17" i="3"/>
  <c r="T36" i="3"/>
  <c r="AL17" i="3" s="1"/>
  <c r="U36" i="3"/>
  <c r="AM17" i="3" s="1"/>
  <c r="AE16" i="3"/>
  <c r="T21" i="3"/>
  <c r="AF16" i="3" s="1"/>
  <c r="U21" i="3"/>
  <c r="AG16" i="3" s="1"/>
  <c r="AB21" i="3"/>
  <c r="CP16" i="2"/>
  <c r="CJ15" i="2"/>
  <c r="CD14" i="2"/>
  <c r="BX17" i="2"/>
  <c r="BL15" i="2"/>
  <c r="AZ21" i="2"/>
  <c r="AQ22" i="2"/>
  <c r="U55" i="2"/>
  <c r="AS22" i="2" s="1"/>
  <c r="T55" i="2"/>
  <c r="AR22" i="2" s="1"/>
  <c r="AK15" i="2"/>
  <c r="T34" i="2"/>
  <c r="AL15" i="2" s="1"/>
  <c r="U34" i="2"/>
  <c r="AM15" i="2" s="1"/>
  <c r="AE18" i="2"/>
  <c r="T23" i="2"/>
  <c r="AF18" i="2" s="1"/>
  <c r="U23" i="2"/>
  <c r="AG18" i="2" s="1"/>
  <c r="AB19" i="2"/>
  <c r="CP22" i="1"/>
  <c r="CP14" i="1"/>
  <c r="BX15" i="1"/>
  <c r="BL21" i="1"/>
  <c r="AN22" i="1"/>
  <c r="AH17" i="1"/>
  <c r="U26" i="6"/>
  <c r="T26" i="6"/>
  <c r="AH15" i="6"/>
  <c r="AB14" i="6"/>
  <c r="CJ16" i="5"/>
  <c r="T28" i="5"/>
  <c r="U28" i="5"/>
  <c r="CJ16" i="3"/>
  <c r="CD15" i="3"/>
  <c r="BX14" i="3"/>
  <c r="BL20" i="3"/>
  <c r="BF19" i="3"/>
  <c r="AZ14" i="3"/>
  <c r="AN20" i="3"/>
  <c r="AH19" i="3"/>
  <c r="AB22" i="3"/>
  <c r="AB14" i="3"/>
  <c r="CJ16" i="2"/>
  <c r="CD15" i="2"/>
  <c r="BX14" i="2"/>
  <c r="BR17" i="2"/>
  <c r="BL16" i="2"/>
  <c r="BF15" i="2"/>
  <c r="AZ14" i="2"/>
  <c r="AT17" i="2"/>
  <c r="AN14" i="2"/>
  <c r="AH17" i="2"/>
  <c r="AB16" i="2"/>
  <c r="AT22" i="2"/>
  <c r="AN15" i="2"/>
  <c r="AH18" i="2"/>
  <c r="AB15" i="11"/>
  <c r="BX17" i="10"/>
  <c r="BL15" i="10"/>
  <c r="BF14" i="10"/>
  <c r="BL16" i="9"/>
  <c r="AB18" i="9"/>
  <c r="AB15" i="8"/>
  <c r="CD16" i="7"/>
  <c r="BL17" i="7"/>
  <c r="AZ15" i="7"/>
  <c r="AT14" i="7"/>
  <c r="AH16" i="7"/>
  <c r="AB15" i="7"/>
  <c r="BR15" i="6"/>
  <c r="AZ16" i="6"/>
  <c r="AT15" i="6"/>
  <c r="CJ20" i="1"/>
  <c r="CD23" i="1"/>
  <c r="BR21" i="1"/>
  <c r="BL20" i="1"/>
  <c r="BF15" i="1"/>
  <c r="AT22" i="1"/>
  <c r="AN21" i="1"/>
  <c r="AH20" i="1"/>
  <c r="AB22" i="1"/>
  <c r="CP19" i="12"/>
  <c r="CJ14" i="12"/>
  <c r="BX20" i="12"/>
  <c r="BR15" i="12"/>
  <c r="BF21" i="12"/>
  <c r="AB16" i="12"/>
  <c r="AN23" i="11"/>
  <c r="AN15" i="11"/>
  <c r="CJ14" i="8"/>
  <c r="AH18" i="7"/>
  <c r="CD15" i="5"/>
  <c r="BX14" i="5"/>
  <c r="BL16" i="5"/>
  <c r="AZ18" i="5"/>
  <c r="AT21" i="3"/>
  <c r="CD16" i="2"/>
  <c r="BR18" i="2"/>
  <c r="CJ15" i="1"/>
  <c r="BX17" i="1"/>
  <c r="BF22" i="1"/>
  <c r="AZ22" i="1"/>
  <c r="AH19" i="1"/>
  <c r="AZ16" i="5"/>
  <c r="CP21" i="1"/>
  <c r="BF23" i="1"/>
  <c r="AT14" i="1"/>
  <c r="Y20" i="8"/>
  <c r="U11" i="8"/>
  <c r="AA20" i="8" s="1"/>
  <c r="T11" i="8"/>
  <c r="Z20" i="8" s="1"/>
  <c r="CG18" i="7"/>
  <c r="T149" i="7"/>
  <c r="CH18" i="7" s="1"/>
  <c r="U149" i="7"/>
  <c r="CI18" i="7" s="1"/>
  <c r="CA17" i="7"/>
  <c r="U134" i="7"/>
  <c r="CC17" i="7" s="1"/>
  <c r="T134" i="7"/>
  <c r="CB17" i="7" s="1"/>
  <c r="U123" i="7"/>
  <c r="T123" i="7"/>
  <c r="U93" i="7"/>
  <c r="T93" i="7"/>
  <c r="U82" i="7"/>
  <c r="T82" i="7"/>
  <c r="AZ14" i="7"/>
  <c r="AT17" i="7"/>
  <c r="AN16" i="7"/>
  <c r="AE14" i="6"/>
  <c r="U19" i="6"/>
  <c r="AG14" i="6" s="1"/>
  <c r="T19" i="6"/>
  <c r="AF14" i="6" s="1"/>
  <c r="AB15" i="6"/>
  <c r="U98" i="5"/>
  <c r="T98" i="5"/>
  <c r="U83" i="5"/>
  <c r="T83" i="5"/>
  <c r="AZ15" i="5"/>
  <c r="AB20" i="5"/>
  <c r="AB21" i="2"/>
  <c r="CP16" i="10"/>
  <c r="CP17" i="9"/>
  <c r="BF15" i="9"/>
  <c r="CP17" i="8"/>
  <c r="CD15" i="8"/>
  <c r="BX15" i="7"/>
  <c r="CD19" i="1"/>
  <c r="BX14" i="1"/>
  <c r="AZ15" i="1"/>
  <c r="CP15" i="6"/>
  <c r="Q160" i="6"/>
  <c r="S160" i="6" s="1"/>
  <c r="S29" i="1"/>
  <c r="AE24" i="1" s="1"/>
  <c r="T6" i="1"/>
  <c r="Z15" i="1" s="1"/>
  <c r="U6" i="1"/>
  <c r="AA15" i="1" s="1"/>
  <c r="T8" i="1"/>
  <c r="Z17" i="1" s="1"/>
  <c r="U8" i="1"/>
  <c r="AA17" i="1" s="1"/>
  <c r="U15" i="1"/>
  <c r="AA24" i="1" s="1"/>
  <c r="T15" i="1"/>
  <c r="Z24" i="1" s="1"/>
  <c r="T23" i="1"/>
  <c r="AF18" i="1" s="1"/>
  <c r="U23" i="1"/>
  <c r="AG18" i="1" s="1"/>
  <c r="T25" i="1"/>
  <c r="AF20" i="1" s="1"/>
  <c r="U25" i="1"/>
  <c r="AG20" i="1" s="1"/>
  <c r="U33" i="1"/>
  <c r="AM14" i="1" s="1"/>
  <c r="T33" i="1"/>
  <c r="AL14" i="1" s="1"/>
  <c r="T49" i="1"/>
  <c r="AR16" i="1" s="1"/>
  <c r="U49" i="1"/>
  <c r="AS16" i="1" s="1"/>
  <c r="T53" i="1"/>
  <c r="AR20" i="1" s="1"/>
  <c r="U53" i="1"/>
  <c r="AS20" i="1" s="1"/>
  <c r="U61" i="1"/>
  <c r="AY14" i="1" s="1"/>
  <c r="T61" i="1"/>
  <c r="AX14" i="1" s="1"/>
  <c r="U67" i="1"/>
  <c r="AY20" i="1" s="1"/>
  <c r="T67" i="1"/>
  <c r="AX20" i="1" s="1"/>
  <c r="U80" i="1"/>
  <c r="BE19" i="1" s="1"/>
  <c r="T80" i="1"/>
  <c r="BD19" i="1" s="1"/>
  <c r="U82" i="1"/>
  <c r="BE21" i="1" s="1"/>
  <c r="T82" i="1"/>
  <c r="BD21" i="1" s="1"/>
  <c r="U93" i="1"/>
  <c r="BK18" i="1" s="1"/>
  <c r="T93" i="1"/>
  <c r="BJ18" i="1" s="1"/>
  <c r="T103" i="1"/>
  <c r="BP14" i="1" s="1"/>
  <c r="U103" i="1"/>
  <c r="BQ14" i="1" s="1"/>
  <c r="U111" i="1"/>
  <c r="BQ22" i="1" s="1"/>
  <c r="T111" i="1"/>
  <c r="BP22" i="1" s="1"/>
  <c r="U122" i="1"/>
  <c r="BW19" i="1" s="1"/>
  <c r="T122" i="1"/>
  <c r="BV19" i="1" s="1"/>
  <c r="U127" i="1"/>
  <c r="T127" i="1"/>
  <c r="U136" i="1"/>
  <c r="CC19" i="1" s="1"/>
  <c r="T136" i="1"/>
  <c r="CB19" i="1" s="1"/>
  <c r="U145" i="1"/>
  <c r="CI14" i="1" s="1"/>
  <c r="T145" i="1"/>
  <c r="CH14" i="1" s="1"/>
  <c r="T148" i="1"/>
  <c r="CH17" i="1" s="1"/>
  <c r="U148" i="1"/>
  <c r="CI17" i="1" s="1"/>
  <c r="U151" i="1"/>
  <c r="CI20" i="1" s="1"/>
  <c r="T151" i="1"/>
  <c r="CH20" i="1" s="1"/>
  <c r="U160" i="1"/>
  <c r="CO15" i="1" s="1"/>
  <c r="T160" i="1"/>
  <c r="CN15" i="1" s="1"/>
  <c r="T163" i="1"/>
  <c r="CN18" i="1" s="1"/>
  <c r="U163" i="1"/>
  <c r="CO18" i="1" s="1"/>
  <c r="T165" i="1"/>
  <c r="CN20" i="1" s="1"/>
  <c r="U165" i="1"/>
  <c r="CO20" i="1" s="1"/>
  <c r="T167" i="1"/>
  <c r="CN22" i="1" s="1"/>
  <c r="U167" i="1"/>
  <c r="CO22" i="1" s="1"/>
  <c r="U155" i="1"/>
  <c r="T155" i="1"/>
  <c r="T125" i="1"/>
  <c r="BV22" i="1" s="1"/>
  <c r="U125" i="1"/>
  <c r="BW22" i="1" s="1"/>
  <c r="T117" i="1"/>
  <c r="BV14" i="1" s="1"/>
  <c r="U117" i="1"/>
  <c r="BW14" i="1" s="1"/>
  <c r="BW25" i="1" s="1"/>
  <c r="U106" i="1"/>
  <c r="BQ17" i="1" s="1"/>
  <c r="T106" i="1"/>
  <c r="BP17" i="1" s="1"/>
  <c r="U153" i="1"/>
  <c r="CI22" i="1" s="1"/>
  <c r="T153" i="1"/>
  <c r="CH22" i="1" s="1"/>
  <c r="T119" i="1"/>
  <c r="BV16" i="1" s="1"/>
  <c r="U119" i="1"/>
  <c r="BW16" i="1" s="1"/>
  <c r="T108" i="1"/>
  <c r="BP19" i="1" s="1"/>
  <c r="U108" i="1"/>
  <c r="BQ19" i="1" s="1"/>
  <c r="U89" i="1"/>
  <c r="BK14" i="1" s="1"/>
  <c r="T89" i="1"/>
  <c r="BJ14" i="1" s="1"/>
  <c r="T48" i="1"/>
  <c r="AR15" i="1" s="1"/>
  <c r="U48" i="1"/>
  <c r="AS15" i="1" s="1"/>
  <c r="T37" i="1"/>
  <c r="AL18" i="1" s="1"/>
  <c r="U37" i="1"/>
  <c r="AM18" i="1" s="1"/>
  <c r="T85" i="1"/>
  <c r="U85" i="1"/>
  <c r="T10" i="1"/>
  <c r="Z19" i="1" s="1"/>
  <c r="U10" i="1"/>
  <c r="AA19" i="1" s="1"/>
  <c r="U95" i="1"/>
  <c r="BK20" i="1" s="1"/>
  <c r="T95" i="1"/>
  <c r="BJ20" i="1" s="1"/>
  <c r="U76" i="1"/>
  <c r="BE15" i="1" s="1"/>
  <c r="T76" i="1"/>
  <c r="BD15" i="1" s="1"/>
  <c r="T68" i="1"/>
  <c r="AX21" i="1" s="1"/>
  <c r="U68" i="1"/>
  <c r="AY21" i="1" s="1"/>
  <c r="T64" i="1"/>
  <c r="AX17" i="1" s="1"/>
  <c r="U64" i="1"/>
  <c r="AY17" i="1" s="1"/>
  <c r="T57" i="1"/>
  <c r="U57" i="1"/>
  <c r="T51" i="1"/>
  <c r="AR18" i="1" s="1"/>
  <c r="U51" i="1"/>
  <c r="AS18" i="1" s="1"/>
  <c r="U42" i="1"/>
  <c r="AM23" i="1" s="1"/>
  <c r="T42" i="1"/>
  <c r="AL23" i="1" s="1"/>
  <c r="U36" i="1"/>
  <c r="AM17" i="1" s="1"/>
  <c r="T36" i="1"/>
  <c r="AL17" i="1" s="1"/>
  <c r="U9" i="1"/>
  <c r="AA18" i="1" s="1"/>
  <c r="T9" i="1"/>
  <c r="Z18" i="1" s="1"/>
  <c r="T5" i="1"/>
  <c r="Z14" i="1" s="1"/>
  <c r="U5" i="1"/>
  <c r="AA14" i="1" s="1"/>
  <c r="U7" i="1"/>
  <c r="AA16" i="1" s="1"/>
  <c r="T7" i="1"/>
  <c r="Z16" i="1" s="1"/>
  <c r="U13" i="1"/>
  <c r="AA22" i="1" s="1"/>
  <c r="T13" i="1"/>
  <c r="Z22" i="1" s="1"/>
  <c r="T27" i="1"/>
  <c r="AF22" i="1" s="1"/>
  <c r="U27" i="1"/>
  <c r="AG22" i="1" s="1"/>
  <c r="T19" i="1"/>
  <c r="AF14" i="1" s="1"/>
  <c r="U19" i="1"/>
  <c r="AG14" i="1" s="1"/>
  <c r="U22" i="1"/>
  <c r="AG17" i="1" s="1"/>
  <c r="T22" i="1"/>
  <c r="AF17" i="1" s="1"/>
  <c r="U26" i="1"/>
  <c r="AG21" i="1" s="1"/>
  <c r="T26" i="1"/>
  <c r="AF21" i="1" s="1"/>
  <c r="U40" i="1"/>
  <c r="AM21" i="1" s="1"/>
  <c r="T40" i="1"/>
  <c r="AL21" i="1" s="1"/>
  <c r="U52" i="1"/>
  <c r="AS19" i="1" s="1"/>
  <c r="T52" i="1"/>
  <c r="AR19" i="1" s="1"/>
  <c r="U56" i="1"/>
  <c r="AS23" i="1" s="1"/>
  <c r="T56" i="1"/>
  <c r="AR23" i="1" s="1"/>
  <c r="U63" i="1"/>
  <c r="AY16" i="1" s="1"/>
  <c r="T63" i="1"/>
  <c r="AX16" i="1" s="1"/>
  <c r="T77" i="1"/>
  <c r="BD16" i="1" s="1"/>
  <c r="U77" i="1"/>
  <c r="BE16" i="1" s="1"/>
  <c r="T81" i="1"/>
  <c r="BD20" i="1" s="1"/>
  <c r="U81" i="1"/>
  <c r="BE20" i="1" s="1"/>
  <c r="U91" i="1"/>
  <c r="BK16" i="1" s="1"/>
  <c r="T91" i="1"/>
  <c r="BJ16" i="1" s="1"/>
  <c r="T96" i="1"/>
  <c r="BJ21" i="1" s="1"/>
  <c r="U96" i="1"/>
  <c r="BK21" i="1" s="1"/>
  <c r="U104" i="1"/>
  <c r="BQ15" i="1" s="1"/>
  <c r="T104" i="1"/>
  <c r="BP15" i="1" s="1"/>
  <c r="U118" i="1"/>
  <c r="BW15" i="1" s="1"/>
  <c r="T118" i="1"/>
  <c r="BV15" i="1" s="1"/>
  <c r="T123" i="1"/>
  <c r="BV20" i="1" s="1"/>
  <c r="U123" i="1"/>
  <c r="BW20" i="1" s="1"/>
  <c r="U132" i="1"/>
  <c r="CC15" i="1" s="1"/>
  <c r="T132" i="1"/>
  <c r="CB15" i="1" s="1"/>
  <c r="U138" i="1"/>
  <c r="CC21" i="1" s="1"/>
  <c r="T138" i="1"/>
  <c r="CB21" i="1" s="1"/>
  <c r="U147" i="1"/>
  <c r="CI16" i="1" s="1"/>
  <c r="T147" i="1"/>
  <c r="CH16" i="1" s="1"/>
  <c r="U149" i="1"/>
  <c r="CI18" i="1" s="1"/>
  <c r="T149" i="1"/>
  <c r="CH18" i="1" s="1"/>
  <c r="T152" i="1"/>
  <c r="CH21" i="1" s="1"/>
  <c r="U152" i="1"/>
  <c r="CI21" i="1" s="1"/>
  <c r="T161" i="1"/>
  <c r="CN16" i="1" s="1"/>
  <c r="U161" i="1"/>
  <c r="CO16" i="1" s="1"/>
  <c r="U164" i="1"/>
  <c r="CO19" i="1" s="1"/>
  <c r="T164" i="1"/>
  <c r="CN19" i="1" s="1"/>
  <c r="U166" i="1"/>
  <c r="CO21" i="1" s="1"/>
  <c r="T166" i="1"/>
  <c r="CN21" i="1" s="1"/>
  <c r="T159" i="1"/>
  <c r="CN14" i="1" s="1"/>
  <c r="U159" i="1"/>
  <c r="CO14" i="1" s="1"/>
  <c r="U140" i="1"/>
  <c r="CC23" i="1" s="1"/>
  <c r="T140" i="1"/>
  <c r="CB23" i="1" s="1"/>
  <c r="T121" i="1"/>
  <c r="BV18" i="1" s="1"/>
  <c r="U121" i="1"/>
  <c r="BW18" i="1" s="1"/>
  <c r="T110" i="1"/>
  <c r="BP21" i="1" s="1"/>
  <c r="U110" i="1"/>
  <c r="BQ21" i="1" s="1"/>
  <c r="U99" i="1"/>
  <c r="T99" i="1"/>
  <c r="U134" i="1"/>
  <c r="CC17" i="1" s="1"/>
  <c r="T134" i="1"/>
  <c r="CB17" i="1" s="1"/>
  <c r="T112" i="1"/>
  <c r="BP23" i="1" s="1"/>
  <c r="U112" i="1"/>
  <c r="BQ23" i="1" s="1"/>
  <c r="U97" i="1"/>
  <c r="BK22" i="1" s="1"/>
  <c r="T97" i="1"/>
  <c r="BJ22" i="1" s="1"/>
  <c r="U78" i="1"/>
  <c r="BE17" i="1" s="1"/>
  <c r="T78" i="1"/>
  <c r="BD17" i="1" s="1"/>
  <c r="T41" i="1"/>
  <c r="AL22" i="1" s="1"/>
  <c r="U41" i="1"/>
  <c r="AM22" i="1" s="1"/>
  <c r="T12" i="1"/>
  <c r="Z21" i="1" s="1"/>
  <c r="U12" i="1"/>
  <c r="AA21" i="1" s="1"/>
  <c r="T92" i="1"/>
  <c r="BJ17" i="1" s="1"/>
  <c r="U92" i="1"/>
  <c r="BK17" i="1" s="1"/>
  <c r="U11" i="1"/>
  <c r="AA20" i="1" s="1"/>
  <c r="T11" i="1"/>
  <c r="Z20" i="1" s="1"/>
  <c r="U84" i="1"/>
  <c r="BE23" i="1" s="1"/>
  <c r="T84" i="1"/>
  <c r="BD23" i="1" s="1"/>
  <c r="T70" i="1"/>
  <c r="AX23" i="1" s="1"/>
  <c r="U70" i="1"/>
  <c r="AY23" i="1" s="1"/>
  <c r="T66" i="1"/>
  <c r="AX19" i="1" s="1"/>
  <c r="U66" i="1"/>
  <c r="AY19" i="1" s="1"/>
  <c r="T62" i="1"/>
  <c r="AX15" i="1" s="1"/>
  <c r="U62" i="1"/>
  <c r="AY15" i="1" s="1"/>
  <c r="T55" i="1"/>
  <c r="AR22" i="1" s="1"/>
  <c r="U55" i="1"/>
  <c r="AS22" i="1" s="1"/>
  <c r="U47" i="1"/>
  <c r="AS14" i="1" s="1"/>
  <c r="T47" i="1"/>
  <c r="AR14" i="1" s="1"/>
  <c r="U38" i="1"/>
  <c r="AM19" i="1" s="1"/>
  <c r="T38" i="1"/>
  <c r="AL19" i="1" s="1"/>
  <c r="U34" i="1"/>
  <c r="AM15" i="1" s="1"/>
  <c r="T34" i="1"/>
  <c r="AL15" i="1" s="1"/>
  <c r="T21" i="1"/>
  <c r="AF16" i="1" s="1"/>
  <c r="U21" i="1"/>
  <c r="AG16" i="1" s="1"/>
  <c r="U162" i="1"/>
  <c r="CO17" i="1" s="1"/>
  <c r="T162" i="1"/>
  <c r="CN17" i="1" s="1"/>
  <c r="U168" i="1"/>
  <c r="T168" i="1"/>
  <c r="T169" i="1"/>
  <c r="U169" i="1"/>
  <c r="BE25" i="1" l="1"/>
  <c r="BK25" i="1"/>
  <c r="AY25" i="1"/>
  <c r="AM25" i="12"/>
  <c r="AA25" i="1"/>
  <c r="CI25" i="12"/>
  <c r="AG25" i="12"/>
  <c r="AS25" i="1"/>
  <c r="CO25" i="12"/>
  <c r="CI25" i="1"/>
  <c r="AS25" i="12"/>
  <c r="BK25" i="12"/>
  <c r="BQ25" i="1"/>
  <c r="BE25" i="12"/>
  <c r="CO25" i="1"/>
  <c r="T29" i="1"/>
  <c r="AF24" i="1" s="1"/>
  <c r="AM25" i="1"/>
  <c r="BQ25" i="12"/>
  <c r="CC25" i="1"/>
  <c r="U29" i="1"/>
  <c r="AG24" i="1" s="1"/>
  <c r="AG25" i="1" s="1"/>
  <c r="CM15" i="6"/>
  <c r="U160" i="6"/>
  <c r="CO15" i="6" s="1"/>
  <c r="T160" i="6"/>
  <c r="CN15" i="6" s="1"/>
</calcChain>
</file>

<file path=xl/sharedStrings.xml><?xml version="1.0" encoding="utf-8"?>
<sst xmlns="http://schemas.openxmlformats.org/spreadsheetml/2006/main" count="7793" uniqueCount="69">
  <si>
    <t>Gylis, um</t>
  </si>
  <si>
    <t>Gylis, A</t>
  </si>
  <si>
    <t>Ref, A</t>
  </si>
  <si>
    <t>Ref, um</t>
  </si>
  <si>
    <t>GylisT, um</t>
  </si>
  <si>
    <t>Ra, A</t>
  </si>
  <si>
    <t>Ra, um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</si>
  <si>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</si>
  <si>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</si>
  <si>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</si>
  <si>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</si>
  <si>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</si>
  <si>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</si>
  <si>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</si>
  <si>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</si>
  <si>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</si>
  <si>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P15</t>
  </si>
  <si>
    <t>P20</t>
  </si>
  <si>
    <t>P25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</si>
  <si>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</si>
  <si>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</si>
  <si>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</si>
  <si>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</si>
  <si>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</si>
  <si>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</si>
  <si>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</si>
  <si>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</si>
  <si>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</si>
  <si>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f, mm</t>
  </si>
  <si>
    <t>Wavelenght nm</t>
  </si>
  <si>
    <t>Pharos burst</t>
  </si>
  <si>
    <t>P</t>
  </si>
  <si>
    <t>P=</t>
  </si>
  <si>
    <t>4,88 GHz</t>
  </si>
  <si>
    <t>205 ps</t>
  </si>
  <si>
    <t>N=</t>
  </si>
  <si>
    <t>15,46 ns</t>
  </si>
  <si>
    <t>Speed, mm/s</t>
  </si>
  <si>
    <t>Power, W</t>
  </si>
  <si>
    <t>Pulse rep</t>
  </si>
  <si>
    <t>hatch, m</t>
  </si>
  <si>
    <t>N</t>
  </si>
  <si>
    <r>
      <rPr>
        <b/>
        <i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charset val="186"/>
        <scheme val="minor"/>
      </rPr>
      <t>, mm</t>
    </r>
  </si>
  <si>
    <r>
      <rPr>
        <b/>
        <i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charset val="186"/>
        <scheme val="minor"/>
      </rPr>
      <t>, mm</t>
    </r>
  </si>
  <si>
    <r>
      <rPr>
        <b/>
        <i/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charset val="186"/>
        <scheme val="minor"/>
      </rPr>
      <t>, J/cm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</si>
  <si>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b/>
        <i/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  <scheme val="minor"/>
      </rPr>
      <t>scan</t>
    </r>
  </si>
  <si>
    <t>μ</t>
  </si>
  <si>
    <r>
      <rPr>
        <b/>
        <i/>
        <sz val="11"/>
        <color theme="1"/>
        <rFont val="Calibri"/>
        <family val="2"/>
        <scheme val="minor"/>
      </rPr>
      <t>w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charset val="186"/>
        <scheme val="minor"/>
      </rPr>
      <t>, μm</t>
    </r>
  </si>
  <si>
    <r>
      <rPr>
        <b/>
        <i/>
        <sz val="11"/>
        <color theme="1"/>
        <rFont val="Calibri"/>
        <family val="2"/>
        <scheme val="minor"/>
      </rPr>
      <t>Gylis</t>
    </r>
    <r>
      <rPr>
        <sz val="11"/>
        <color theme="1"/>
        <rFont val="Calibri"/>
        <family val="2"/>
        <charset val="186"/>
        <scheme val="minor"/>
      </rPr>
      <t>, μm</t>
    </r>
  </si>
  <si>
    <r>
      <rPr>
        <b/>
        <i/>
        <sz val="11"/>
        <color theme="1"/>
        <rFont val="Calibri"/>
        <family val="2"/>
        <scheme val="minor"/>
      </rPr>
      <t>R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charset val="186"/>
        <scheme val="minor"/>
      </rPr>
      <t>, μm</t>
    </r>
  </si>
  <si>
    <r>
      <rPr>
        <b/>
        <i/>
        <sz val="11"/>
        <color theme="1"/>
        <rFont val="Calibri"/>
        <family val="2"/>
        <scheme val="minor"/>
      </rPr>
      <t>Rate</t>
    </r>
    <r>
      <rPr>
        <sz val="11"/>
        <color theme="1"/>
        <rFont val="Calibri"/>
        <family val="2"/>
        <charset val="186"/>
        <scheme val="minor"/>
      </rPr>
      <t>, μm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charset val="186"/>
        <scheme val="minor"/>
      </rPr>
      <t>/μs</t>
    </r>
  </si>
  <si>
    <r>
      <rPr>
        <b/>
        <i/>
        <sz val="11"/>
        <color theme="1"/>
        <rFont val="Calibri"/>
        <family val="2"/>
        <scheme val="minor"/>
      </rPr>
      <t>Eff</t>
    </r>
    <r>
      <rPr>
        <sz val="11"/>
        <color theme="1"/>
        <rFont val="Calibri"/>
        <family val="2"/>
        <charset val="186"/>
        <scheme val="minor"/>
      </rPr>
      <t>, μm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charset val="186"/>
        <scheme val="minor"/>
      </rPr>
      <t>/μJ</t>
    </r>
  </si>
  <si>
    <r>
      <rPr>
        <b/>
        <i/>
        <sz val="11"/>
        <color theme="1"/>
        <rFont val="Calibri"/>
        <family val="2"/>
        <scheme val="minor"/>
      </rPr>
      <t>Rate</t>
    </r>
    <r>
      <rPr>
        <sz val="11"/>
        <color theme="1"/>
        <rFont val="Calibri"/>
        <family val="2"/>
        <charset val="186"/>
        <scheme val="minor"/>
      </rPr>
      <t>, 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charset val="186"/>
        <scheme val="minor"/>
      </rPr>
      <t>/min</t>
    </r>
  </si>
  <si>
    <t>J/cm2</t>
  </si>
  <si>
    <t>μm3/μs</t>
  </si>
  <si>
    <t>mm3/min</t>
  </si>
  <si>
    <t>Eff</t>
  </si>
  <si>
    <t xml:space="preserve"> μm3/μJ</t>
  </si>
  <si>
    <t>μm</t>
  </si>
  <si>
    <t>%</t>
  </si>
  <si>
    <t>F0</t>
  </si>
  <si>
    <t>Rate1</t>
  </si>
  <si>
    <t>Rate2</t>
  </si>
  <si>
    <t>Rr</t>
  </si>
  <si>
    <t>Ra</t>
  </si>
  <si>
    <t>F burst, J/cm2</t>
  </si>
  <si>
    <t>Ra lowest, um</t>
  </si>
  <si>
    <t>46,68 MHz</t>
  </si>
  <si>
    <t>Pulse rep rate,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</si>
</sst>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0.0000"/>
  </numFmts>
  <fonts count="12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charset val="186"/>
      <scheme val="minor"/>
    </font>
    <font>
      <sz val="1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0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/>
    <xf numFmtId="164" fontId="0" fillId="0" borderId="5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0" fontId="6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" fillId="0" borderId="0" xfId="1" applyNumberFormat="1" applyAlignment="1">
      <alignment horizontal="center" vertical="center"/>
    </xf>
    <xf numFmtId="2" fontId="0" fillId="0" borderId="0" xfId="0" applyNumberFormat="1"/>
    <xf numFmtId="167" fontId="0" fillId="0" borderId="0" xfId="0" applyNumberForma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Q170"/>
  <sheetViews>
    <sheetView tabSelected="1" topLeftCell="A138" zoomScale="115" zoomScaleNormal="115" workbookViewId="0">
      <selection activeCell="J126" sqref="J126"/>
    </sheetView>
  </sheetViews>
  <sheetFormatPr defaultRowHeight="14.4" x14ac:dyDescent="0.3"/>
  <cols>
    <col min="19" max="19" width="9.109375" customWidth="1"/>
    <col min="25" max="25" width="12.886718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68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281</v>
      </c>
      <c r="D5">
        <v>67289.399999999994</v>
      </c>
      <c r="E5">
        <v>2707</v>
      </c>
      <c r="F5">
        <f t="shared" ref="F5:F15" si="0">D5/10000</f>
        <v>6.7289399999999997</v>
      </c>
      <c r="G5">
        <f t="shared" ref="G5:G15" si="1">C5/10000</f>
        <v>2.81E-2</v>
      </c>
      <c r="H5">
        <f>F5-G5</f>
        <v>6.7008399999999995</v>
      </c>
      <c r="I5">
        <f>E5/10000</f>
        <v>0.2707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2">2*$Z$1/$Z$2/PI()/(N5*10^-4)^2/$K$5/$Z$7</f>
        <v>4.9552300635014159</v>
      </c>
      <c r="P5" s="2">
        <v>3</v>
      </c>
      <c r="Q5" s="8">
        <f>H5</f>
        <v>6.7008399999999995</v>
      </c>
      <c r="R5" s="8">
        <f>I5</f>
        <v>0.2707</v>
      </c>
      <c r="S5" s="8">
        <f>Q5/10^6*$Z$4*$Z$3/P5*10^12</f>
        <v>7.4446332399999999</v>
      </c>
      <c r="T5" s="8">
        <f>S5*0.06</f>
        <v>0.4466779944</v>
      </c>
      <c r="U5" s="8">
        <f>S5/$Z$1</f>
        <v>1.0198127726027397</v>
      </c>
      <c r="V5" s="12">
        <f t="shared" ref="V5:V15" si="3">O5</f>
        <v>4.9552300635014159</v>
      </c>
    </row>
    <row r="6" spans="2:95" x14ac:dyDescent="0.3">
      <c r="B6">
        <v>2</v>
      </c>
      <c r="C6">
        <v>543.20000000000005</v>
      </c>
      <c r="D6">
        <v>70910.3</v>
      </c>
      <c r="E6">
        <v>3200.9</v>
      </c>
      <c r="F6">
        <f t="shared" si="0"/>
        <v>7.0910299999999999</v>
      </c>
      <c r="G6">
        <f t="shared" si="1"/>
        <v>5.4320000000000007E-2</v>
      </c>
      <c r="H6">
        <f t="shared" ref="H6:H15" si="4">F6-G6</f>
        <v>7.0367100000000002</v>
      </c>
      <c r="I6">
        <f t="shared" ref="I6:I15" si="5">E6/10000</f>
        <v>0.32008999999999999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2"/>
        <v>4.3954789452463654</v>
      </c>
      <c r="P6" s="4">
        <v>3</v>
      </c>
      <c r="Q6" s="5">
        <f t="shared" ref="Q6:R15" si="7">H6</f>
        <v>7.0367100000000002</v>
      </c>
      <c r="R6" s="5">
        <f t="shared" si="7"/>
        <v>0.32008999999999999</v>
      </c>
      <c r="S6" s="5">
        <f t="shared" ref="S6:S15" si="8">Q6/10^6*$Z$4*$Z$3/P6*10^12</f>
        <v>7.8177848100000009</v>
      </c>
      <c r="T6" s="5">
        <f t="shared" ref="T6:T15" si="9">S6*0.06</f>
        <v>0.46906708860000002</v>
      </c>
      <c r="U6" s="5">
        <f t="shared" ref="U6:U15" si="10">S6/$Z$1</f>
        <v>1.0709294260273974</v>
      </c>
      <c r="V6" s="5">
        <f t="shared" si="3"/>
        <v>4.3954789452463654</v>
      </c>
    </row>
    <row r="7" spans="2:95" x14ac:dyDescent="0.3">
      <c r="B7">
        <v>3</v>
      </c>
      <c r="C7">
        <v>2144.1</v>
      </c>
      <c r="D7">
        <v>76709.3</v>
      </c>
      <c r="E7">
        <v>1941.4</v>
      </c>
      <c r="F7">
        <f t="shared" si="0"/>
        <v>7.6709300000000002</v>
      </c>
      <c r="G7">
        <f t="shared" si="1"/>
        <v>0.21440999999999999</v>
      </c>
      <c r="H7">
        <f t="shared" si="4"/>
        <v>7.4565200000000003</v>
      </c>
      <c r="I7">
        <f t="shared" si="5"/>
        <v>0.19414000000000001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2"/>
        <v>3.7919520685367529</v>
      </c>
      <c r="P7" s="4">
        <v>3</v>
      </c>
      <c r="Q7" s="5">
        <f t="shared" si="7"/>
        <v>7.4565200000000003</v>
      </c>
      <c r="R7" s="5">
        <f t="shared" si="7"/>
        <v>0.19414000000000001</v>
      </c>
      <c r="S7" s="5">
        <f t="shared" si="8"/>
        <v>8.2841937199999993</v>
      </c>
      <c r="T7" s="5">
        <f t="shared" si="9"/>
        <v>0.49705162319999996</v>
      </c>
      <c r="U7" s="5">
        <f t="shared" si="10"/>
        <v>1.1348210575342466</v>
      </c>
      <c r="V7" s="5">
        <f t="shared" si="3"/>
        <v>3.7919520685367529</v>
      </c>
      <c r="Y7" t="s">
        <v>41</v>
      </c>
      <c r="Z7">
        <v>1</v>
      </c>
    </row>
    <row r="8" spans="2:95" x14ac:dyDescent="0.3">
      <c r="B8">
        <v>4</v>
      </c>
      <c r="C8">
        <v>3750</v>
      </c>
      <c r="D8">
        <v>78431.199999999997</v>
      </c>
      <c r="E8">
        <v>1305</v>
      </c>
      <c r="F8">
        <f t="shared" si="0"/>
        <v>7.8431199999999999</v>
      </c>
      <c r="G8">
        <f t="shared" si="1"/>
        <v>0.375</v>
      </c>
      <c r="H8">
        <f t="shared" si="4"/>
        <v>7.4681199999999999</v>
      </c>
      <c r="I8">
        <f t="shared" si="5"/>
        <v>0.1305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2"/>
        <v>2.2966932504725692</v>
      </c>
      <c r="P8" s="4">
        <v>3</v>
      </c>
      <c r="Q8" s="5">
        <f t="shared" si="7"/>
        <v>7.4681199999999999</v>
      </c>
      <c r="R8" s="5">
        <f t="shared" si="7"/>
        <v>0.1305</v>
      </c>
      <c r="S8" s="5">
        <f t="shared" si="8"/>
        <v>8.2970813200000002</v>
      </c>
      <c r="T8" s="5">
        <f t="shared" si="9"/>
        <v>0.49782487920000001</v>
      </c>
      <c r="U8" s="5">
        <f t="shared" si="10"/>
        <v>1.1365864821917808</v>
      </c>
      <c r="V8" s="5">
        <f t="shared" si="3"/>
        <v>2.2966932504725692</v>
      </c>
    </row>
    <row r="9" spans="2:95" x14ac:dyDescent="0.3">
      <c r="B9">
        <v>5</v>
      </c>
      <c r="C9">
        <v>6564.5</v>
      </c>
      <c r="D9">
        <v>76962</v>
      </c>
      <c r="E9">
        <v>1291</v>
      </c>
      <c r="F9">
        <f t="shared" si="0"/>
        <v>7.6962000000000002</v>
      </c>
      <c r="G9">
        <f t="shared" si="1"/>
        <v>0.65644999999999998</v>
      </c>
      <c r="H9">
        <f t="shared" si="4"/>
        <v>7.0397499999999997</v>
      </c>
      <c r="I9">
        <f t="shared" si="5"/>
        <v>0.12909999999999999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2"/>
        <v>1.6599657004103827</v>
      </c>
      <c r="P9" s="4">
        <v>3</v>
      </c>
      <c r="Q9" s="5">
        <f t="shared" si="7"/>
        <v>7.0397499999999997</v>
      </c>
      <c r="R9" s="5">
        <f t="shared" si="7"/>
        <v>0.12909999999999999</v>
      </c>
      <c r="S9" s="5">
        <f t="shared" si="8"/>
        <v>7.8211622500000004</v>
      </c>
      <c r="T9" s="5">
        <f t="shared" si="9"/>
        <v>0.46926973500000002</v>
      </c>
      <c r="U9" s="5">
        <f t="shared" si="10"/>
        <v>1.071392089041096</v>
      </c>
      <c r="V9" s="5">
        <f t="shared" si="3"/>
        <v>1.6599657004103827</v>
      </c>
    </row>
    <row r="10" spans="2:95" ht="15" thickBot="1" x14ac:dyDescent="0.35">
      <c r="B10">
        <v>6</v>
      </c>
      <c r="C10">
        <v>6002</v>
      </c>
      <c r="D10">
        <v>93237</v>
      </c>
      <c r="E10">
        <v>953</v>
      </c>
      <c r="F10">
        <f t="shared" si="0"/>
        <v>9.3237000000000005</v>
      </c>
      <c r="G10">
        <f t="shared" si="1"/>
        <v>0.60019999999999996</v>
      </c>
      <c r="H10">
        <f t="shared" si="4"/>
        <v>8.7235000000000014</v>
      </c>
      <c r="I10">
        <f t="shared" si="5"/>
        <v>9.5299999999999996E-2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2"/>
        <v>1.1490159130493915</v>
      </c>
      <c r="P10" s="4">
        <v>4</v>
      </c>
      <c r="Q10" s="5">
        <f t="shared" si="7"/>
        <v>8.7235000000000014</v>
      </c>
      <c r="R10" s="5">
        <f t="shared" si="7"/>
        <v>9.5299999999999996E-2</v>
      </c>
      <c r="S10" s="5">
        <f t="shared" si="8"/>
        <v>7.2688563750000021</v>
      </c>
      <c r="T10" s="5">
        <f t="shared" si="9"/>
        <v>0.43613138250000011</v>
      </c>
      <c r="U10" s="5">
        <f t="shared" si="10"/>
        <v>0.99573375000000031</v>
      </c>
      <c r="V10" s="5">
        <f t="shared" si="3"/>
        <v>1.1490159130493915</v>
      </c>
    </row>
    <row r="11" spans="2:95" ht="15.6" thickTop="1" thickBot="1" x14ac:dyDescent="0.35">
      <c r="B11">
        <v>7</v>
      </c>
      <c r="C11">
        <v>6345</v>
      </c>
      <c r="D11">
        <v>86308.6</v>
      </c>
      <c r="E11">
        <v>1049</v>
      </c>
      <c r="F11">
        <f t="shared" si="0"/>
        <v>8.6308600000000002</v>
      </c>
      <c r="G11">
        <f t="shared" si="1"/>
        <v>0.63449999999999995</v>
      </c>
      <c r="H11">
        <f t="shared" si="4"/>
        <v>7.9963600000000001</v>
      </c>
      <c r="I11">
        <f t="shared" si="5"/>
        <v>0.10489999999999999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2"/>
        <v>0.83064213960254329</v>
      </c>
      <c r="P11" s="4">
        <v>4</v>
      </c>
      <c r="Q11" s="5">
        <f t="shared" si="7"/>
        <v>7.9963600000000001</v>
      </c>
      <c r="R11" s="5">
        <f t="shared" si="7"/>
        <v>0.10489999999999999</v>
      </c>
      <c r="S11" s="5">
        <f t="shared" si="8"/>
        <v>6.6629669700000003</v>
      </c>
      <c r="T11" s="5">
        <f t="shared" si="9"/>
        <v>0.39977801819999997</v>
      </c>
      <c r="U11" s="5">
        <f t="shared" si="10"/>
        <v>0.91273520136986308</v>
      </c>
      <c r="V11" s="5">
        <f t="shared" si="3"/>
        <v>0.83064213960254329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7986</v>
      </c>
      <c r="D12">
        <v>97868</v>
      </c>
      <c r="E12">
        <v>1241</v>
      </c>
      <c r="F12">
        <f t="shared" si="0"/>
        <v>9.7867999999999995</v>
      </c>
      <c r="G12">
        <f t="shared" si="1"/>
        <v>0.79859999999999998</v>
      </c>
      <c r="H12">
        <f t="shared" si="4"/>
        <v>8.9881999999999991</v>
      </c>
      <c r="I12">
        <f t="shared" si="5"/>
        <v>0.1241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2"/>
        <v>0.6965894398220297</v>
      </c>
      <c r="P12" s="4">
        <v>5</v>
      </c>
      <c r="Q12" s="5">
        <f t="shared" si="7"/>
        <v>8.9881999999999991</v>
      </c>
      <c r="R12" s="5">
        <f t="shared" si="7"/>
        <v>0.1241</v>
      </c>
      <c r="S12" s="5">
        <f t="shared" si="8"/>
        <v>5.9915341199999999</v>
      </c>
      <c r="T12" s="5">
        <f t="shared" si="9"/>
        <v>0.3594920472</v>
      </c>
      <c r="U12" s="5">
        <f t="shared" si="10"/>
        <v>0.82075809863013693</v>
      </c>
      <c r="V12" s="5">
        <f t="shared" si="3"/>
        <v>0.6965894398220297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7301</v>
      </c>
      <c r="D13">
        <v>125781.2</v>
      </c>
      <c r="E13">
        <v>1968</v>
      </c>
      <c r="F13">
        <f t="shared" si="0"/>
        <v>12.57812</v>
      </c>
      <c r="G13">
        <f t="shared" si="1"/>
        <v>0.73009999999999997</v>
      </c>
      <c r="H13">
        <f t="shared" si="4"/>
        <v>11.84802</v>
      </c>
      <c r="I13">
        <f t="shared" si="5"/>
        <v>0.1968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2"/>
        <v>0.56140155606467401</v>
      </c>
      <c r="P13" s="4">
        <v>8</v>
      </c>
      <c r="Q13" s="5">
        <f t="shared" si="7"/>
        <v>11.84802</v>
      </c>
      <c r="R13" s="5">
        <f t="shared" si="7"/>
        <v>0.1968</v>
      </c>
      <c r="S13" s="5">
        <f t="shared" si="8"/>
        <v>4.9361813325000012</v>
      </c>
      <c r="T13" s="5">
        <f t="shared" si="9"/>
        <v>0.29617087995000008</v>
      </c>
      <c r="U13" s="5">
        <f t="shared" si="10"/>
        <v>0.67618922363013723</v>
      </c>
      <c r="V13" s="5">
        <f t="shared" si="3"/>
        <v>0.56140155606467401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5892</v>
      </c>
      <c r="D14">
        <v>138364.4</v>
      </c>
      <c r="E14">
        <v>1015</v>
      </c>
      <c r="F14">
        <f t="shared" si="0"/>
        <v>13.83644</v>
      </c>
      <c r="G14">
        <f t="shared" si="1"/>
        <v>0.58919999999999995</v>
      </c>
      <c r="H14">
        <f t="shared" si="4"/>
        <v>13.24724</v>
      </c>
      <c r="I14">
        <f t="shared" si="5"/>
        <v>0.10150000000000001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2"/>
        <v>0.40202993378190233</v>
      </c>
      <c r="P14" s="4">
        <v>14</v>
      </c>
      <c r="Q14" s="5">
        <f t="shared" si="7"/>
        <v>13.24724</v>
      </c>
      <c r="R14" s="5">
        <f t="shared" si="7"/>
        <v>0.10150000000000001</v>
      </c>
      <c r="S14" s="5">
        <f t="shared" si="8"/>
        <v>3.1537893514285718</v>
      </c>
      <c r="T14" s="5">
        <f t="shared" si="9"/>
        <v>0.18922736108571431</v>
      </c>
      <c r="U14" s="5">
        <f t="shared" si="10"/>
        <v>0.43202593855185917</v>
      </c>
      <c r="V14" s="5">
        <f t="shared" si="3"/>
        <v>0.40202993378190233</v>
      </c>
      <c r="X14" s="31">
        <f t="shared" ref="X14:X24" si="12">O5</f>
        <v>4.9552300635014159</v>
      </c>
      <c r="Y14" s="32">
        <f t="shared" ref="Y14:AA24" si="13">S5</f>
        <v>7.4446332399999999</v>
      </c>
      <c r="Z14" s="32">
        <f t="shared" si="13"/>
        <v>0.4466779944</v>
      </c>
      <c r="AA14" s="32">
        <f t="shared" si="13"/>
        <v>1.0198127726027397</v>
      </c>
      <c r="AB14" s="41">
        <f>I5/H5</f>
        <v>4.0397920260743431E-2</v>
      </c>
      <c r="AC14" s="33">
        <f t="shared" ref="AC14:AC24" si="14">R5</f>
        <v>0.2707</v>
      </c>
      <c r="AD14" s="31">
        <f t="shared" ref="AD14:AD24" si="15">O19</f>
        <v>3.3034867090009441</v>
      </c>
      <c r="AE14" s="32">
        <f t="shared" ref="AE14:AG24" si="16">S19</f>
        <v>4.0086990900000004</v>
      </c>
      <c r="AF14" s="32">
        <f t="shared" si="16"/>
        <v>0.24052194540000002</v>
      </c>
      <c r="AG14" s="32">
        <f t="shared" si="16"/>
        <v>0.54913686164383568</v>
      </c>
      <c r="AH14" s="41">
        <f>I19/H19</f>
        <v>6.3300435952652154E-2</v>
      </c>
      <c r="AI14" s="33">
        <f>R19</f>
        <v>0.22839999999999999</v>
      </c>
      <c r="AJ14" s="31">
        <f t="shared" ref="AJ14:AJ24" si="17">O33</f>
        <v>2.477615031750708</v>
      </c>
      <c r="AK14" s="32">
        <f t="shared" ref="AK14:AM24" si="18">S33</f>
        <v>2.9602372800000003</v>
      </c>
      <c r="AL14" s="32">
        <f t="shared" si="18"/>
        <v>0.17761423680000002</v>
      </c>
      <c r="AM14" s="32">
        <f t="shared" si="18"/>
        <v>0.40551195616438362</v>
      </c>
      <c r="AN14" s="41">
        <f>I33/H33</f>
        <v>7.9107368041794288E-2</v>
      </c>
      <c r="AO14" s="33">
        <f>R33</f>
        <v>0.21078000000000002</v>
      </c>
      <c r="AP14" s="31">
        <f t="shared" ref="AP14:AP23" si="19">O47</f>
        <v>1.9820920254005663</v>
      </c>
      <c r="AQ14" s="32">
        <f t="shared" ref="AQ14:AS23" si="20">S47</f>
        <v>2.5683209200000006</v>
      </c>
      <c r="AR14" s="32">
        <f t="shared" si="20"/>
        <v>0.15409925520000003</v>
      </c>
      <c r="AS14" s="32">
        <f t="shared" si="20"/>
        <v>0.35182478356164393</v>
      </c>
      <c r="AT14" s="41">
        <f>I47/H47</f>
        <v>9.6560137040818075E-2</v>
      </c>
      <c r="AU14" s="33">
        <f>R47</f>
        <v>0.22321999999999997</v>
      </c>
      <c r="AV14" s="31">
        <f t="shared" ref="AV14:AV23" si="21">O61</f>
        <v>1.651743354500472</v>
      </c>
      <c r="AW14" s="32">
        <f t="shared" ref="AW14:AY23" si="22">S61</f>
        <v>2.3770622700000001</v>
      </c>
      <c r="AX14" s="32">
        <f t="shared" si="22"/>
        <v>0.14262373619999999</v>
      </c>
      <c r="AY14" s="32">
        <f t="shared" si="22"/>
        <v>0.3256249684931507</v>
      </c>
      <c r="AZ14" s="41">
        <f>I61/H61</f>
        <v>8.1306056824502121E-2</v>
      </c>
      <c r="BA14" s="33">
        <f>R61</f>
        <v>0.17396</v>
      </c>
      <c r="BB14" s="31">
        <f t="shared" ref="BB14:BB23" si="23">O75</f>
        <v>1.4157800181432616</v>
      </c>
      <c r="BC14" s="32">
        <f t="shared" ref="BC14:BE23" si="24">S75</f>
        <v>2.2722505300000009</v>
      </c>
      <c r="BD14" s="32">
        <f t="shared" si="24"/>
        <v>0.13633503180000003</v>
      </c>
      <c r="BE14" s="32">
        <f t="shared" si="24"/>
        <v>0.31126719589041107</v>
      </c>
      <c r="BF14" s="41">
        <f>I75/H75</f>
        <v>9.5397583645849091E-2</v>
      </c>
      <c r="BG14" s="33">
        <f>R75</f>
        <v>0.19510999999999998</v>
      </c>
      <c r="BH14" s="31">
        <f t="shared" ref="BH14:BH23" si="25">O89</f>
        <v>1.238807515875354</v>
      </c>
      <c r="BI14" s="32">
        <f t="shared" ref="BI14:BK23" si="26">S89</f>
        <v>2.14649644</v>
      </c>
      <c r="BJ14" s="32">
        <f t="shared" si="26"/>
        <v>0.12878978639999999</v>
      </c>
      <c r="BK14" s="32">
        <f t="shared" si="26"/>
        <v>0.2940406082191781</v>
      </c>
      <c r="BL14" s="41">
        <f>I89/H89</f>
        <v>0.10680420695223701</v>
      </c>
      <c r="BM14" s="33">
        <f>R89</f>
        <v>0.20635000000000001</v>
      </c>
      <c r="BN14" s="31">
        <f t="shared" ref="BN14:BN23" si="27">O103</f>
        <v>1.101162236333648</v>
      </c>
      <c r="BO14" s="32">
        <f t="shared" ref="BO14:BQ23" si="28">S103</f>
        <v>2.1515292700000002</v>
      </c>
      <c r="BP14" s="32">
        <f t="shared" si="28"/>
        <v>0.12909175620000002</v>
      </c>
      <c r="BQ14" s="32">
        <f t="shared" si="28"/>
        <v>0.2947300369863014</v>
      </c>
      <c r="BR14" s="41">
        <f>I103/H103</f>
        <v>0.11223451772980061</v>
      </c>
      <c r="BS14" s="33">
        <f>R103</f>
        <v>0.21734999999999999</v>
      </c>
      <c r="BT14" s="31">
        <f t="shared" ref="BT14:BT22" si="29">O117</f>
        <v>0.99104601270028314</v>
      </c>
      <c r="BU14" s="32">
        <f t="shared" ref="BU14:BW22" si="30">S117</f>
        <v>0.70312967999999976</v>
      </c>
      <c r="BV14" s="32">
        <f t="shared" si="30"/>
        <v>4.2187780799999984E-2</v>
      </c>
      <c r="BW14" s="32">
        <f t="shared" si="30"/>
        <v>9.6319134246575316E-2</v>
      </c>
      <c r="BX14" s="41">
        <f>I117/H117</f>
        <v>0.35553343445834917</v>
      </c>
      <c r="BY14" s="33">
        <f>R117</f>
        <v>0.22500999999999999</v>
      </c>
      <c r="BZ14" s="31">
        <f t="shared" ref="BZ14:BZ23" si="31">O131</f>
        <v>0.6606973418001888</v>
      </c>
      <c r="CA14" s="32">
        <f t="shared" ref="CA14:CC23" si="32">S131</f>
        <v>2.3103022799999997</v>
      </c>
      <c r="CB14" s="32">
        <f t="shared" si="32"/>
        <v>0.13861813679999999</v>
      </c>
      <c r="CC14" s="32">
        <f t="shared" si="32"/>
        <v>0.31647976438356162</v>
      </c>
      <c r="CD14" s="41">
        <f>I131/H131</f>
        <v>0.14368976859599514</v>
      </c>
      <c r="CE14" s="33">
        <f>R131</f>
        <v>0.29880000000000001</v>
      </c>
      <c r="CF14" s="31">
        <f t="shared" ref="CF14:CF22" si="33">O145</f>
        <v>0.49552300635014157</v>
      </c>
      <c r="CG14" s="32">
        <f t="shared" ref="CG14:CI22" si="34">S145</f>
        <v>2.8648357100000004</v>
      </c>
      <c r="CH14" s="32">
        <f t="shared" si="34"/>
        <v>0.17189014260000002</v>
      </c>
      <c r="CI14" s="32">
        <f t="shared" si="34"/>
        <v>0.39244324794520552</v>
      </c>
      <c r="CJ14" s="41">
        <f>I145/H145</f>
        <v>9.9984099960831602E-2</v>
      </c>
      <c r="CK14" s="33">
        <f>R145</f>
        <v>0.25781999999999999</v>
      </c>
      <c r="CL14" s="31">
        <f t="shared" ref="CL14:CL22" si="35">O159</f>
        <v>0.39641840508011328</v>
      </c>
      <c r="CM14" s="32">
        <f t="shared" ref="CM14:CO22" si="36">S159</f>
        <v>2.9989778500000002</v>
      </c>
      <c r="CN14" s="32">
        <f t="shared" si="36"/>
        <v>0.17993867099999999</v>
      </c>
      <c r="CO14" s="32">
        <f t="shared" si="36"/>
        <v>0.41081888356164387</v>
      </c>
      <c r="CP14" s="41">
        <f>I159/H159</f>
        <v>7.6696241687813749E-2</v>
      </c>
      <c r="CQ14" s="33">
        <f>R159</f>
        <v>0.20703000000000002</v>
      </c>
    </row>
    <row r="15" spans="2:95" ht="15" thickBot="1" x14ac:dyDescent="0.35">
      <c r="B15">
        <v>11</v>
      </c>
      <c r="C15">
        <v>700</v>
      </c>
      <c r="D15">
        <v>13714.6</v>
      </c>
      <c r="E15">
        <v>14712</v>
      </c>
      <c r="F15">
        <f t="shared" si="0"/>
        <v>1.3714600000000001</v>
      </c>
      <c r="G15">
        <f t="shared" si="1"/>
        <v>7.0000000000000007E-2</v>
      </c>
      <c r="H15">
        <f t="shared" si="4"/>
        <v>1.3014600000000001</v>
      </c>
      <c r="I15">
        <f t="shared" si="5"/>
        <v>1.4712000000000001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2"/>
        <v>0.25926026770901511</v>
      </c>
      <c r="P15" s="7">
        <v>21</v>
      </c>
      <c r="Q15" s="6">
        <f t="shared" si="7"/>
        <v>1.3014600000000001</v>
      </c>
      <c r="R15" s="6">
        <f t="shared" si="7"/>
        <v>1.4712000000000001</v>
      </c>
      <c r="S15" s="6">
        <f t="shared" si="8"/>
        <v>0.20656029428571429</v>
      </c>
      <c r="T15" s="6">
        <f t="shared" si="9"/>
        <v>1.2393617657142857E-2</v>
      </c>
      <c r="U15" s="6">
        <f t="shared" si="10"/>
        <v>2.829593072407045E-2</v>
      </c>
      <c r="V15" s="6">
        <f t="shared" si="3"/>
        <v>0.25926026770901511</v>
      </c>
      <c r="X15" s="34">
        <f t="shared" si="12"/>
        <v>4.3954789452463654</v>
      </c>
      <c r="Y15" s="35">
        <f t="shared" si="13"/>
        <v>7.8177848100000009</v>
      </c>
      <c r="Z15" s="35">
        <f t="shared" si="13"/>
        <v>0.46906708860000002</v>
      </c>
      <c r="AA15" s="35">
        <f t="shared" si="13"/>
        <v>1.0709294260273974</v>
      </c>
      <c r="AB15" s="42">
        <f t="shared" ref="AB15:AB24" si="37">I6/H6</f>
        <v>4.5488587706470775E-2</v>
      </c>
      <c r="AC15" s="36">
        <f t="shared" si="14"/>
        <v>0.32008999999999999</v>
      </c>
      <c r="AD15" s="34">
        <f t="shared" si="15"/>
        <v>2.9303192968309104</v>
      </c>
      <c r="AE15" s="35">
        <f t="shared" si="16"/>
        <v>3.8510370799999998</v>
      </c>
      <c r="AF15" s="35">
        <f t="shared" si="16"/>
        <v>0.23106222479999997</v>
      </c>
      <c r="AG15" s="35">
        <f t="shared" si="16"/>
        <v>0.52753932602739728</v>
      </c>
      <c r="AH15" s="42">
        <f t="shared" ref="AH15:AH24" si="38">I20/H20</f>
        <v>6.9815479418858253E-2</v>
      </c>
      <c r="AI15" s="36">
        <f t="shared" ref="AI15:AI24" si="39">R20</f>
        <v>0.24199999999999999</v>
      </c>
      <c r="AJ15" s="34">
        <f t="shared" si="17"/>
        <v>2.1977394726231827</v>
      </c>
      <c r="AK15" s="35">
        <f t="shared" si="18"/>
        <v>2.8894221400000002</v>
      </c>
      <c r="AL15" s="35">
        <f t="shared" si="18"/>
        <v>0.17336532840000002</v>
      </c>
      <c r="AM15" s="35">
        <f t="shared" si="18"/>
        <v>0.39581125205479456</v>
      </c>
      <c r="AN15" s="42">
        <f t="shared" ref="AN15:AN24" si="40">I34/H34</f>
        <v>7.3071510416266139E-2</v>
      </c>
      <c r="AO15" s="36">
        <f t="shared" ref="AO15:AO24" si="41">R34</f>
        <v>0.19004000000000001</v>
      </c>
      <c r="AP15" s="34">
        <f t="shared" si="19"/>
        <v>1.7581915780985462</v>
      </c>
      <c r="AQ15" s="35">
        <f t="shared" si="20"/>
        <v>2.4014820499999998</v>
      </c>
      <c r="AR15" s="35">
        <f t="shared" si="20"/>
        <v>0.14408892299999998</v>
      </c>
      <c r="AS15" s="35">
        <f t="shared" si="20"/>
        <v>0.3289701438356164</v>
      </c>
      <c r="AT15" s="42">
        <f t="shared" ref="AT15:AT23" si="42">I48/H48</f>
        <v>8.3750086743309193E-2</v>
      </c>
      <c r="AU15" s="36">
        <f t="shared" ref="AU15:AU23" si="43">R48</f>
        <v>0.18103</v>
      </c>
      <c r="AV15" s="34">
        <f t="shared" si="21"/>
        <v>1.4651596484154552</v>
      </c>
      <c r="AW15" s="35">
        <f t="shared" si="22"/>
        <v>2.3196569000000005</v>
      </c>
      <c r="AX15" s="35">
        <f t="shared" si="22"/>
        <v>0.13917941400000003</v>
      </c>
      <c r="AY15" s="35">
        <f t="shared" si="22"/>
        <v>0.31776121917808225</v>
      </c>
      <c r="AZ15" s="42">
        <f t="shared" ref="AZ15:AZ23" si="44">I62/H62</f>
        <v>9.3491067579864931E-2</v>
      </c>
      <c r="BA15" s="36">
        <f t="shared" ref="BA15:BA23" si="45">R62</f>
        <v>0.19520000000000001</v>
      </c>
      <c r="BB15" s="34">
        <f t="shared" si="23"/>
        <v>1.2558511272132473</v>
      </c>
      <c r="BC15" s="35">
        <f t="shared" si="24"/>
        <v>2.10780031</v>
      </c>
      <c r="BD15" s="35">
        <f t="shared" si="24"/>
        <v>0.12646801860000001</v>
      </c>
      <c r="BE15" s="35">
        <f t="shared" si="24"/>
        <v>0.28873976849315069</v>
      </c>
      <c r="BF15" s="42">
        <f t="shared" ref="BF15:BF23" si="46">I76/H76</f>
        <v>9.6315115353598171E-2</v>
      </c>
      <c r="BG15" s="36">
        <f t="shared" ref="BG15:BG23" si="47">R76</f>
        <v>0.18273</v>
      </c>
      <c r="BH15" s="34">
        <f t="shared" si="25"/>
        <v>1.0988697363115913</v>
      </c>
      <c r="BI15" s="35">
        <f t="shared" si="26"/>
        <v>2.1375306700000003</v>
      </c>
      <c r="BJ15" s="35">
        <f t="shared" si="26"/>
        <v>0.12825184020000002</v>
      </c>
      <c r="BK15" s="35">
        <f t="shared" si="26"/>
        <v>0.29281242054794526</v>
      </c>
      <c r="BL15" s="42">
        <f t="shared" ref="BL15:BL23" si="48">I90/H90</f>
        <v>0.11711201318107871</v>
      </c>
      <c r="BM15" s="36">
        <f t="shared" ref="BM15:BM23" si="49">R90</f>
        <v>0.22531999999999999</v>
      </c>
      <c r="BN15" s="34">
        <f t="shared" si="27"/>
        <v>0.97677309894363673</v>
      </c>
      <c r="BO15" s="35">
        <f t="shared" si="28"/>
        <v>2.3006032500000004</v>
      </c>
      <c r="BP15" s="35">
        <f t="shared" si="28"/>
        <v>0.13803619500000003</v>
      </c>
      <c r="BQ15" s="35">
        <f t="shared" si="28"/>
        <v>0.31515113013698637</v>
      </c>
      <c r="BR15" s="42">
        <f t="shared" ref="BR15:BR23" si="50">I104/H104</f>
        <v>8.6572497887238933E-2</v>
      </c>
      <c r="BS15" s="36">
        <f t="shared" ref="BS15:BS23" si="51">R104</f>
        <v>0.17927000000000001</v>
      </c>
      <c r="BT15" s="34">
        <f t="shared" si="29"/>
        <v>0.8790957890492731</v>
      </c>
      <c r="BU15" s="35">
        <f t="shared" si="30"/>
        <v>1.7273383599999999</v>
      </c>
      <c r="BV15" s="35">
        <f t="shared" si="30"/>
        <v>0.10364030159999998</v>
      </c>
      <c r="BW15" s="35">
        <f t="shared" si="30"/>
        <v>0.2366216931506849</v>
      </c>
      <c r="BX15" s="42">
        <f t="shared" ref="BX15:BX22" si="52">I118/H118</f>
        <v>0.11960688466387095</v>
      </c>
      <c r="BY15" s="36">
        <f t="shared" ref="BY15:BY22" si="53">R118</f>
        <v>0.18595999999999999</v>
      </c>
      <c r="BZ15" s="34">
        <f t="shared" si="31"/>
        <v>0.5860638593661821</v>
      </c>
      <c r="CA15" s="35">
        <f t="shared" si="32"/>
        <v>2.4382450400000004</v>
      </c>
      <c r="CB15" s="35">
        <f t="shared" si="32"/>
        <v>0.14629470240000003</v>
      </c>
      <c r="CC15" s="35">
        <f t="shared" si="32"/>
        <v>0.33400616986301379</v>
      </c>
      <c r="CD15" s="42">
        <f t="shared" ref="CD15:CD23" si="54">I132/H132</f>
        <v>0.10958061458826959</v>
      </c>
      <c r="CE15" s="36">
        <f t="shared" ref="CE15:CE23" si="55">R132</f>
        <v>0.24049000000000001</v>
      </c>
      <c r="CF15" s="34">
        <f t="shared" si="33"/>
        <v>0.43954789452463655</v>
      </c>
      <c r="CG15" s="35">
        <f t="shared" si="34"/>
        <v>2.9428168000000006</v>
      </c>
      <c r="CH15" s="35">
        <f t="shared" si="34"/>
        <v>0.17656900800000003</v>
      </c>
      <c r="CI15" s="35">
        <f t="shared" si="34"/>
        <v>0.40312558904109597</v>
      </c>
      <c r="CJ15" s="42">
        <f t="shared" ref="CJ15:CJ22" si="56">I146/H146</f>
        <v>6.5508909694956208E-2</v>
      </c>
      <c r="CK15" s="36">
        <f t="shared" ref="CK15:CK22" si="57">R146</f>
        <v>0.17352000000000001</v>
      </c>
      <c r="CL15" s="34">
        <f t="shared" si="35"/>
        <v>0.35163831561970921</v>
      </c>
      <c r="CM15" s="35">
        <f t="shared" si="36"/>
        <v>3.0849581399999999</v>
      </c>
      <c r="CN15" s="35">
        <f t="shared" si="36"/>
        <v>0.18509748839999998</v>
      </c>
      <c r="CO15" s="35">
        <f t="shared" si="36"/>
        <v>0.42259700547945206</v>
      </c>
      <c r="CP15" s="42">
        <f t="shared" ref="CP15:CP22" si="58">I160/H160</f>
        <v>8.311545193284213E-2</v>
      </c>
      <c r="CQ15" s="36">
        <f t="shared" ref="CQ15:CQ22" si="59">R160</f>
        <v>0.23079000000000002</v>
      </c>
    </row>
    <row r="16" spans="2:95" ht="15" thickTop="1" x14ac:dyDescent="0.3">
      <c r="X16" s="34">
        <f t="shared" si="12"/>
        <v>3.7919520685367529</v>
      </c>
      <c r="Y16" s="35">
        <f t="shared" si="13"/>
        <v>8.2841937199999993</v>
      </c>
      <c r="Z16" s="35">
        <f t="shared" si="13"/>
        <v>0.49705162319999996</v>
      </c>
      <c r="AA16" s="35">
        <f t="shared" si="13"/>
        <v>1.1348210575342466</v>
      </c>
      <c r="AB16" s="42">
        <f t="shared" si="37"/>
        <v>2.6036274294174763E-2</v>
      </c>
      <c r="AC16" s="36">
        <f t="shared" si="14"/>
        <v>0.19414000000000001</v>
      </c>
      <c r="AD16" s="34">
        <f t="shared" si="15"/>
        <v>2.5279680456911686</v>
      </c>
      <c r="AE16" s="35">
        <f t="shared" si="16"/>
        <v>3.7568353900000009</v>
      </c>
      <c r="AF16" s="35">
        <f t="shared" si="16"/>
        <v>0.22541012340000005</v>
      </c>
      <c r="AG16" s="35">
        <f t="shared" si="16"/>
        <v>0.51463498493150694</v>
      </c>
      <c r="AH16" s="42">
        <f t="shared" si="38"/>
        <v>5.8299743604150828E-2</v>
      </c>
      <c r="AI16" s="36">
        <f t="shared" si="39"/>
        <v>0.19714000000000001</v>
      </c>
      <c r="AJ16" s="34">
        <f t="shared" si="17"/>
        <v>1.8959760342683765</v>
      </c>
      <c r="AK16" s="35">
        <f t="shared" si="18"/>
        <v>2.8173182400000001</v>
      </c>
      <c r="AL16" s="35">
        <f t="shared" si="18"/>
        <v>0.16903909440000001</v>
      </c>
      <c r="AM16" s="35">
        <f t="shared" si="18"/>
        <v>0.38593400547945206</v>
      </c>
      <c r="AN16" s="42">
        <f t="shared" si="40"/>
        <v>6.2791816518392329E-2</v>
      </c>
      <c r="AO16" s="36">
        <f t="shared" si="41"/>
        <v>0.15922999999999998</v>
      </c>
      <c r="AP16" s="34">
        <f t="shared" si="19"/>
        <v>1.5167808274147012</v>
      </c>
      <c r="AQ16" s="35">
        <f t="shared" si="20"/>
        <v>2.3738737000000003</v>
      </c>
      <c r="AR16" s="35">
        <f t="shared" si="20"/>
        <v>0.142432422</v>
      </c>
      <c r="AS16" s="35">
        <f t="shared" si="20"/>
        <v>0.3251881780821918</v>
      </c>
      <c r="AT16" s="42">
        <f t="shared" si="42"/>
        <v>9.0607010811063773E-2</v>
      </c>
      <c r="AU16" s="36">
        <f t="shared" si="43"/>
        <v>0.19359999999999999</v>
      </c>
      <c r="AV16" s="34">
        <f t="shared" si="21"/>
        <v>1.2639840228455843</v>
      </c>
      <c r="AW16" s="35">
        <f t="shared" si="22"/>
        <v>2.34597649</v>
      </c>
      <c r="AX16" s="35">
        <f t="shared" si="22"/>
        <v>0.14075858939999999</v>
      </c>
      <c r="AY16" s="35">
        <f t="shared" si="22"/>
        <v>0.32136664246575342</v>
      </c>
      <c r="AZ16" s="42">
        <f t="shared" si="44"/>
        <v>8.9221865987241841E-2</v>
      </c>
      <c r="BA16" s="36">
        <f t="shared" si="45"/>
        <v>0.18840000000000001</v>
      </c>
      <c r="BB16" s="34">
        <f t="shared" si="23"/>
        <v>1.0834148767247866</v>
      </c>
      <c r="BC16" s="35">
        <f t="shared" si="24"/>
        <v>2.22557742</v>
      </c>
      <c r="BD16" s="35">
        <f t="shared" si="24"/>
        <v>0.1335346452</v>
      </c>
      <c r="BE16" s="35">
        <f t="shared" si="24"/>
        <v>0.3048736191780822</v>
      </c>
      <c r="BF16" s="42">
        <f t="shared" si="46"/>
        <v>0.12904224199039546</v>
      </c>
      <c r="BG16" s="36">
        <f t="shared" si="47"/>
        <v>0.25850000000000001</v>
      </c>
      <c r="BH16" s="34">
        <f t="shared" si="25"/>
        <v>0.94798801713418823</v>
      </c>
      <c r="BI16" s="35">
        <f t="shared" si="26"/>
        <v>2.2984034700000002</v>
      </c>
      <c r="BJ16" s="35">
        <f t="shared" si="26"/>
        <v>0.13790420820000002</v>
      </c>
      <c r="BK16" s="35">
        <f t="shared" si="26"/>
        <v>0.31484979041095895</v>
      </c>
      <c r="BL16" s="42">
        <f t="shared" si="48"/>
        <v>8.3194361867196434E-2</v>
      </c>
      <c r="BM16" s="36">
        <f t="shared" si="49"/>
        <v>0.17210999999999999</v>
      </c>
      <c r="BN16" s="34">
        <f t="shared" si="27"/>
        <v>0.84265601523038958</v>
      </c>
      <c r="BO16" s="35">
        <f t="shared" si="28"/>
        <v>2.2546411800000001</v>
      </c>
      <c r="BP16" s="35">
        <f t="shared" si="28"/>
        <v>0.13527847079999999</v>
      </c>
      <c r="BQ16" s="35">
        <f t="shared" si="28"/>
        <v>0.30885495616438358</v>
      </c>
      <c r="BR16" s="42">
        <f t="shared" si="50"/>
        <v>8.7317308734687446E-2</v>
      </c>
      <c r="BS16" s="36">
        <f t="shared" si="51"/>
        <v>0.1772</v>
      </c>
      <c r="BT16" s="34">
        <f t="shared" si="29"/>
        <v>0.75839041370735061</v>
      </c>
      <c r="BU16" s="35">
        <f t="shared" si="30"/>
        <v>2.2566632000000006</v>
      </c>
      <c r="BV16" s="35">
        <f t="shared" si="30"/>
        <v>0.13539979200000005</v>
      </c>
      <c r="BW16" s="35">
        <f t="shared" si="30"/>
        <v>0.30913194520547954</v>
      </c>
      <c r="BX16" s="42">
        <f t="shared" si="52"/>
        <v>9.6735919653406846E-2</v>
      </c>
      <c r="BY16" s="36">
        <f t="shared" si="53"/>
        <v>0.19649</v>
      </c>
      <c r="BZ16" s="34">
        <f t="shared" si="31"/>
        <v>0.5055936091382337</v>
      </c>
      <c r="CA16" s="35">
        <f t="shared" si="32"/>
        <v>2.85784752</v>
      </c>
      <c r="CB16" s="35">
        <f t="shared" si="32"/>
        <v>0.1714708512</v>
      </c>
      <c r="CC16" s="35">
        <f t="shared" si="32"/>
        <v>0.39148596164383564</v>
      </c>
      <c r="CD16" s="42">
        <f t="shared" si="54"/>
        <v>7.5336661068607341E-2</v>
      </c>
      <c r="CE16" s="36">
        <f t="shared" si="55"/>
        <v>0.19379000000000002</v>
      </c>
      <c r="CF16" s="34">
        <f t="shared" si="33"/>
        <v>0.3791952068536753</v>
      </c>
      <c r="CG16" s="35">
        <f t="shared" si="34"/>
        <v>2.9358841600000001</v>
      </c>
      <c r="CH16" s="35">
        <f t="shared" si="34"/>
        <v>0.1761530496</v>
      </c>
      <c r="CI16" s="35">
        <f t="shared" si="34"/>
        <v>0.40217591232876715</v>
      </c>
      <c r="CJ16" s="42">
        <f t="shared" si="56"/>
        <v>7.8416384112375878E-2</v>
      </c>
      <c r="CK16" s="36">
        <f t="shared" si="57"/>
        <v>0.20721999999999999</v>
      </c>
      <c r="CL16" s="34">
        <f t="shared" si="35"/>
        <v>0.30335616548294025</v>
      </c>
      <c r="CM16" s="35">
        <f t="shared" si="36"/>
        <v>2.9976446499999998</v>
      </c>
      <c r="CN16" s="35">
        <f t="shared" si="36"/>
        <v>0.17985867899999999</v>
      </c>
      <c r="CO16" s="35">
        <f t="shared" si="36"/>
        <v>0.41063625342465754</v>
      </c>
      <c r="CP16" s="42">
        <f t="shared" si="58"/>
        <v>0.10075051424123938</v>
      </c>
      <c r="CQ16" s="36">
        <f t="shared" si="59"/>
        <v>0.27184000000000003</v>
      </c>
    </row>
    <row r="17" spans="2:95" ht="15" thickBot="1" x14ac:dyDescent="0.35">
      <c r="X17" s="34">
        <f t="shared" si="12"/>
        <v>2.2966932504725692</v>
      </c>
      <c r="Y17" s="35">
        <f t="shared" si="13"/>
        <v>8.2970813200000002</v>
      </c>
      <c r="Z17" s="35">
        <f t="shared" si="13"/>
        <v>0.49782487920000001</v>
      </c>
      <c r="AA17" s="35">
        <f t="shared" si="13"/>
        <v>1.1365864821917808</v>
      </c>
      <c r="AB17" s="42">
        <f t="shared" si="37"/>
        <v>1.7474277328162913E-2</v>
      </c>
      <c r="AC17" s="36">
        <f t="shared" si="14"/>
        <v>0.1305</v>
      </c>
      <c r="AD17" s="34">
        <f t="shared" si="15"/>
        <v>1.5311288336483795</v>
      </c>
      <c r="AE17" s="35">
        <f t="shared" si="16"/>
        <v>3.4456331800000002</v>
      </c>
      <c r="AF17" s="35">
        <f t="shared" si="16"/>
        <v>0.20673799079999999</v>
      </c>
      <c r="AG17" s="35">
        <f t="shared" si="16"/>
        <v>0.47200454520547946</v>
      </c>
      <c r="AH17" s="42">
        <f t="shared" si="38"/>
        <v>5.732931791654039E-2</v>
      </c>
      <c r="AI17" s="36">
        <f t="shared" si="39"/>
        <v>0.17780000000000001</v>
      </c>
      <c r="AJ17" s="34">
        <f t="shared" si="17"/>
        <v>1.1483466252362846</v>
      </c>
      <c r="AK17" s="35">
        <f t="shared" si="18"/>
        <v>2.9853792100000001</v>
      </c>
      <c r="AL17" s="35">
        <f t="shared" si="18"/>
        <v>0.17912275259999999</v>
      </c>
      <c r="AM17" s="35">
        <f t="shared" si="18"/>
        <v>0.40895605616438357</v>
      </c>
      <c r="AN17" s="42">
        <f t="shared" si="40"/>
        <v>4.4858602736769254E-2</v>
      </c>
      <c r="AO17" s="36">
        <f t="shared" si="41"/>
        <v>0.12054000000000001</v>
      </c>
      <c r="AP17" s="34">
        <f t="shared" si="19"/>
        <v>0.91867730018902771</v>
      </c>
      <c r="AQ17" s="35">
        <f t="shared" si="20"/>
        <v>2.8926551500000008</v>
      </c>
      <c r="AR17" s="35">
        <f t="shared" si="20"/>
        <v>0.17355930900000005</v>
      </c>
      <c r="AS17" s="35">
        <f t="shared" si="20"/>
        <v>0.3962541301369864</v>
      </c>
      <c r="AT17" s="42">
        <f t="shared" si="42"/>
        <v>5.0513701918460614E-2</v>
      </c>
      <c r="AU17" s="36">
        <f t="shared" si="43"/>
        <v>0.13152</v>
      </c>
      <c r="AV17" s="34">
        <f t="shared" si="21"/>
        <v>0.76556441682418974</v>
      </c>
      <c r="AW17" s="35">
        <f t="shared" si="22"/>
        <v>2.8002088400000003</v>
      </c>
      <c r="AX17" s="35">
        <f t="shared" si="22"/>
        <v>0.1680125304</v>
      </c>
      <c r="AY17" s="35">
        <f t="shared" si="22"/>
        <v>0.38359025205479458</v>
      </c>
      <c r="AZ17" s="42">
        <f t="shared" si="44"/>
        <v>6.7884972465125135E-2</v>
      </c>
      <c r="BA17" s="36">
        <f t="shared" si="45"/>
        <v>0.1711</v>
      </c>
      <c r="BB17" s="34">
        <f t="shared" si="23"/>
        <v>0.65619807156359122</v>
      </c>
      <c r="BC17" s="35">
        <f t="shared" si="24"/>
        <v>2.56527678</v>
      </c>
      <c r="BD17" s="35">
        <f t="shared" si="24"/>
        <v>0.15391660679999999</v>
      </c>
      <c r="BE17" s="35">
        <f t="shared" si="24"/>
        <v>0.35140777808219181</v>
      </c>
      <c r="BF17" s="42">
        <f t="shared" si="46"/>
        <v>8.4669421129676306E-2</v>
      </c>
      <c r="BG17" s="36">
        <f t="shared" si="47"/>
        <v>0.19550000000000001</v>
      </c>
      <c r="BH17" s="34">
        <f t="shared" si="25"/>
        <v>0.57417331261814231</v>
      </c>
      <c r="BI17" s="35">
        <f t="shared" si="26"/>
        <v>2.4257907300000006</v>
      </c>
      <c r="BJ17" s="35">
        <f t="shared" si="26"/>
        <v>0.14554744380000004</v>
      </c>
      <c r="BK17" s="35">
        <f t="shared" si="26"/>
        <v>0.3323001000000001</v>
      </c>
      <c r="BL17" s="42">
        <f t="shared" si="48"/>
        <v>6.4036859436757743E-2</v>
      </c>
      <c r="BM17" s="36">
        <f t="shared" si="49"/>
        <v>0.13982</v>
      </c>
      <c r="BN17" s="34">
        <f t="shared" si="27"/>
        <v>0.51037627788279316</v>
      </c>
      <c r="BO17" s="35">
        <f t="shared" si="28"/>
        <v>2.3001699599999998</v>
      </c>
      <c r="BP17" s="35">
        <f t="shared" si="28"/>
        <v>0.1380101976</v>
      </c>
      <c r="BQ17" s="35">
        <f t="shared" si="28"/>
        <v>0.31509177534246574</v>
      </c>
      <c r="BR17" s="42">
        <f t="shared" si="50"/>
        <v>6.7809463088544991E-2</v>
      </c>
      <c r="BS17" s="36">
        <f t="shared" si="51"/>
        <v>0.14039000000000001</v>
      </c>
      <c r="BT17" s="34">
        <f t="shared" si="29"/>
        <v>0.45933865009451386</v>
      </c>
      <c r="BU17" s="35">
        <f t="shared" si="30"/>
        <v>2.4707973400000003</v>
      </c>
      <c r="BV17" s="35">
        <f t="shared" si="30"/>
        <v>0.14824784040000002</v>
      </c>
      <c r="BW17" s="35">
        <f t="shared" si="30"/>
        <v>0.33846538904109597</v>
      </c>
      <c r="BX17" s="42">
        <f t="shared" si="52"/>
        <v>8.3594881156865752E-2</v>
      </c>
      <c r="BY17" s="36">
        <f t="shared" si="53"/>
        <v>0.18590999999999999</v>
      </c>
      <c r="BZ17" s="34">
        <f t="shared" si="31"/>
        <v>0.30622576672967589</v>
      </c>
      <c r="CA17" s="35">
        <f t="shared" si="32"/>
        <v>3.1516070300000001</v>
      </c>
      <c r="CB17" s="35">
        <f t="shared" si="32"/>
        <v>0.1890964218</v>
      </c>
      <c r="CC17" s="35">
        <f t="shared" si="32"/>
        <v>0.43172699041095891</v>
      </c>
      <c r="CD17" s="42">
        <f t="shared" si="54"/>
        <v>6.2758880824047417E-2</v>
      </c>
      <c r="CE17" s="36">
        <f t="shared" si="55"/>
        <v>0.17802999999999999</v>
      </c>
      <c r="CF17" s="34">
        <f t="shared" si="33"/>
        <v>0.22966932504725693</v>
      </c>
      <c r="CG17" s="35">
        <f t="shared" si="34"/>
        <v>2.9302736100000004</v>
      </c>
      <c r="CH17" s="35">
        <f t="shared" si="34"/>
        <v>0.17581641660000003</v>
      </c>
      <c r="CI17" s="35">
        <f t="shared" si="34"/>
        <v>0.40140734383561649</v>
      </c>
      <c r="CJ17" s="42">
        <f t="shared" si="56"/>
        <v>0.12498151665775674</v>
      </c>
      <c r="CK17" s="36">
        <f t="shared" si="57"/>
        <v>0.32963999999999999</v>
      </c>
      <c r="CL17" s="34">
        <f t="shared" si="35"/>
        <v>0.18373546003780553</v>
      </c>
      <c r="CM17" s="35">
        <f t="shared" si="36"/>
        <v>2.8419824400000007</v>
      </c>
      <c r="CN17" s="35">
        <f t="shared" si="36"/>
        <v>0.17051894640000004</v>
      </c>
      <c r="CO17" s="35">
        <f t="shared" si="36"/>
        <v>0.38931266301369871</v>
      </c>
      <c r="CP17" s="42">
        <f t="shared" si="58"/>
        <v>0.16256977998780317</v>
      </c>
      <c r="CQ17" s="36">
        <f t="shared" si="59"/>
        <v>0.41586000000000006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1.6599657004103827</v>
      </c>
      <c r="Y18" s="35">
        <f t="shared" si="13"/>
        <v>7.8211622500000004</v>
      </c>
      <c r="Z18" s="35">
        <f t="shared" si="13"/>
        <v>0.46926973500000002</v>
      </c>
      <c r="AA18" s="35">
        <f t="shared" si="13"/>
        <v>1.071392089041096</v>
      </c>
      <c r="AB18" s="42">
        <f t="shared" si="37"/>
        <v>1.8338719414751944E-2</v>
      </c>
      <c r="AC18" s="36">
        <f t="shared" si="14"/>
        <v>0.12909999999999999</v>
      </c>
      <c r="AD18" s="34">
        <f t="shared" si="15"/>
        <v>1.1066438002735886</v>
      </c>
      <c r="AE18" s="35">
        <f t="shared" si="16"/>
        <v>3.3711072999999998</v>
      </c>
      <c r="AF18" s="35">
        <f t="shared" si="16"/>
        <v>0.20226643799999999</v>
      </c>
      <c r="AG18" s="35">
        <f t="shared" si="16"/>
        <v>0.4617955205479452</v>
      </c>
      <c r="AH18" s="42">
        <f t="shared" si="38"/>
        <v>4.4306759384372014E-2</v>
      </c>
      <c r="AI18" s="36">
        <f t="shared" si="39"/>
        <v>0.13444</v>
      </c>
      <c r="AJ18" s="34">
        <f t="shared" si="17"/>
        <v>0.82998285020519136</v>
      </c>
      <c r="AK18" s="35">
        <f t="shared" si="18"/>
        <v>3.1469741600000001</v>
      </c>
      <c r="AL18" s="35">
        <f t="shared" si="18"/>
        <v>0.18881844959999999</v>
      </c>
      <c r="AM18" s="35">
        <f t="shared" si="18"/>
        <v>0.43109235068493151</v>
      </c>
      <c r="AN18" s="42">
        <f t="shared" si="40"/>
        <v>7.652794645126669E-2</v>
      </c>
      <c r="AO18" s="36">
        <f t="shared" si="41"/>
        <v>0.21676999999999999</v>
      </c>
      <c r="AP18" s="34">
        <f t="shared" si="19"/>
        <v>0.66398628016415306</v>
      </c>
      <c r="AQ18" s="35">
        <f t="shared" si="20"/>
        <v>3.1131331000000002</v>
      </c>
      <c r="AR18" s="35">
        <f t="shared" si="20"/>
        <v>0.18678798600000002</v>
      </c>
      <c r="AS18" s="35">
        <f t="shared" si="20"/>
        <v>0.42645658904109596</v>
      </c>
      <c r="AT18" s="42">
        <f t="shared" si="42"/>
        <v>4.5473038078583917E-2</v>
      </c>
      <c r="AU18" s="36">
        <f t="shared" si="43"/>
        <v>0.12742000000000001</v>
      </c>
      <c r="AV18" s="34">
        <f t="shared" si="21"/>
        <v>0.55332190013679428</v>
      </c>
      <c r="AW18" s="35">
        <f t="shared" si="22"/>
        <v>3.0241531100000003</v>
      </c>
      <c r="AX18" s="35">
        <f t="shared" si="22"/>
        <v>0.18144918660000001</v>
      </c>
      <c r="AY18" s="35">
        <f t="shared" si="22"/>
        <v>0.41426754931506854</v>
      </c>
      <c r="AZ18" s="42">
        <f t="shared" si="44"/>
        <v>5.2461232692018037E-2</v>
      </c>
      <c r="BA18" s="36">
        <f t="shared" si="45"/>
        <v>0.14280000000000001</v>
      </c>
      <c r="BB18" s="34">
        <f t="shared" si="23"/>
        <v>0.47427591440296651</v>
      </c>
      <c r="BC18" s="35">
        <f t="shared" si="24"/>
        <v>3.017587100000001</v>
      </c>
      <c r="BD18" s="35">
        <f t="shared" si="24"/>
        <v>0.18105522600000004</v>
      </c>
      <c r="BE18" s="35">
        <f t="shared" si="24"/>
        <v>0.41336809589041112</v>
      </c>
      <c r="BF18" s="42">
        <f t="shared" si="46"/>
        <v>5.0082839365266363E-2</v>
      </c>
      <c r="BG18" s="36">
        <f t="shared" si="47"/>
        <v>0.13602999999999998</v>
      </c>
      <c r="BH18" s="34">
        <f t="shared" si="25"/>
        <v>0.41499142510259568</v>
      </c>
      <c r="BI18" s="35">
        <f t="shared" si="26"/>
        <v>3.0147540500000001</v>
      </c>
      <c r="BJ18" s="35">
        <f t="shared" si="26"/>
        <v>0.180885243</v>
      </c>
      <c r="BK18" s="35">
        <f t="shared" si="26"/>
        <v>0.41298000684931507</v>
      </c>
      <c r="BL18" s="42">
        <f t="shared" si="48"/>
        <v>5.08743159330029E-2</v>
      </c>
      <c r="BM18" s="36">
        <f t="shared" si="49"/>
        <v>0.13805000000000001</v>
      </c>
      <c r="BN18" s="34">
        <f t="shared" si="27"/>
        <v>0.36888126675786281</v>
      </c>
      <c r="BO18" s="35">
        <f t="shared" si="28"/>
        <v>3.0613716100000001</v>
      </c>
      <c r="BP18" s="35">
        <f t="shared" si="28"/>
        <v>0.18368229659999999</v>
      </c>
      <c r="BQ18" s="35">
        <f t="shared" si="28"/>
        <v>0.41936597397260278</v>
      </c>
      <c r="BR18" s="42">
        <f t="shared" si="50"/>
        <v>4.0424458630162835E-2</v>
      </c>
      <c r="BS18" s="36">
        <f t="shared" si="51"/>
        <v>0.11139</v>
      </c>
      <c r="BT18" s="34">
        <f t="shared" si="29"/>
        <v>0.33199314008207653</v>
      </c>
      <c r="BU18" s="35">
        <f t="shared" si="30"/>
        <v>2.9072425800000001</v>
      </c>
      <c r="BV18" s="35">
        <f t="shared" si="30"/>
        <v>0.1744345548</v>
      </c>
      <c r="BW18" s="35">
        <f t="shared" si="30"/>
        <v>0.39825240821917812</v>
      </c>
      <c r="BX18" s="42">
        <f t="shared" si="52"/>
        <v>4.4543293666261592E-2</v>
      </c>
      <c r="BY18" s="36">
        <f t="shared" si="53"/>
        <v>0.11656</v>
      </c>
      <c r="BZ18" s="34">
        <f t="shared" si="31"/>
        <v>0.22132876005471769</v>
      </c>
      <c r="CA18" s="35">
        <f t="shared" si="32"/>
        <v>3.7128286800000003</v>
      </c>
      <c r="CB18" s="35">
        <f t="shared" si="32"/>
        <v>0.22276972080000002</v>
      </c>
      <c r="CC18" s="35">
        <f t="shared" si="32"/>
        <v>0.50860666849315073</v>
      </c>
      <c r="CD18" s="42">
        <f t="shared" si="54"/>
        <v>4.672519659592804E-2</v>
      </c>
      <c r="CE18" s="36">
        <f t="shared" si="55"/>
        <v>0.15615000000000001</v>
      </c>
      <c r="CF18" s="34">
        <f t="shared" si="33"/>
        <v>0.16599657004103827</v>
      </c>
      <c r="CG18" s="35">
        <f t="shared" si="34"/>
        <v>3.93725068</v>
      </c>
      <c r="CH18" s="35">
        <f t="shared" si="34"/>
        <v>0.23623504079999999</v>
      </c>
      <c r="CI18" s="35">
        <f t="shared" si="34"/>
        <v>0.53934940821917809</v>
      </c>
      <c r="CJ18" s="42">
        <f t="shared" si="56"/>
        <v>5.7403185209431475E-2</v>
      </c>
      <c r="CK18" s="36">
        <f t="shared" si="57"/>
        <v>0.20343</v>
      </c>
      <c r="CL18" s="34">
        <f t="shared" si="35"/>
        <v>0.13279725603283063</v>
      </c>
      <c r="CM18" s="35">
        <f t="shared" si="36"/>
        <v>3.1574508900000007</v>
      </c>
      <c r="CN18" s="35">
        <f t="shared" si="36"/>
        <v>0.18944705340000004</v>
      </c>
      <c r="CO18" s="35">
        <f t="shared" si="36"/>
        <v>0.4325275191780823</v>
      </c>
      <c r="CP18" s="42">
        <f t="shared" si="58"/>
        <v>0.14553534671128329</v>
      </c>
      <c r="CQ18" s="36">
        <f t="shared" si="59"/>
        <v>0.41361000000000003</v>
      </c>
    </row>
    <row r="19" spans="2:95" ht="15" thickTop="1" x14ac:dyDescent="0.3">
      <c r="B19">
        <v>1</v>
      </c>
      <c r="C19">
        <v>-175.9</v>
      </c>
      <c r="D19">
        <v>35906</v>
      </c>
      <c r="E19">
        <v>2284</v>
      </c>
      <c r="F19">
        <f t="shared" ref="F19:F29" si="60">D19/10000</f>
        <v>3.5905999999999998</v>
      </c>
      <c r="G19">
        <f t="shared" ref="G19:G29" si="61">C19/10000</f>
        <v>-1.7590000000000001E-2</v>
      </c>
      <c r="H19">
        <f t="shared" ref="H19:H29" si="62">F19-G19</f>
        <v>3.60819</v>
      </c>
      <c r="I19">
        <f>E19/10000</f>
        <v>0.22839999999999999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3.3034867090009441</v>
      </c>
      <c r="P19" s="2">
        <v>3</v>
      </c>
      <c r="Q19" s="8">
        <f>H19</f>
        <v>3.60819</v>
      </c>
      <c r="R19" s="8">
        <f>I19</f>
        <v>0.22839999999999999</v>
      </c>
      <c r="S19" s="8">
        <f>Q19/10^6*$Z$4*$Z$3/P19*10^12</f>
        <v>4.0086990900000004</v>
      </c>
      <c r="T19" s="8">
        <f>S19*0.06</f>
        <v>0.24052194540000002</v>
      </c>
      <c r="U19" s="8">
        <f>S19/$Z$1</f>
        <v>0.54913686164383568</v>
      </c>
      <c r="V19" s="12">
        <f t="shared" ref="V19:V29" si="63">O19</f>
        <v>3.3034867090009441</v>
      </c>
      <c r="W19" s="19"/>
      <c r="X19" s="34">
        <f t="shared" si="12"/>
        <v>1.1490159130493915</v>
      </c>
      <c r="Y19" s="35">
        <f t="shared" si="13"/>
        <v>7.2688563750000021</v>
      </c>
      <c r="Z19" s="35">
        <f t="shared" si="13"/>
        <v>0.43613138250000011</v>
      </c>
      <c r="AA19" s="35">
        <f t="shared" si="13"/>
        <v>0.99573375000000031</v>
      </c>
      <c r="AB19" s="42">
        <f t="shared" si="37"/>
        <v>1.0924514243136353E-2</v>
      </c>
      <c r="AC19" s="36">
        <f t="shared" si="14"/>
        <v>9.5299999999999996E-2</v>
      </c>
      <c r="AD19" s="34">
        <f t="shared" si="15"/>
        <v>0.76601060869959436</v>
      </c>
      <c r="AE19" s="35">
        <f t="shared" si="16"/>
        <v>3.7262773349999998</v>
      </c>
      <c r="AF19" s="35">
        <f t="shared" si="16"/>
        <v>0.22357664009999997</v>
      </c>
      <c r="AG19" s="35">
        <f t="shared" si="16"/>
        <v>0.51044895000000001</v>
      </c>
      <c r="AH19" s="42">
        <f t="shared" si="38"/>
        <v>2.7732682167630446E-2</v>
      </c>
      <c r="AI19" s="36">
        <f t="shared" si="39"/>
        <v>0.12402000000000001</v>
      </c>
      <c r="AJ19" s="34">
        <f t="shared" si="17"/>
        <v>0.57450795652469577</v>
      </c>
      <c r="AK19" s="35">
        <f t="shared" si="18"/>
        <v>3.5395793400000009</v>
      </c>
      <c r="AL19" s="35">
        <f t="shared" si="18"/>
        <v>0.21237476040000006</v>
      </c>
      <c r="AM19" s="35">
        <f t="shared" si="18"/>
        <v>0.48487388219178096</v>
      </c>
      <c r="AN19" s="42">
        <f t="shared" si="40"/>
        <v>1.9242358613156551E-2</v>
      </c>
      <c r="AO19" s="36">
        <f t="shared" si="41"/>
        <v>8.1739999999999993E-2</v>
      </c>
      <c r="AP19" s="34">
        <f t="shared" si="19"/>
        <v>0.45960636521975662</v>
      </c>
      <c r="AQ19" s="35">
        <f t="shared" si="20"/>
        <v>3.4135669425000006</v>
      </c>
      <c r="AR19" s="35">
        <f t="shared" si="20"/>
        <v>0.20481401655000003</v>
      </c>
      <c r="AS19" s="35">
        <f t="shared" si="20"/>
        <v>0.46761190993150692</v>
      </c>
      <c r="AT19" s="42">
        <f t="shared" si="42"/>
        <v>2.4263490769377227E-2</v>
      </c>
      <c r="AU19" s="36">
        <f t="shared" si="43"/>
        <v>9.9400000000000002E-2</v>
      </c>
      <c r="AV19" s="34">
        <f t="shared" si="21"/>
        <v>0.38300530434979718</v>
      </c>
      <c r="AW19" s="35">
        <f t="shared" si="22"/>
        <v>3.5407125600000002</v>
      </c>
      <c r="AX19" s="35">
        <f t="shared" si="22"/>
        <v>0.21244275360000001</v>
      </c>
      <c r="AY19" s="35">
        <f t="shared" si="22"/>
        <v>0.48502911780821922</v>
      </c>
      <c r="AZ19" s="42">
        <f t="shared" si="44"/>
        <v>2.6700994050756835E-2</v>
      </c>
      <c r="BA19" s="36">
        <f t="shared" si="45"/>
        <v>0.11345999999999999</v>
      </c>
      <c r="BB19" s="34">
        <f t="shared" si="23"/>
        <v>0.32829026087125474</v>
      </c>
      <c r="BC19" s="35">
        <f t="shared" si="24"/>
        <v>3.4005599099999997</v>
      </c>
      <c r="BD19" s="35">
        <f t="shared" si="24"/>
        <v>0.20403359459999998</v>
      </c>
      <c r="BE19" s="35">
        <f t="shared" si="24"/>
        <v>0.46583012465753421</v>
      </c>
      <c r="BF19" s="42">
        <f t="shared" si="46"/>
        <v>1.9747223774099012E-2</v>
      </c>
      <c r="BG19" s="36">
        <f t="shared" si="47"/>
        <v>8.0589999999999995E-2</v>
      </c>
      <c r="BH19" s="34">
        <f t="shared" si="25"/>
        <v>0.28725397826234789</v>
      </c>
      <c r="BI19" s="35">
        <f t="shared" si="26"/>
        <v>3.6428273474999995</v>
      </c>
      <c r="BJ19" s="35">
        <f t="shared" si="26"/>
        <v>0.21856964084999997</v>
      </c>
      <c r="BK19" s="35">
        <f t="shared" si="26"/>
        <v>0.49901744486301364</v>
      </c>
      <c r="BL19" s="42">
        <f t="shared" si="48"/>
        <v>1.7862085213743443E-2</v>
      </c>
      <c r="BM19" s="36">
        <f t="shared" si="49"/>
        <v>7.8089999999999993E-2</v>
      </c>
      <c r="BN19" s="34">
        <f t="shared" si="27"/>
        <v>0.25533686956653145</v>
      </c>
      <c r="BO19" s="35">
        <f t="shared" si="28"/>
        <v>2.9724860549999996</v>
      </c>
      <c r="BP19" s="35">
        <f t="shared" si="28"/>
        <v>0.17834916329999997</v>
      </c>
      <c r="BQ19" s="35">
        <f t="shared" si="28"/>
        <v>0.40718987054794514</v>
      </c>
      <c r="BR19" s="42">
        <f t="shared" si="50"/>
        <v>2.5509202935520586E-2</v>
      </c>
      <c r="BS19" s="36">
        <f t="shared" si="51"/>
        <v>9.0999999999999998E-2</v>
      </c>
      <c r="BT19" s="34">
        <f t="shared" si="29"/>
        <v>0.22980318260987831</v>
      </c>
      <c r="BU19" s="35">
        <f t="shared" si="30"/>
        <v>3.3648551475000001</v>
      </c>
      <c r="BV19" s="35">
        <f t="shared" si="30"/>
        <v>0.20189130885000001</v>
      </c>
      <c r="BW19" s="35">
        <f t="shared" si="30"/>
        <v>0.46093906130136991</v>
      </c>
      <c r="BX19" s="42">
        <f t="shared" si="52"/>
        <v>1.8292667827241142E-2</v>
      </c>
      <c r="BY19" s="36">
        <f t="shared" si="53"/>
        <v>7.3870000000000005E-2</v>
      </c>
      <c r="BZ19" s="34">
        <f t="shared" si="31"/>
        <v>0.15320212173991887</v>
      </c>
      <c r="CA19" s="35">
        <f t="shared" si="32"/>
        <v>4.2543986842500008</v>
      </c>
      <c r="CB19" s="35">
        <f t="shared" si="32"/>
        <v>0.25526392105500006</v>
      </c>
      <c r="CC19" s="35">
        <f t="shared" si="32"/>
        <v>0.58279434030821931</v>
      </c>
      <c r="CD19" s="42">
        <f t="shared" si="54"/>
        <v>1.9325122914401673E-2</v>
      </c>
      <c r="CE19" s="36">
        <f t="shared" si="55"/>
        <v>9.8670000000000008E-2</v>
      </c>
      <c r="CF19" s="34">
        <f t="shared" si="33"/>
        <v>0.11490159130493915</v>
      </c>
      <c r="CG19" s="35">
        <f t="shared" si="34"/>
        <v>4.0111905074999994</v>
      </c>
      <c r="CH19" s="35">
        <f t="shared" si="34"/>
        <v>0.24067143044999995</v>
      </c>
      <c r="CI19" s="35">
        <f t="shared" si="34"/>
        <v>0.54947815171232872</v>
      </c>
      <c r="CJ19" s="42">
        <f t="shared" si="56"/>
        <v>2.4674329183553494E-2</v>
      </c>
      <c r="CK19" s="36">
        <f t="shared" si="57"/>
        <v>0.11878</v>
      </c>
      <c r="CL19" s="34">
        <f t="shared" si="35"/>
        <v>9.1921273043951326E-2</v>
      </c>
      <c r="CM19" s="35">
        <f t="shared" si="36"/>
        <v>3.7299103050000002</v>
      </c>
      <c r="CN19" s="35">
        <f t="shared" si="36"/>
        <v>0.2237946183</v>
      </c>
      <c r="CO19" s="35">
        <f t="shared" si="36"/>
        <v>0.51094661712328771</v>
      </c>
      <c r="CP19" s="42">
        <f t="shared" si="58"/>
        <v>2.7430892202111545E-2</v>
      </c>
      <c r="CQ19" s="36">
        <f t="shared" si="59"/>
        <v>0.12279000000000001</v>
      </c>
    </row>
    <row r="20" spans="2:95" x14ac:dyDescent="0.3">
      <c r="B20">
        <v>2</v>
      </c>
      <c r="C20">
        <v>4217</v>
      </c>
      <c r="D20">
        <v>38879.800000000003</v>
      </c>
      <c r="E20">
        <v>2420</v>
      </c>
      <c r="F20">
        <f t="shared" si="60"/>
        <v>3.8879800000000002</v>
      </c>
      <c r="G20">
        <f t="shared" si="61"/>
        <v>0.42170000000000002</v>
      </c>
      <c r="H20">
        <f t="shared" si="62"/>
        <v>3.4662800000000002</v>
      </c>
      <c r="I20">
        <f t="shared" ref="I20:I29" si="64">E20/10000</f>
        <v>0.24199999999999999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2.9303192968309104</v>
      </c>
      <c r="P20" s="4">
        <v>3</v>
      </c>
      <c r="Q20" s="5">
        <f t="shared" ref="Q20:R29" si="67">H20</f>
        <v>3.4662800000000002</v>
      </c>
      <c r="R20" s="5">
        <f t="shared" si="67"/>
        <v>0.24199999999999999</v>
      </c>
      <c r="S20" s="5">
        <f t="shared" ref="S20:S29" si="68">Q20/10^6*$Z$4*$Z$3/P20*10^12</f>
        <v>3.8510370799999998</v>
      </c>
      <c r="T20" s="5">
        <f t="shared" ref="T20:T29" si="69">S20*0.06</f>
        <v>0.23106222479999997</v>
      </c>
      <c r="U20" s="5">
        <f t="shared" ref="U20:U29" si="70">S20/$Z$1</f>
        <v>0.52753932602739728</v>
      </c>
      <c r="V20" s="5">
        <f t="shared" si="63"/>
        <v>2.9303192968309104</v>
      </c>
      <c r="W20" s="19"/>
      <c r="X20" s="34">
        <f t="shared" si="12"/>
        <v>0.83064213960254329</v>
      </c>
      <c r="Y20" s="35">
        <f t="shared" si="13"/>
        <v>6.6629669700000003</v>
      </c>
      <c r="Z20" s="35">
        <f t="shared" si="13"/>
        <v>0.39977801819999997</v>
      </c>
      <c r="AA20" s="35">
        <f t="shared" si="13"/>
        <v>0.91273520136986308</v>
      </c>
      <c r="AB20" s="42">
        <f t="shared" si="37"/>
        <v>1.3118468903351024E-2</v>
      </c>
      <c r="AC20" s="36">
        <f t="shared" si="14"/>
        <v>0.10489999999999999</v>
      </c>
      <c r="AD20" s="34">
        <f t="shared" si="15"/>
        <v>0.55376142640169557</v>
      </c>
      <c r="AE20" s="35">
        <f t="shared" si="16"/>
        <v>3.5874662175000003</v>
      </c>
      <c r="AF20" s="35">
        <f t="shared" si="16"/>
        <v>0.21524797305000001</v>
      </c>
      <c r="AG20" s="35">
        <f t="shared" si="16"/>
        <v>0.4914337284246576</v>
      </c>
      <c r="AH20" s="42">
        <f t="shared" si="38"/>
        <v>2.228834089362404E-2</v>
      </c>
      <c r="AI20" s="36">
        <f t="shared" si="39"/>
        <v>9.5960000000000004E-2</v>
      </c>
      <c r="AJ20" s="34">
        <f t="shared" si="17"/>
        <v>0.41532106980127165</v>
      </c>
      <c r="AK20" s="35">
        <f t="shared" si="18"/>
        <v>3.4214494875000008</v>
      </c>
      <c r="AL20" s="35">
        <f t="shared" si="18"/>
        <v>0.20528696925000003</v>
      </c>
      <c r="AM20" s="35">
        <f t="shared" si="18"/>
        <v>0.46869171061643849</v>
      </c>
      <c r="AN20" s="42">
        <f t="shared" si="40"/>
        <v>3.2037796963091947E-2</v>
      </c>
      <c r="AO20" s="36">
        <f t="shared" si="41"/>
        <v>0.131552</v>
      </c>
      <c r="AP20" s="34">
        <f t="shared" si="19"/>
        <v>0.33225685584101733</v>
      </c>
      <c r="AQ20" s="35">
        <f t="shared" si="20"/>
        <v>3.3998849775000002</v>
      </c>
      <c r="AR20" s="35">
        <f t="shared" si="20"/>
        <v>0.20399309865000001</v>
      </c>
      <c r="AS20" s="35">
        <f t="shared" si="20"/>
        <v>0.46573766815068496</v>
      </c>
      <c r="AT20" s="42">
        <f t="shared" si="42"/>
        <v>1.5638670970303435E-2</v>
      </c>
      <c r="AU20" s="36">
        <f t="shared" si="43"/>
        <v>6.3810000000000006E-2</v>
      </c>
      <c r="AV20" s="34">
        <f t="shared" si="21"/>
        <v>0.27688071320084778</v>
      </c>
      <c r="AW20" s="35">
        <f t="shared" si="22"/>
        <v>3.5065576425000002</v>
      </c>
      <c r="AX20" s="35">
        <f t="shared" si="22"/>
        <v>0.21039345855</v>
      </c>
      <c r="AY20" s="35">
        <f t="shared" si="22"/>
        <v>0.48035036198630143</v>
      </c>
      <c r="AZ20" s="42">
        <f t="shared" si="44"/>
        <v>1.2862706705098745E-2</v>
      </c>
      <c r="BA20" s="36">
        <f t="shared" si="45"/>
        <v>5.4129999999999998E-2</v>
      </c>
      <c r="BB20" s="34">
        <f t="shared" si="23"/>
        <v>0.23732632560072667</v>
      </c>
      <c r="BC20" s="35">
        <f t="shared" si="24"/>
        <v>3.2293853625</v>
      </c>
      <c r="BD20" s="35">
        <f t="shared" si="24"/>
        <v>0.19376312174999999</v>
      </c>
      <c r="BE20" s="35">
        <f t="shared" si="24"/>
        <v>0.44238155650684929</v>
      </c>
      <c r="BF20" s="42">
        <f t="shared" si="46"/>
        <v>2.8872576213022329E-2</v>
      </c>
      <c r="BG20" s="36">
        <f t="shared" si="47"/>
        <v>0.1119</v>
      </c>
      <c r="BH20" s="34">
        <f t="shared" si="25"/>
        <v>0.20766053490063582</v>
      </c>
      <c r="BI20" s="35">
        <f t="shared" si="26"/>
        <v>3.0903992625000001</v>
      </c>
      <c r="BJ20" s="35">
        <f t="shared" si="26"/>
        <v>0.18542395575000001</v>
      </c>
      <c r="BK20" s="35">
        <f t="shared" si="26"/>
        <v>0.42334236472602743</v>
      </c>
      <c r="BL20" s="42">
        <f t="shared" si="48"/>
        <v>1.9210806584251183E-2</v>
      </c>
      <c r="BM20" s="36">
        <f t="shared" si="49"/>
        <v>7.1249999999999994E-2</v>
      </c>
      <c r="BN20" s="34">
        <f t="shared" si="27"/>
        <v>0.18458714213389851</v>
      </c>
      <c r="BO20" s="35">
        <f t="shared" si="28"/>
        <v>3.2763973274999998</v>
      </c>
      <c r="BP20" s="35">
        <f t="shared" si="28"/>
        <v>0.19658383964999998</v>
      </c>
      <c r="BQ20" s="35">
        <f t="shared" si="28"/>
        <v>0.44882155171232874</v>
      </c>
      <c r="BR20" s="42">
        <f t="shared" si="50"/>
        <v>1.7619218376071635E-2</v>
      </c>
      <c r="BS20" s="36">
        <f t="shared" si="51"/>
        <v>6.9279999999999994E-2</v>
      </c>
      <c r="BT20" s="34">
        <f t="shared" si="29"/>
        <v>0.16612842792050866</v>
      </c>
      <c r="BU20" s="35">
        <f t="shared" si="30"/>
        <v>3.2086541024999997</v>
      </c>
      <c r="BV20" s="35">
        <f t="shared" si="30"/>
        <v>0.19251924614999999</v>
      </c>
      <c r="BW20" s="35">
        <f t="shared" si="30"/>
        <v>0.43954165787671229</v>
      </c>
      <c r="BX20" s="42">
        <f t="shared" si="52"/>
        <v>1.9860962872360593E-2</v>
      </c>
      <c r="BY20" s="36">
        <f t="shared" si="53"/>
        <v>7.6479999999999992E-2</v>
      </c>
      <c r="BZ20" s="34">
        <f t="shared" si="31"/>
        <v>0.11075228528033911</v>
      </c>
      <c r="CA20" s="35">
        <f t="shared" si="32"/>
        <v>3.7713728250000003</v>
      </c>
      <c r="CB20" s="35">
        <f t="shared" si="32"/>
        <v>0.2262823695</v>
      </c>
      <c r="CC20" s="35">
        <f t="shared" si="32"/>
        <v>0.51662641438356172</v>
      </c>
      <c r="CD20" s="42">
        <f t="shared" si="54"/>
        <v>1.5764123638452528E-2</v>
      </c>
      <c r="CE20" s="36">
        <f t="shared" si="55"/>
        <v>7.1349999999999997E-2</v>
      </c>
      <c r="CF20" s="34">
        <f t="shared" si="33"/>
        <v>8.3064213960254332E-2</v>
      </c>
      <c r="CG20" s="35">
        <f t="shared" si="34"/>
        <v>3.1513265024999999</v>
      </c>
      <c r="CH20" s="35">
        <f t="shared" si="34"/>
        <v>0.18907959014999998</v>
      </c>
      <c r="CI20" s="35">
        <f t="shared" si="34"/>
        <v>0.43168856198630134</v>
      </c>
      <c r="CJ20" s="42">
        <f t="shared" si="56"/>
        <v>2.3191617067295618E-2</v>
      </c>
      <c r="CK20" s="36">
        <f t="shared" si="57"/>
        <v>8.7709999999999996E-2</v>
      </c>
      <c r="CL20" s="34">
        <f t="shared" si="35"/>
        <v>6.645137116820346E-2</v>
      </c>
      <c r="CM20" s="35">
        <f t="shared" si="36"/>
        <v>2.4468386249999998</v>
      </c>
      <c r="CN20" s="35">
        <f t="shared" si="36"/>
        <v>0.14681031749999998</v>
      </c>
      <c r="CO20" s="35">
        <f t="shared" si="36"/>
        <v>0.33518337328767123</v>
      </c>
      <c r="CP20" s="42">
        <f t="shared" si="58"/>
        <v>3.947556615017879E-2</v>
      </c>
      <c r="CQ20" s="36">
        <f t="shared" si="59"/>
        <v>0.11592000000000001</v>
      </c>
    </row>
    <row r="21" spans="2:95" x14ac:dyDescent="0.3">
      <c r="B21">
        <v>3</v>
      </c>
      <c r="C21">
        <v>6273</v>
      </c>
      <c r="D21">
        <v>40087.9</v>
      </c>
      <c r="E21">
        <v>1971.4</v>
      </c>
      <c r="F21">
        <f t="shared" si="60"/>
        <v>4.0087900000000003</v>
      </c>
      <c r="G21">
        <f t="shared" si="61"/>
        <v>0.62729999999999997</v>
      </c>
      <c r="H21">
        <f t="shared" si="62"/>
        <v>3.3814900000000003</v>
      </c>
      <c r="I21">
        <f t="shared" si="64"/>
        <v>0.19714000000000001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2.5279680456911686</v>
      </c>
      <c r="P21" s="4">
        <v>3</v>
      </c>
      <c r="Q21" s="5">
        <f t="shared" si="67"/>
        <v>3.3814900000000003</v>
      </c>
      <c r="R21" s="5">
        <f t="shared" si="67"/>
        <v>0.19714000000000001</v>
      </c>
      <c r="S21" s="5">
        <f t="shared" si="68"/>
        <v>3.7568353900000009</v>
      </c>
      <c r="T21" s="5">
        <f t="shared" si="69"/>
        <v>0.22541012340000005</v>
      </c>
      <c r="U21" s="5">
        <f t="shared" si="70"/>
        <v>0.51463498493150694</v>
      </c>
      <c r="V21" s="5">
        <f t="shared" si="63"/>
        <v>2.5279680456911686</v>
      </c>
      <c r="W21" s="19"/>
      <c r="X21" s="34">
        <f t="shared" si="12"/>
        <v>0.6965894398220297</v>
      </c>
      <c r="Y21" s="35">
        <f t="shared" si="13"/>
        <v>5.9915341199999999</v>
      </c>
      <c r="Z21" s="35">
        <f t="shared" si="13"/>
        <v>0.3594920472</v>
      </c>
      <c r="AA21" s="35">
        <f t="shared" si="13"/>
        <v>0.82075809863013693</v>
      </c>
      <c r="AB21" s="42">
        <f t="shared" si="37"/>
        <v>1.3806991388709644E-2</v>
      </c>
      <c r="AC21" s="36">
        <f t="shared" si="14"/>
        <v>0.1241</v>
      </c>
      <c r="AD21" s="34">
        <f t="shared" si="15"/>
        <v>0.46439295988135315</v>
      </c>
      <c r="AE21" s="35">
        <f t="shared" si="16"/>
        <v>3.481078524</v>
      </c>
      <c r="AF21" s="35">
        <f t="shared" si="16"/>
        <v>0.20886471143999999</v>
      </c>
      <c r="AG21" s="35">
        <f t="shared" si="16"/>
        <v>0.4768600717808219</v>
      </c>
      <c r="AH21" s="42">
        <f t="shared" si="38"/>
        <v>1.959541490653257E-2</v>
      </c>
      <c r="AI21" s="36">
        <f t="shared" si="39"/>
        <v>0.10232999999999999</v>
      </c>
      <c r="AJ21" s="34">
        <f t="shared" si="17"/>
        <v>0.34829471991101485</v>
      </c>
      <c r="AK21" s="35">
        <f t="shared" si="18"/>
        <v>3.2965769759999999</v>
      </c>
      <c r="AL21" s="35">
        <f t="shared" si="18"/>
        <v>0.19779461856</v>
      </c>
      <c r="AM21" s="35">
        <f t="shared" si="18"/>
        <v>0.45158588712328768</v>
      </c>
      <c r="AN21" s="42">
        <f t="shared" si="40"/>
        <v>2.7478282673051104E-2</v>
      </c>
      <c r="AO21" s="36">
        <f t="shared" si="41"/>
        <v>0.13589000000000001</v>
      </c>
      <c r="AP21" s="34">
        <f t="shared" si="19"/>
        <v>0.27863577592881189</v>
      </c>
      <c r="AQ21" s="35">
        <f t="shared" si="20"/>
        <v>3.0636935999999992</v>
      </c>
      <c r="AR21" s="35">
        <f t="shared" si="20"/>
        <v>0.18382161599999994</v>
      </c>
      <c r="AS21" s="35">
        <f t="shared" si="20"/>
        <v>0.41968405479452048</v>
      </c>
      <c r="AT21" s="42">
        <f t="shared" si="42"/>
        <v>4.0289382071366411E-2</v>
      </c>
      <c r="AU21" s="36">
        <f t="shared" si="43"/>
        <v>0.18517</v>
      </c>
      <c r="AV21" s="34">
        <f t="shared" si="21"/>
        <v>0.23219647994067658</v>
      </c>
      <c r="AW21" s="35">
        <f t="shared" si="22"/>
        <v>3.2525880420000002</v>
      </c>
      <c r="AX21" s="35">
        <f t="shared" si="22"/>
        <v>0.19515528252</v>
      </c>
      <c r="AY21" s="35">
        <f t="shared" si="22"/>
        <v>0.44556000575342469</v>
      </c>
      <c r="AZ21" s="42">
        <f t="shared" si="44"/>
        <v>1.4756003336496307E-2</v>
      </c>
      <c r="BA21" s="36">
        <f t="shared" si="45"/>
        <v>7.1999999999999995E-2</v>
      </c>
      <c r="BB21" s="34">
        <f t="shared" si="23"/>
        <v>0.19902555423486562</v>
      </c>
      <c r="BC21" s="35">
        <f t="shared" si="24"/>
        <v>3.1013964959999996</v>
      </c>
      <c r="BD21" s="35">
        <f t="shared" si="24"/>
        <v>0.18608378975999998</v>
      </c>
      <c r="BE21" s="35">
        <f t="shared" si="24"/>
        <v>0.42484883506849308</v>
      </c>
      <c r="BF21" s="42">
        <f t="shared" si="46"/>
        <v>1.3826796430352324E-2</v>
      </c>
      <c r="BG21" s="36">
        <f t="shared" si="47"/>
        <v>6.4329999999999998E-2</v>
      </c>
      <c r="BH21" s="34">
        <f t="shared" si="25"/>
        <v>0.17414735995550742</v>
      </c>
      <c r="BI21" s="35">
        <f t="shared" si="26"/>
        <v>3.0282571439999999</v>
      </c>
      <c r="BJ21" s="35">
        <f t="shared" si="26"/>
        <v>0.18169542863999999</v>
      </c>
      <c r="BK21" s="35">
        <f t="shared" si="26"/>
        <v>0.41482974575342463</v>
      </c>
      <c r="BL21" s="42">
        <f t="shared" si="48"/>
        <v>1.6419244349349747E-2</v>
      </c>
      <c r="BM21" s="36">
        <f t="shared" si="49"/>
        <v>7.4590000000000004E-2</v>
      </c>
      <c r="BN21" s="34">
        <f t="shared" si="27"/>
        <v>0.15479765329378437</v>
      </c>
      <c r="BO21" s="35">
        <f t="shared" si="28"/>
        <v>3.0029863380000008</v>
      </c>
      <c r="BP21" s="35">
        <f t="shared" si="28"/>
        <v>0.18017918028000005</v>
      </c>
      <c r="BQ21" s="35">
        <f t="shared" si="28"/>
        <v>0.41136799150684944</v>
      </c>
      <c r="BR21" s="42">
        <f t="shared" si="50"/>
        <v>2.0641830172721885E-2</v>
      </c>
      <c r="BS21" s="36">
        <f t="shared" si="51"/>
        <v>9.2990000000000003E-2</v>
      </c>
      <c r="BT21" s="34">
        <f t="shared" si="29"/>
        <v>0.13931788796440595</v>
      </c>
      <c r="BU21" s="35">
        <f t="shared" si="30"/>
        <v>2.8416291420000008</v>
      </c>
      <c r="BV21" s="35">
        <f t="shared" si="30"/>
        <v>0.17049774852000005</v>
      </c>
      <c r="BW21" s="35">
        <f t="shared" si="30"/>
        <v>0.38926426602739739</v>
      </c>
      <c r="BX21" s="42">
        <f t="shared" si="52"/>
        <v>1.7490563868942752E-2</v>
      </c>
      <c r="BY21" s="36">
        <f t="shared" si="53"/>
        <v>7.4560000000000001E-2</v>
      </c>
      <c r="BZ21" s="34">
        <f t="shared" si="31"/>
        <v>9.287859197627063E-2</v>
      </c>
      <c r="CA21" s="35">
        <f t="shared" si="32"/>
        <v>3.1833149700000001</v>
      </c>
      <c r="CB21" s="35">
        <f t="shared" si="32"/>
        <v>0.19099889819999999</v>
      </c>
      <c r="CC21" s="35">
        <f t="shared" si="32"/>
        <v>0.43607054383561644</v>
      </c>
      <c r="CD21" s="42">
        <f t="shared" si="54"/>
        <v>1.1498392821618904E-2</v>
      </c>
      <c r="CE21" s="36">
        <f t="shared" si="55"/>
        <v>5.491E-2</v>
      </c>
      <c r="CF21" s="34">
        <f t="shared" si="33"/>
        <v>6.9658943982202973E-2</v>
      </c>
      <c r="CG21" s="35">
        <f t="shared" si="34"/>
        <v>2.4766523100000004</v>
      </c>
      <c r="CH21" s="35">
        <f t="shared" si="34"/>
        <v>0.14859913860000001</v>
      </c>
      <c r="CI21" s="35">
        <f t="shared" si="34"/>
        <v>0.33926743972602746</v>
      </c>
      <c r="CJ21" s="42">
        <f t="shared" si="56"/>
        <v>1.2539868383866929E-2</v>
      </c>
      <c r="CK21" s="36">
        <f t="shared" si="57"/>
        <v>4.6589999999999999E-2</v>
      </c>
      <c r="CL21" s="34">
        <f t="shared" si="35"/>
        <v>5.5727155185762378E-2</v>
      </c>
      <c r="CM21" s="35">
        <f t="shared" si="36"/>
        <v>1.5673299180000002</v>
      </c>
      <c r="CN21" s="35">
        <f t="shared" si="36"/>
        <v>9.4039795080000016E-2</v>
      </c>
      <c r="CO21" s="35">
        <f t="shared" si="36"/>
        <v>0.21470272849315072</v>
      </c>
      <c r="CP21" s="42">
        <f t="shared" si="58"/>
        <v>3.425866461384041E-2</v>
      </c>
      <c r="CQ21" s="36">
        <f t="shared" si="59"/>
        <v>8.0549999999999997E-2</v>
      </c>
    </row>
    <row r="22" spans="2:95" x14ac:dyDescent="0.3">
      <c r="B22">
        <v>4</v>
      </c>
      <c r="C22">
        <v>7651.9</v>
      </c>
      <c r="D22">
        <v>38665.699999999997</v>
      </c>
      <c r="E22">
        <v>1778</v>
      </c>
      <c r="F22">
        <f t="shared" si="60"/>
        <v>3.8665699999999998</v>
      </c>
      <c r="G22">
        <f t="shared" si="61"/>
        <v>0.76518999999999993</v>
      </c>
      <c r="H22">
        <f t="shared" si="62"/>
        <v>3.1013799999999998</v>
      </c>
      <c r="I22">
        <f t="shared" si="64"/>
        <v>0.17780000000000001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1.5311288336483795</v>
      </c>
      <c r="P22" s="4">
        <v>3</v>
      </c>
      <c r="Q22" s="5">
        <f t="shared" si="67"/>
        <v>3.1013799999999998</v>
      </c>
      <c r="R22" s="5">
        <f t="shared" si="67"/>
        <v>0.17780000000000001</v>
      </c>
      <c r="S22" s="5">
        <f t="shared" si="68"/>
        <v>3.4456331800000002</v>
      </c>
      <c r="T22" s="5">
        <f t="shared" si="69"/>
        <v>0.20673799079999999</v>
      </c>
      <c r="U22" s="5">
        <f t="shared" si="70"/>
        <v>0.47200454520547946</v>
      </c>
      <c r="V22" s="5">
        <f t="shared" si="63"/>
        <v>1.5311288336483795</v>
      </c>
      <c r="W22" s="19"/>
      <c r="X22" s="34">
        <f t="shared" si="12"/>
        <v>0.56140155606467401</v>
      </c>
      <c r="Y22" s="35">
        <f t="shared" si="13"/>
        <v>4.9361813325000012</v>
      </c>
      <c r="Z22" s="35">
        <f t="shared" si="13"/>
        <v>0.29617087995000008</v>
      </c>
      <c r="AA22" s="35">
        <f t="shared" si="13"/>
        <v>0.67618922363013723</v>
      </c>
      <c r="AB22" s="42">
        <f t="shared" si="37"/>
        <v>1.661037034036067E-2</v>
      </c>
      <c r="AC22" s="36">
        <f t="shared" si="14"/>
        <v>0.1968</v>
      </c>
      <c r="AD22" s="34">
        <f t="shared" si="15"/>
        <v>0.37426770404311599</v>
      </c>
      <c r="AE22" s="35">
        <f t="shared" si="16"/>
        <v>3.1316868000000002</v>
      </c>
      <c r="AF22" s="35">
        <f t="shared" si="16"/>
        <v>0.18790120800000001</v>
      </c>
      <c r="AG22" s="35">
        <f t="shared" si="16"/>
        <v>0.42899819178082194</v>
      </c>
      <c r="AH22" s="42">
        <f t="shared" si="38"/>
        <v>1.0406023839931887E-2</v>
      </c>
      <c r="AI22" s="36">
        <f t="shared" si="39"/>
        <v>7.8219999999999998E-2</v>
      </c>
      <c r="AJ22" s="34">
        <f t="shared" si="17"/>
        <v>0.28070077803233701</v>
      </c>
      <c r="AK22" s="35">
        <f t="shared" si="18"/>
        <v>2.9819601075</v>
      </c>
      <c r="AL22" s="35">
        <f t="shared" si="18"/>
        <v>0.17891760644999999</v>
      </c>
      <c r="AM22" s="35">
        <f t="shared" si="18"/>
        <v>0.40848768595890411</v>
      </c>
      <c r="AN22" s="42">
        <f t="shared" si="40"/>
        <v>1.7646023287720997E-2</v>
      </c>
      <c r="AO22" s="36">
        <f t="shared" si="41"/>
        <v>0.1263</v>
      </c>
      <c r="AP22" s="34">
        <f t="shared" si="19"/>
        <v>0.2245606224258696</v>
      </c>
      <c r="AQ22" s="35">
        <f t="shared" si="20"/>
        <v>2.896760295</v>
      </c>
      <c r="AR22" s="35">
        <f t="shared" si="20"/>
        <v>0.1738056177</v>
      </c>
      <c r="AS22" s="35">
        <f t="shared" si="20"/>
        <v>0.39681647876712328</v>
      </c>
      <c r="AT22" s="42">
        <f t="shared" si="42"/>
        <v>1.599328052098974E-2</v>
      </c>
      <c r="AU22" s="36">
        <f t="shared" si="43"/>
        <v>0.11119999999999999</v>
      </c>
      <c r="AV22" s="34">
        <f t="shared" si="21"/>
        <v>0.18713385202155799</v>
      </c>
      <c r="AW22" s="35">
        <f t="shared" si="22"/>
        <v>2.8097731612499999</v>
      </c>
      <c r="AX22" s="35">
        <f t="shared" si="22"/>
        <v>0.16858638967499998</v>
      </c>
      <c r="AY22" s="35">
        <f t="shared" si="22"/>
        <v>0.38490043304794519</v>
      </c>
      <c r="AZ22" s="42">
        <f t="shared" si="44"/>
        <v>1.3423525347227886E-2</v>
      </c>
      <c r="BA22" s="36">
        <f t="shared" si="45"/>
        <v>9.0529999999999999E-2</v>
      </c>
      <c r="BB22" s="34">
        <f t="shared" si="23"/>
        <v>0.16040044458990685</v>
      </c>
      <c r="BC22" s="35">
        <f t="shared" si="24"/>
        <v>2.5905117562500006</v>
      </c>
      <c r="BD22" s="35">
        <f t="shared" si="24"/>
        <v>0.15543070537500003</v>
      </c>
      <c r="BE22" s="35">
        <f t="shared" si="24"/>
        <v>0.35486462414383574</v>
      </c>
      <c r="BF22" s="42">
        <f t="shared" si="46"/>
        <v>2.3056201098450427E-2</v>
      </c>
      <c r="BG22" s="36">
        <f t="shared" si="47"/>
        <v>0.14335999999999999</v>
      </c>
      <c r="BH22" s="34">
        <f t="shared" si="25"/>
        <v>0.1403503890161685</v>
      </c>
      <c r="BI22" s="35">
        <f t="shared" si="26"/>
        <v>2.6511431925000006</v>
      </c>
      <c r="BJ22" s="35">
        <f t="shared" si="26"/>
        <v>0.15906859155000003</v>
      </c>
      <c r="BK22" s="35">
        <f t="shared" si="26"/>
        <v>0.36317030034246583</v>
      </c>
      <c r="BL22" s="42">
        <f t="shared" si="48"/>
        <v>1.8256021171138611E-2</v>
      </c>
      <c r="BM22" s="36">
        <f t="shared" si="49"/>
        <v>0.11617000000000001</v>
      </c>
      <c r="BN22" s="34">
        <f t="shared" si="27"/>
        <v>0.12475590134770534</v>
      </c>
      <c r="BO22" s="35">
        <f t="shared" si="28"/>
        <v>2.4519964425</v>
      </c>
      <c r="BP22" s="35">
        <f t="shared" si="28"/>
        <v>0.14711978654999999</v>
      </c>
      <c r="BQ22" s="35">
        <f t="shared" si="28"/>
        <v>0.33588992363013698</v>
      </c>
      <c r="BR22" s="42">
        <f t="shared" si="50"/>
        <v>2.1772595822189902E-2</v>
      </c>
      <c r="BS22" s="36">
        <f t="shared" si="51"/>
        <v>0.12814</v>
      </c>
      <c r="BT22" s="34">
        <f t="shared" si="29"/>
        <v>0.1122803112129348</v>
      </c>
      <c r="BU22" s="35">
        <f t="shared" si="30"/>
        <v>2.3183223112499998</v>
      </c>
      <c r="BV22" s="35">
        <f t="shared" si="30"/>
        <v>0.13909933867499999</v>
      </c>
      <c r="BW22" s="35">
        <f t="shared" si="30"/>
        <v>0.31757839880136984</v>
      </c>
      <c r="BX22" s="42">
        <f t="shared" si="52"/>
        <v>2.7441670725110653E-2</v>
      </c>
      <c r="BY22" s="36">
        <f t="shared" si="53"/>
        <v>0.1527</v>
      </c>
      <c r="BZ22" s="34">
        <f t="shared" si="31"/>
        <v>7.4853540808623206E-2</v>
      </c>
      <c r="CA22" s="35">
        <f t="shared" si="32"/>
        <v>2.0996525137500002</v>
      </c>
      <c r="CB22" s="35">
        <f t="shared" si="32"/>
        <v>0.125979150825</v>
      </c>
      <c r="CC22" s="35">
        <f t="shared" si="32"/>
        <v>0.28762363202054797</v>
      </c>
      <c r="CD22" s="42">
        <f t="shared" si="54"/>
        <v>0.13611208670408975</v>
      </c>
      <c r="CE22" s="36">
        <f t="shared" si="55"/>
        <v>0.68596000000000001</v>
      </c>
      <c r="CF22" s="34">
        <f t="shared" si="33"/>
        <v>5.6140155606467401E-2</v>
      </c>
      <c r="CG22" s="35">
        <f t="shared" si="34"/>
        <v>1.2243442200000001</v>
      </c>
      <c r="CH22" s="35">
        <f t="shared" si="34"/>
        <v>7.3460653200000003E-2</v>
      </c>
      <c r="CI22" s="35">
        <f t="shared" si="34"/>
        <v>0.16771838630136987</v>
      </c>
      <c r="CJ22" s="42">
        <f t="shared" si="56"/>
        <v>0.20194506451788533</v>
      </c>
      <c r="CK22" s="36">
        <f t="shared" si="57"/>
        <v>0.59345999999999999</v>
      </c>
      <c r="CL22" s="34">
        <f t="shared" si="35"/>
        <v>4.491212448517392E-2</v>
      </c>
      <c r="CM22" s="35">
        <f t="shared" si="36"/>
        <v>0.10106905874999997</v>
      </c>
      <c r="CN22" s="35">
        <f t="shared" si="36"/>
        <v>6.0641435249999976E-3</v>
      </c>
      <c r="CO22" s="35">
        <f t="shared" si="36"/>
        <v>1.3845076541095886E-2</v>
      </c>
      <c r="CP22" s="42">
        <f t="shared" si="58"/>
        <v>0.45389340038748505</v>
      </c>
      <c r="CQ22" s="36">
        <f t="shared" si="59"/>
        <v>0.11010999999999999</v>
      </c>
    </row>
    <row r="23" spans="2:95" x14ac:dyDescent="0.3">
      <c r="B23">
        <v>5</v>
      </c>
      <c r="C23">
        <v>8648</v>
      </c>
      <c r="D23">
        <v>38991</v>
      </c>
      <c r="E23">
        <v>1344.4</v>
      </c>
      <c r="F23">
        <f t="shared" si="60"/>
        <v>3.8990999999999998</v>
      </c>
      <c r="G23">
        <f t="shared" si="61"/>
        <v>0.86480000000000001</v>
      </c>
      <c r="H23">
        <f t="shared" si="62"/>
        <v>3.0343</v>
      </c>
      <c r="I23">
        <f t="shared" si="64"/>
        <v>0.13444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1.1066438002735886</v>
      </c>
      <c r="P23" s="4">
        <v>3</v>
      </c>
      <c r="Q23" s="5">
        <f t="shared" si="67"/>
        <v>3.0343</v>
      </c>
      <c r="R23" s="5">
        <f t="shared" si="67"/>
        <v>0.13444</v>
      </c>
      <c r="S23" s="5">
        <f t="shared" si="68"/>
        <v>3.3711072999999998</v>
      </c>
      <c r="T23" s="5">
        <f t="shared" si="69"/>
        <v>0.20226643799999999</v>
      </c>
      <c r="U23" s="5">
        <f t="shared" si="70"/>
        <v>0.4617955205479452</v>
      </c>
      <c r="V23" s="5">
        <f t="shared" si="63"/>
        <v>1.1066438002735886</v>
      </c>
      <c r="W23" s="19"/>
      <c r="X23" s="34">
        <f t="shared" si="12"/>
        <v>0.40202993378190233</v>
      </c>
      <c r="Y23" s="35">
        <f t="shared" si="13"/>
        <v>3.1537893514285718</v>
      </c>
      <c r="Z23" s="35">
        <f t="shared" si="13"/>
        <v>0.18922736108571431</v>
      </c>
      <c r="AA23" s="35">
        <f t="shared" si="13"/>
        <v>0.43202593855185917</v>
      </c>
      <c r="AB23" s="42">
        <f t="shared" si="37"/>
        <v>7.6619733619984242E-3</v>
      </c>
      <c r="AC23" s="36">
        <f t="shared" si="14"/>
        <v>0.10150000000000001</v>
      </c>
      <c r="AD23" s="34">
        <f t="shared" si="15"/>
        <v>0.26801995585460153</v>
      </c>
      <c r="AE23" s="35">
        <f t="shared" si="16"/>
        <v>2.3597235278571431</v>
      </c>
      <c r="AF23" s="35">
        <f t="shared" si="16"/>
        <v>0.14158341167142857</v>
      </c>
      <c r="AG23" s="35">
        <f t="shared" si="16"/>
        <v>0.32324979833659495</v>
      </c>
      <c r="AH23" s="42">
        <f t="shared" si="38"/>
        <v>1.2908817039840273E-2</v>
      </c>
      <c r="AI23" s="36">
        <f t="shared" si="39"/>
        <v>0.12795000000000001</v>
      </c>
      <c r="AJ23" s="34">
        <f t="shared" si="17"/>
        <v>0.20101496689095116</v>
      </c>
      <c r="AK23" s="35">
        <f t="shared" si="18"/>
        <v>1.8321620035714283</v>
      </c>
      <c r="AL23" s="35">
        <f t="shared" si="18"/>
        <v>0.10992972021428569</v>
      </c>
      <c r="AM23" s="35">
        <f t="shared" si="18"/>
        <v>0.25098109637964772</v>
      </c>
      <c r="AN23" s="42">
        <f t="shared" si="40"/>
        <v>2.958347680892949E-2</v>
      </c>
      <c r="AO23" s="36">
        <f t="shared" si="41"/>
        <v>0.22766999999999998</v>
      </c>
      <c r="AP23" s="34">
        <f t="shared" si="19"/>
        <v>0.16081197351276094</v>
      </c>
      <c r="AQ23" s="35">
        <f t="shared" si="20"/>
        <v>1.5261259435714283</v>
      </c>
      <c r="AR23" s="35">
        <f t="shared" si="20"/>
        <v>9.15675566142857E-2</v>
      </c>
      <c r="AS23" s="35">
        <f t="shared" si="20"/>
        <v>0.20905834843444224</v>
      </c>
      <c r="AT23" s="42">
        <f t="shared" si="42"/>
        <v>0.11230241000129479</v>
      </c>
      <c r="AU23" s="36">
        <f t="shared" si="43"/>
        <v>0.71989999999999998</v>
      </c>
      <c r="AV23" s="34">
        <f t="shared" si="21"/>
        <v>0.13400997792730077</v>
      </c>
      <c r="AW23" s="35">
        <f t="shared" si="22"/>
        <v>0.95563061785714298</v>
      </c>
      <c r="AX23" s="35">
        <f t="shared" si="22"/>
        <v>5.7337837071428574E-2</v>
      </c>
      <c r="AY23" s="35">
        <f t="shared" si="22"/>
        <v>0.13090830381604698</v>
      </c>
      <c r="AZ23" s="42">
        <f t="shared" si="44"/>
        <v>0.33950000622812371</v>
      </c>
      <c r="BA23" s="36">
        <f t="shared" si="45"/>
        <v>1.36277</v>
      </c>
      <c r="BB23" s="34">
        <f t="shared" si="23"/>
        <v>0.11486569536625781</v>
      </c>
      <c r="BC23" s="35">
        <f t="shared" si="24"/>
        <v>0.52360477714285703</v>
      </c>
      <c r="BD23" s="35">
        <f t="shared" si="24"/>
        <v>3.1416286628571419E-2</v>
      </c>
      <c r="BE23" s="35">
        <f t="shared" si="24"/>
        <v>7.1726681800391379E-2</v>
      </c>
      <c r="BF23" s="42">
        <f t="shared" si="46"/>
        <v>0.83332423977884484</v>
      </c>
      <c r="BG23" s="36">
        <f t="shared" si="47"/>
        <v>1.8327799999999999</v>
      </c>
      <c r="BH23" s="34">
        <f t="shared" si="25"/>
        <v>0.10050748344547558</v>
      </c>
      <c r="BI23" s="35">
        <f t="shared" si="26"/>
        <v>0.25291756285714284</v>
      </c>
      <c r="BJ23" s="35">
        <f t="shared" si="26"/>
        <v>1.5175053771428569E-2</v>
      </c>
      <c r="BK23" s="35">
        <f t="shared" si="26"/>
        <v>3.4646241487279843E-2</v>
      </c>
      <c r="BL23" s="42">
        <f t="shared" si="48"/>
        <v>1.328222071614142</v>
      </c>
      <c r="BM23" s="36">
        <f t="shared" si="49"/>
        <v>1.4110499999999999</v>
      </c>
      <c r="BN23" s="34">
        <f t="shared" si="27"/>
        <v>8.9339985284867182E-2</v>
      </c>
      <c r="BO23" s="35">
        <f t="shared" si="28"/>
        <v>0.18596235428571428</v>
      </c>
      <c r="BP23" s="35">
        <f t="shared" si="28"/>
        <v>1.1157741257142856E-2</v>
      </c>
      <c r="BQ23" s="35">
        <f t="shared" si="28"/>
        <v>2.5474295107632095E-2</v>
      </c>
      <c r="BR23" s="42">
        <f t="shared" si="50"/>
        <v>0.76483766898811967</v>
      </c>
      <c r="BS23" s="36">
        <f t="shared" si="51"/>
        <v>0.59743000000000002</v>
      </c>
      <c r="BT23" s="34"/>
      <c r="BU23" s="35"/>
      <c r="BV23" s="35"/>
      <c r="BW23" s="35"/>
      <c r="BX23" s="42"/>
      <c r="BY23" s="36"/>
      <c r="BZ23" s="34">
        <f t="shared" si="31"/>
        <v>5.3603991170920309E-2</v>
      </c>
      <c r="CA23" s="35">
        <f t="shared" si="32"/>
        <v>0.30221977500000002</v>
      </c>
      <c r="CB23" s="35">
        <f t="shared" si="32"/>
        <v>1.8133186500000002E-2</v>
      </c>
      <c r="CC23" s="35">
        <f t="shared" si="32"/>
        <v>4.1399969178082197E-2</v>
      </c>
      <c r="CD23" s="42">
        <f t="shared" si="54"/>
        <v>0.81733033991098514</v>
      </c>
      <c r="CE23" s="36">
        <f t="shared" si="55"/>
        <v>1.03756</v>
      </c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8980.2999999999993</v>
      </c>
      <c r="D24">
        <v>53700.1</v>
      </c>
      <c r="E24">
        <v>1240.2</v>
      </c>
      <c r="F24">
        <f t="shared" si="60"/>
        <v>5.3700099999999997</v>
      </c>
      <c r="G24">
        <f t="shared" si="61"/>
        <v>0.89802999999999988</v>
      </c>
      <c r="H24">
        <f t="shared" si="62"/>
        <v>4.4719800000000003</v>
      </c>
      <c r="I24">
        <f t="shared" si="64"/>
        <v>0.12402000000000001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0.76601060869959436</v>
      </c>
      <c r="P24" s="4">
        <v>4</v>
      </c>
      <c r="Q24" s="5">
        <f t="shared" si="67"/>
        <v>4.4719800000000003</v>
      </c>
      <c r="R24" s="5">
        <f t="shared" si="67"/>
        <v>0.12402000000000001</v>
      </c>
      <c r="S24" s="5">
        <f t="shared" si="68"/>
        <v>3.7262773349999998</v>
      </c>
      <c r="T24" s="5">
        <f t="shared" si="69"/>
        <v>0.22357664009999997</v>
      </c>
      <c r="U24" s="5">
        <f t="shared" si="70"/>
        <v>0.51044895000000001</v>
      </c>
      <c r="V24" s="5">
        <f t="shared" si="63"/>
        <v>0.76601060869959436</v>
      </c>
      <c r="W24" s="19"/>
      <c r="X24" s="37">
        <f t="shared" si="12"/>
        <v>0.25926026770901511</v>
      </c>
      <c r="Y24" s="38">
        <f t="shared" si="13"/>
        <v>0.20656029428571429</v>
      </c>
      <c r="Z24" s="38">
        <f t="shared" si="13"/>
        <v>1.2393617657142857E-2</v>
      </c>
      <c r="AA24" s="38">
        <f t="shared" si="13"/>
        <v>2.829593072407045E-2</v>
      </c>
      <c r="AB24" s="43">
        <f t="shared" si="37"/>
        <v>1.1304227559817435</v>
      </c>
      <c r="AC24" s="39">
        <f t="shared" si="14"/>
        <v>1.4712000000000001</v>
      </c>
      <c r="AD24" s="37">
        <f t="shared" si="15"/>
        <v>0.17284017847267674</v>
      </c>
      <c r="AE24" s="38">
        <f t="shared" si="16"/>
        <v>2.5087967142857142E-2</v>
      </c>
      <c r="AF24" s="38">
        <f t="shared" si="16"/>
        <v>1.5052780285714285E-3</v>
      </c>
      <c r="AG24" s="38">
        <f t="shared" si="16"/>
        <v>3.4367078277886495E-3</v>
      </c>
      <c r="AH24" s="43">
        <f t="shared" si="38"/>
        <v>0.191560700955273</v>
      </c>
      <c r="AI24" s="39">
        <f t="shared" si="39"/>
        <v>3.0280000000000001E-2</v>
      </c>
      <c r="AJ24" s="37">
        <f t="shared" si="17"/>
        <v>0.12963013385450756</v>
      </c>
      <c r="AK24" s="38">
        <f t="shared" si="18"/>
        <v>1.8813991428571427E-2</v>
      </c>
      <c r="AL24" s="38">
        <f t="shared" si="18"/>
        <v>1.1288394857142856E-3</v>
      </c>
      <c r="AM24" s="38">
        <f t="shared" si="18"/>
        <v>2.5772590998043052E-3</v>
      </c>
      <c r="AN24" s="43">
        <f t="shared" si="40"/>
        <v>1.5303694955289355</v>
      </c>
      <c r="AO24" s="39">
        <f t="shared" si="41"/>
        <v>0.18140999999999999</v>
      </c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10519</v>
      </c>
      <c r="D25">
        <v>53572.9</v>
      </c>
      <c r="E25">
        <v>959.6</v>
      </c>
      <c r="F25">
        <f t="shared" si="60"/>
        <v>5.3572899999999999</v>
      </c>
      <c r="G25">
        <f t="shared" si="61"/>
        <v>1.0519000000000001</v>
      </c>
      <c r="H25">
        <f t="shared" si="62"/>
        <v>4.3053900000000001</v>
      </c>
      <c r="I25">
        <f t="shared" si="64"/>
        <v>9.5960000000000004E-2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0.55376142640169557</v>
      </c>
      <c r="P25" s="4">
        <v>4</v>
      </c>
      <c r="Q25" s="5">
        <f t="shared" si="67"/>
        <v>4.3053900000000001</v>
      </c>
      <c r="R25" s="5">
        <f t="shared" si="67"/>
        <v>9.5960000000000004E-2</v>
      </c>
      <c r="S25" s="5">
        <f t="shared" si="68"/>
        <v>3.5874662175000003</v>
      </c>
      <c r="T25" s="5">
        <f t="shared" si="69"/>
        <v>0.21524797305000001</v>
      </c>
      <c r="U25" s="5">
        <f t="shared" si="70"/>
        <v>0.4914337284246576</v>
      </c>
      <c r="V25" s="5">
        <f t="shared" si="63"/>
        <v>0.55376142640169557</v>
      </c>
      <c r="W25" s="19"/>
      <c r="X25" s="26"/>
      <c r="Y25" s="21"/>
      <c r="Z25" s="18"/>
      <c r="AA25" s="26">
        <f>MAX(AA14:AA24)</f>
        <v>1.1365864821917808</v>
      </c>
      <c r="AG25" s="26">
        <f>MAX(AG14:AG24)</f>
        <v>0.54913686164383568</v>
      </c>
      <c r="AM25" s="26">
        <f>MAX(AM14:AM24)</f>
        <v>0.48487388219178096</v>
      </c>
      <c r="AQ25" s="26"/>
      <c r="AS25" s="26">
        <f>MAX(AS14:AS24)</f>
        <v>0.46761190993150692</v>
      </c>
      <c r="AY25" s="26">
        <f>MAX(AY14:AY24)</f>
        <v>0.48502911780821922</v>
      </c>
      <c r="BE25" s="26">
        <f>MAX(BE14:BE24)</f>
        <v>0.46583012465753421</v>
      </c>
      <c r="BK25" s="26">
        <f>MAX(BK14:BK24)</f>
        <v>0.49901744486301364</v>
      </c>
      <c r="BQ25" s="26">
        <f>MAX(BQ14:BQ24)</f>
        <v>0.44882155171232874</v>
      </c>
      <c r="BW25" s="26">
        <f>MAX(BW14:BW24)</f>
        <v>0.46093906130136991</v>
      </c>
      <c r="CC25" s="26">
        <f>MAX(CC14:CC24)</f>
        <v>0.58279434030821931</v>
      </c>
      <c r="CI25" s="26">
        <f>MAX(CI14:CI24)</f>
        <v>0.54947815171232872</v>
      </c>
      <c r="CO25" s="26">
        <f>MAX(CO14:CO24)</f>
        <v>0.51094661712328771</v>
      </c>
    </row>
    <row r="26" spans="2:95" x14ac:dyDescent="0.3">
      <c r="B26">
        <v>8</v>
      </c>
      <c r="C26">
        <v>9374.2999999999993</v>
      </c>
      <c r="D26">
        <v>61595.7</v>
      </c>
      <c r="E26">
        <v>1023.3</v>
      </c>
      <c r="F26">
        <f t="shared" si="60"/>
        <v>6.1595699999999995</v>
      </c>
      <c r="G26">
        <f t="shared" si="61"/>
        <v>0.93742999999999987</v>
      </c>
      <c r="H26">
        <f t="shared" si="62"/>
        <v>5.2221399999999996</v>
      </c>
      <c r="I26">
        <f t="shared" si="64"/>
        <v>0.10232999999999999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0.46439295988135315</v>
      </c>
      <c r="P26" s="4">
        <v>5</v>
      </c>
      <c r="Q26" s="5">
        <f t="shared" si="67"/>
        <v>5.2221399999999996</v>
      </c>
      <c r="R26" s="5">
        <f t="shared" si="67"/>
        <v>0.10232999999999999</v>
      </c>
      <c r="S26" s="5">
        <f t="shared" si="68"/>
        <v>3.481078524</v>
      </c>
      <c r="T26" s="5">
        <f t="shared" si="69"/>
        <v>0.20886471143999999</v>
      </c>
      <c r="U26" s="5">
        <f t="shared" si="70"/>
        <v>0.4768600717808219</v>
      </c>
      <c r="V26" s="5">
        <f t="shared" si="63"/>
        <v>0.46439295988135315</v>
      </c>
      <c r="W26" s="19"/>
      <c r="X26" s="26"/>
      <c r="Y26" s="21"/>
      <c r="Z26" s="18"/>
    </row>
    <row r="27" spans="2:95" x14ac:dyDescent="0.3">
      <c r="B27">
        <v>9</v>
      </c>
      <c r="C27">
        <v>6837.5</v>
      </c>
      <c r="D27">
        <v>82005.5</v>
      </c>
      <c r="E27">
        <v>782.2</v>
      </c>
      <c r="F27">
        <f t="shared" si="60"/>
        <v>8.2005499999999998</v>
      </c>
      <c r="G27">
        <f t="shared" si="61"/>
        <v>0.68374999999999997</v>
      </c>
      <c r="H27">
        <f t="shared" si="62"/>
        <v>7.5167999999999999</v>
      </c>
      <c r="I27">
        <f t="shared" si="64"/>
        <v>7.8219999999999998E-2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0.37426770404311599</v>
      </c>
      <c r="P27" s="4">
        <v>8</v>
      </c>
      <c r="Q27" s="5">
        <f t="shared" si="67"/>
        <v>7.5167999999999999</v>
      </c>
      <c r="R27" s="5">
        <f t="shared" si="67"/>
        <v>7.8219999999999998E-2</v>
      </c>
      <c r="S27" s="5">
        <f t="shared" si="68"/>
        <v>3.1316868000000002</v>
      </c>
      <c r="T27" s="5">
        <f t="shared" si="69"/>
        <v>0.18790120800000001</v>
      </c>
      <c r="U27" s="5">
        <f t="shared" si="70"/>
        <v>0.42899819178082194</v>
      </c>
      <c r="V27" s="5">
        <f t="shared" si="63"/>
        <v>0.37426770404311599</v>
      </c>
      <c r="W27" s="19"/>
      <c r="X27" s="26"/>
      <c r="Y27" s="69" t="s">
        <v>6</v>
      </c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</row>
    <row r="28" spans="2:95" x14ac:dyDescent="0.3">
      <c r="B28">
        <v>10</v>
      </c>
      <c r="C28">
        <v>4907.6000000000004</v>
      </c>
      <c r="D28">
        <v>104025.9</v>
      </c>
      <c r="E28">
        <v>1279.5</v>
      </c>
      <c r="F28">
        <f t="shared" si="60"/>
        <v>10.40259</v>
      </c>
      <c r="G28">
        <f t="shared" si="61"/>
        <v>0.49076000000000003</v>
      </c>
      <c r="H28">
        <f t="shared" si="62"/>
        <v>9.9118300000000001</v>
      </c>
      <c r="I28">
        <f t="shared" si="64"/>
        <v>0.12795000000000001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0.26801995585460153</v>
      </c>
      <c r="P28" s="4">
        <v>14</v>
      </c>
      <c r="Q28" s="5">
        <f t="shared" si="67"/>
        <v>9.9118300000000001</v>
      </c>
      <c r="R28" s="5">
        <f t="shared" si="67"/>
        <v>0.12795000000000001</v>
      </c>
      <c r="S28" s="5">
        <f t="shared" si="68"/>
        <v>2.3597235278571431</v>
      </c>
      <c r="T28" s="5">
        <f t="shared" si="69"/>
        <v>0.14158341167142857</v>
      </c>
      <c r="U28" s="5">
        <f t="shared" si="70"/>
        <v>0.32324979833659495</v>
      </c>
      <c r="V28" s="5">
        <f t="shared" si="63"/>
        <v>0.26801995585460153</v>
      </c>
      <c r="W28" s="19"/>
      <c r="X28" s="52" t="s">
        <v>65</v>
      </c>
      <c r="Y28" s="50">
        <f>AC13</f>
        <v>2</v>
      </c>
      <c r="Z28" s="50">
        <f>AI13</f>
        <v>3</v>
      </c>
      <c r="AA28" s="50">
        <f>AO13</f>
        <v>4</v>
      </c>
      <c r="AB28" s="50">
        <f>AU13</f>
        <v>5</v>
      </c>
      <c r="AC28" s="50">
        <f>BA13</f>
        <v>6</v>
      </c>
      <c r="AD28" s="50">
        <f>BE13</f>
        <v>7</v>
      </c>
      <c r="AE28" s="50">
        <f>BM13</f>
        <v>8</v>
      </c>
      <c r="AF28" s="50">
        <f>BS13</f>
        <v>9</v>
      </c>
      <c r="AG28" s="50">
        <f>BY13</f>
        <v>10</v>
      </c>
      <c r="AH28" s="50">
        <f>CE13</f>
        <v>15</v>
      </c>
      <c r="AI28" s="50">
        <f>CK13</f>
        <v>20</v>
      </c>
      <c r="AJ28" s="50">
        <f>CQ13</f>
        <v>25</v>
      </c>
    </row>
    <row r="29" spans="2:95" ht="15" thickBot="1" x14ac:dyDescent="0.35">
      <c r="B29">
        <v>11</v>
      </c>
      <c r="C29">
        <v>-1506.7</v>
      </c>
      <c r="D29">
        <v>74</v>
      </c>
      <c r="E29">
        <v>302.8</v>
      </c>
      <c r="F29">
        <f t="shared" si="60"/>
        <v>7.4000000000000003E-3</v>
      </c>
      <c r="G29">
        <f t="shared" si="61"/>
        <v>-0.15067</v>
      </c>
      <c r="H29">
        <f t="shared" si="62"/>
        <v>0.15806999999999999</v>
      </c>
      <c r="I29">
        <f t="shared" si="64"/>
        <v>3.0280000000000001E-2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0.17284017847267674</v>
      </c>
      <c r="P29" s="7">
        <v>21</v>
      </c>
      <c r="Q29" s="6">
        <f t="shared" si="67"/>
        <v>0.15806999999999999</v>
      </c>
      <c r="R29" s="6">
        <f t="shared" si="67"/>
        <v>3.0280000000000001E-2</v>
      </c>
      <c r="S29" s="6">
        <f t="shared" si="68"/>
        <v>2.5087967142857142E-2</v>
      </c>
      <c r="T29" s="6">
        <f t="shared" si="69"/>
        <v>1.5052780285714285E-3</v>
      </c>
      <c r="U29" s="6">
        <f t="shared" si="70"/>
        <v>3.4367078277886495E-3</v>
      </c>
      <c r="V29" s="6">
        <f t="shared" si="63"/>
        <v>0.17284017847267674</v>
      </c>
      <c r="W29" s="19"/>
      <c r="X29" s="53">
        <v>9.9104601270028319</v>
      </c>
      <c r="Y29" s="51">
        <f>AC14</f>
        <v>0.2707</v>
      </c>
      <c r="Z29" s="51">
        <f>AI14</f>
        <v>0.22839999999999999</v>
      </c>
      <c r="AA29" s="51">
        <f>AO14</f>
        <v>0.21078000000000002</v>
      </c>
      <c r="AB29" s="51">
        <f>AU14</f>
        <v>0.22321999999999997</v>
      </c>
      <c r="AC29" s="51">
        <f>BA14</f>
        <v>0.17396</v>
      </c>
      <c r="AD29" s="51">
        <f>BG14</f>
        <v>0.19510999999999998</v>
      </c>
      <c r="AE29" s="51">
        <f>BM14</f>
        <v>0.20635000000000001</v>
      </c>
      <c r="AF29" s="51">
        <f>BS14</f>
        <v>0.21734999999999999</v>
      </c>
      <c r="AG29" s="51">
        <f>BY14</f>
        <v>0.22500999999999999</v>
      </c>
      <c r="AH29" s="51">
        <f t="shared" ref="AH29:AH39" si="72">CE14</f>
        <v>0.29880000000000001</v>
      </c>
      <c r="AI29" s="51">
        <f t="shared" ref="AI29:AI39" si="73">CK14</f>
        <v>0.25781999999999999</v>
      </c>
      <c r="AJ29" s="51">
        <f t="shared" ref="AJ29:AJ39" si="74">CQ14</f>
        <v>0.20703000000000002</v>
      </c>
    </row>
    <row r="30" spans="2:95" ht="15" thickTop="1" x14ac:dyDescent="0.3">
      <c r="X30" s="54">
        <v>8.7909578904927308</v>
      </c>
      <c r="Y30" s="51">
        <f t="shared" ref="Y30:Y39" si="75">AC15</f>
        <v>0.32008999999999999</v>
      </c>
      <c r="Z30" s="51">
        <f t="shared" ref="Z30:Z39" si="76">AI15</f>
        <v>0.24199999999999999</v>
      </c>
      <c r="AA30" s="51">
        <f t="shared" ref="AA30:AA39" si="77">AO15</f>
        <v>0.19004000000000001</v>
      </c>
      <c r="AB30" s="51">
        <f t="shared" ref="AB30:AB39" si="78">AU15</f>
        <v>0.18103</v>
      </c>
      <c r="AC30" s="51">
        <f t="shared" ref="AC30:AC39" si="79">BA15</f>
        <v>0.19520000000000001</v>
      </c>
      <c r="AD30" s="51">
        <f t="shared" ref="AD30:AD39" si="80">BG15</f>
        <v>0.18273</v>
      </c>
      <c r="AE30" s="51">
        <f t="shared" ref="AE30:AE39" si="81">BM15</f>
        <v>0.22531999999999999</v>
      </c>
      <c r="AF30" s="51">
        <f t="shared" ref="AF30:AF39" si="82">BS15</f>
        <v>0.17927000000000001</v>
      </c>
      <c r="AG30" s="51">
        <f t="shared" ref="AG30:AG39" si="83">BY15</f>
        <v>0.18595999999999999</v>
      </c>
      <c r="AH30" s="51">
        <f t="shared" si="72"/>
        <v>0.24049000000000001</v>
      </c>
      <c r="AI30" s="51">
        <f t="shared" si="73"/>
        <v>0.17352000000000001</v>
      </c>
      <c r="AJ30" s="51">
        <f t="shared" si="74"/>
        <v>0.23079000000000002</v>
      </c>
    </row>
    <row r="31" spans="2:95" ht="15" thickBot="1" x14ac:dyDescent="0.35">
      <c r="X31" s="54">
        <v>7.5839041370735059</v>
      </c>
      <c r="Y31" s="51">
        <f t="shared" si="75"/>
        <v>0.19414000000000001</v>
      </c>
      <c r="Z31" s="51">
        <f t="shared" si="76"/>
        <v>0.19714000000000001</v>
      </c>
      <c r="AA31" s="51">
        <f t="shared" si="77"/>
        <v>0.15922999999999998</v>
      </c>
      <c r="AB31" s="51">
        <f t="shared" si="78"/>
        <v>0.19359999999999999</v>
      </c>
      <c r="AC31" s="51">
        <f t="shared" si="79"/>
        <v>0.18840000000000001</v>
      </c>
      <c r="AD31" s="51">
        <f t="shared" si="80"/>
        <v>0.25850000000000001</v>
      </c>
      <c r="AE31" s="51">
        <f t="shared" si="81"/>
        <v>0.17210999999999999</v>
      </c>
      <c r="AF31" s="51">
        <f t="shared" si="82"/>
        <v>0.1772</v>
      </c>
      <c r="AG31" s="51">
        <f t="shared" si="83"/>
        <v>0.19649</v>
      </c>
      <c r="AH31" s="51">
        <f t="shared" si="72"/>
        <v>0.19379000000000002</v>
      </c>
      <c r="AI31" s="51">
        <f t="shared" si="73"/>
        <v>0.20721999999999999</v>
      </c>
      <c r="AJ31" s="51">
        <f t="shared" si="74"/>
        <v>0.27184000000000003</v>
      </c>
    </row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  <c r="X32" s="54">
        <v>4.5933865009451385</v>
      </c>
      <c r="Y32" s="51">
        <f t="shared" si="75"/>
        <v>0.1305</v>
      </c>
      <c r="Z32" s="51">
        <f t="shared" si="76"/>
        <v>0.17780000000000001</v>
      </c>
      <c r="AA32" s="51">
        <f t="shared" si="77"/>
        <v>0.12054000000000001</v>
      </c>
      <c r="AB32" s="51">
        <f t="shared" si="78"/>
        <v>0.13152</v>
      </c>
      <c r="AC32" s="51">
        <f t="shared" si="79"/>
        <v>0.1711</v>
      </c>
      <c r="AD32" s="51">
        <f t="shared" si="80"/>
        <v>0.19550000000000001</v>
      </c>
      <c r="AE32" s="51">
        <f t="shared" si="81"/>
        <v>0.13982</v>
      </c>
      <c r="AF32" s="51">
        <f t="shared" si="82"/>
        <v>0.14039000000000001</v>
      </c>
      <c r="AG32" s="51">
        <f t="shared" si="83"/>
        <v>0.18590999999999999</v>
      </c>
      <c r="AH32" s="51">
        <f t="shared" si="72"/>
        <v>0.17802999999999999</v>
      </c>
      <c r="AI32" s="51">
        <f t="shared" si="73"/>
        <v>0.32963999999999999</v>
      </c>
      <c r="AJ32" s="51">
        <f t="shared" si="74"/>
        <v>0.41586000000000006</v>
      </c>
    </row>
    <row r="33" spans="2:36" ht="15" thickTop="1" x14ac:dyDescent="0.3">
      <c r="B33">
        <v>1</v>
      </c>
      <c r="C33">
        <v>787</v>
      </c>
      <c r="D33">
        <v>27431.8</v>
      </c>
      <c r="E33">
        <v>2107.8000000000002</v>
      </c>
      <c r="F33">
        <f t="shared" ref="F33:F43" si="84">D33/10000</f>
        <v>2.7431799999999997</v>
      </c>
      <c r="G33">
        <f t="shared" ref="G33:G43" si="85">C33/10000</f>
        <v>7.8700000000000006E-2</v>
      </c>
      <c r="H33">
        <f t="shared" ref="H33:H43" si="86">F33-G33</f>
        <v>2.6644799999999997</v>
      </c>
      <c r="I33">
        <f>E33/10000</f>
        <v>0.21078000000000002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2.477615031750708</v>
      </c>
      <c r="P33" s="2">
        <v>3</v>
      </c>
      <c r="Q33" s="8">
        <f>H33</f>
        <v>2.6644799999999997</v>
      </c>
      <c r="R33" s="8">
        <f>I33</f>
        <v>0.21078000000000002</v>
      </c>
      <c r="S33" s="8">
        <f>Q33/10^6*$Z$4*$Z$3/P33*10^12</f>
        <v>2.9602372800000003</v>
      </c>
      <c r="T33" s="8">
        <f>S33*0.06</f>
        <v>0.17761423680000002</v>
      </c>
      <c r="U33" s="8">
        <f>S33/$Z$1</f>
        <v>0.40551195616438362</v>
      </c>
      <c r="V33" s="12">
        <f t="shared" ref="V33:V43" si="87">O33</f>
        <v>2.477615031750708</v>
      </c>
      <c r="X33" s="54">
        <v>3.3199314008207654</v>
      </c>
      <c r="Y33" s="51">
        <f t="shared" si="75"/>
        <v>0.12909999999999999</v>
      </c>
      <c r="Z33" s="51">
        <f t="shared" si="76"/>
        <v>0.13444</v>
      </c>
      <c r="AA33" s="51">
        <f t="shared" si="77"/>
        <v>0.21676999999999999</v>
      </c>
      <c r="AB33" s="51">
        <f t="shared" si="78"/>
        <v>0.12742000000000001</v>
      </c>
      <c r="AC33" s="51">
        <f t="shared" si="79"/>
        <v>0.14280000000000001</v>
      </c>
      <c r="AD33" s="51">
        <f t="shared" si="80"/>
        <v>0.13602999999999998</v>
      </c>
      <c r="AE33" s="51">
        <f t="shared" si="81"/>
        <v>0.13805000000000001</v>
      </c>
      <c r="AF33" s="51">
        <f t="shared" si="82"/>
        <v>0.11139</v>
      </c>
      <c r="AG33" s="51">
        <f t="shared" si="83"/>
        <v>0.11656</v>
      </c>
      <c r="AH33" s="51">
        <f t="shared" si="72"/>
        <v>0.15615000000000001</v>
      </c>
      <c r="AI33" s="51">
        <f t="shared" si="73"/>
        <v>0.20343</v>
      </c>
      <c r="AJ33" s="51">
        <f t="shared" si="74"/>
        <v>0.41361000000000003</v>
      </c>
    </row>
    <row r="34" spans="2:36" x14ac:dyDescent="0.3">
      <c r="B34">
        <v>2</v>
      </c>
      <c r="C34">
        <v>3538</v>
      </c>
      <c r="D34">
        <v>29545.4</v>
      </c>
      <c r="E34">
        <v>1900.4</v>
      </c>
      <c r="F34">
        <f t="shared" si="84"/>
        <v>2.9545400000000002</v>
      </c>
      <c r="G34">
        <f t="shared" si="85"/>
        <v>0.3538</v>
      </c>
      <c r="H34">
        <f t="shared" si="86"/>
        <v>2.6007400000000001</v>
      </c>
      <c r="I34">
        <f t="shared" ref="I34:I43" si="88">E34/10000</f>
        <v>0.19004000000000001</v>
      </c>
      <c r="K34" s="67"/>
      <c r="L34" s="3">
        <v>-98</v>
      </c>
      <c r="M34" s="5">
        <f>L34+98.2</f>
        <v>0.20000000000000284</v>
      </c>
      <c r="N34" s="5">
        <f t="shared" ref="N34:N43" si="89">20.56036*SQRT(1+((L34-(-98.58903))*1.03*1095.70644/(3.14159*20.56036^2))^2)</f>
        <v>22.992351577801337</v>
      </c>
      <c r="O34" s="5">
        <f t="shared" ref="O34:O43" si="90">2*$Z$1/$Z$2/PI()/(N34*10^-4)^2/$K$33/$Z$7</f>
        <v>2.1977394726231827</v>
      </c>
      <c r="P34" s="4">
        <v>3</v>
      </c>
      <c r="Q34" s="5">
        <f t="shared" ref="Q34:R43" si="91">H34</f>
        <v>2.6007400000000001</v>
      </c>
      <c r="R34" s="5">
        <f t="shared" si="91"/>
        <v>0.19004000000000001</v>
      </c>
      <c r="S34" s="5">
        <f t="shared" ref="S34:S43" si="92">Q34/10^6*$Z$4*$Z$3/P34*10^12</f>
        <v>2.8894221400000002</v>
      </c>
      <c r="T34" s="5">
        <f t="shared" ref="T34:T43" si="93">S34*0.06</f>
        <v>0.17336532840000002</v>
      </c>
      <c r="U34" s="5">
        <f t="shared" ref="U34:U43" si="94">S34/$Z$1</f>
        <v>0.39581125205479456</v>
      </c>
      <c r="V34" s="5">
        <f t="shared" si="87"/>
        <v>2.1977394726231827</v>
      </c>
      <c r="X34" s="54">
        <v>2.2980318260987831</v>
      </c>
      <c r="Y34" s="51">
        <f t="shared" si="75"/>
        <v>9.5299999999999996E-2</v>
      </c>
      <c r="Z34" s="51">
        <f t="shared" si="76"/>
        <v>0.12402000000000001</v>
      </c>
      <c r="AA34" s="51">
        <f t="shared" si="77"/>
        <v>8.1739999999999993E-2</v>
      </c>
      <c r="AB34" s="51">
        <f t="shared" si="78"/>
        <v>9.9400000000000002E-2</v>
      </c>
      <c r="AC34" s="51">
        <f t="shared" si="79"/>
        <v>0.11345999999999999</v>
      </c>
      <c r="AD34" s="51">
        <f t="shared" si="80"/>
        <v>8.0589999999999995E-2</v>
      </c>
      <c r="AE34" s="51">
        <f t="shared" si="81"/>
        <v>7.8089999999999993E-2</v>
      </c>
      <c r="AF34" s="51">
        <f t="shared" si="82"/>
        <v>9.0999999999999998E-2</v>
      </c>
      <c r="AG34" s="51">
        <f t="shared" si="83"/>
        <v>7.3870000000000005E-2</v>
      </c>
      <c r="AH34" s="51">
        <f t="shared" si="72"/>
        <v>9.8670000000000008E-2</v>
      </c>
      <c r="AI34" s="51">
        <f t="shared" si="73"/>
        <v>0.11878</v>
      </c>
      <c r="AJ34" s="51">
        <f t="shared" si="74"/>
        <v>0.12279000000000001</v>
      </c>
    </row>
    <row r="35" spans="2:36" x14ac:dyDescent="0.3">
      <c r="B35">
        <v>3</v>
      </c>
      <c r="C35">
        <v>5180.6000000000004</v>
      </c>
      <c r="D35">
        <v>30539</v>
      </c>
      <c r="E35">
        <v>1592.3</v>
      </c>
      <c r="F35">
        <f t="shared" si="84"/>
        <v>3.0539000000000001</v>
      </c>
      <c r="G35">
        <f t="shared" si="85"/>
        <v>0.51806000000000008</v>
      </c>
      <c r="H35">
        <f t="shared" si="86"/>
        <v>2.5358399999999999</v>
      </c>
      <c r="I35">
        <f t="shared" si="88"/>
        <v>0.15922999999999998</v>
      </c>
      <c r="K35" s="67"/>
      <c r="L35" s="3">
        <v>-97.8</v>
      </c>
      <c r="M35" s="5">
        <f t="shared" ref="M35:M43" si="95">L35+98.2</f>
        <v>0.40000000000000568</v>
      </c>
      <c r="N35" s="5">
        <f t="shared" si="89"/>
        <v>24.754552179927092</v>
      </c>
      <c r="O35" s="5">
        <f t="shared" si="90"/>
        <v>1.8959760342683765</v>
      </c>
      <c r="P35" s="4">
        <v>3</v>
      </c>
      <c r="Q35" s="5">
        <f t="shared" si="91"/>
        <v>2.5358399999999999</v>
      </c>
      <c r="R35" s="5">
        <f t="shared" si="91"/>
        <v>0.15922999999999998</v>
      </c>
      <c r="S35" s="5">
        <f t="shared" si="92"/>
        <v>2.8173182400000001</v>
      </c>
      <c r="T35" s="5">
        <f t="shared" si="93"/>
        <v>0.16903909440000001</v>
      </c>
      <c r="U35" s="5">
        <f t="shared" si="94"/>
        <v>0.38593400547945206</v>
      </c>
      <c r="V35" s="5">
        <f t="shared" si="87"/>
        <v>1.8959760342683765</v>
      </c>
      <c r="X35" s="54">
        <v>1.6612842792050866</v>
      </c>
      <c r="Y35" s="51">
        <f t="shared" si="75"/>
        <v>0.10489999999999999</v>
      </c>
      <c r="Z35" s="51">
        <f t="shared" si="76"/>
        <v>9.5960000000000004E-2</v>
      </c>
      <c r="AA35" s="51">
        <f t="shared" si="77"/>
        <v>0.131552</v>
      </c>
      <c r="AB35" s="51">
        <f t="shared" si="78"/>
        <v>6.3810000000000006E-2</v>
      </c>
      <c r="AC35" s="51">
        <f t="shared" si="79"/>
        <v>5.4129999999999998E-2</v>
      </c>
      <c r="AD35" s="51">
        <f t="shared" si="80"/>
        <v>0.1119</v>
      </c>
      <c r="AE35" s="51">
        <f t="shared" si="81"/>
        <v>7.1249999999999994E-2</v>
      </c>
      <c r="AF35" s="51">
        <f t="shared" si="82"/>
        <v>6.9279999999999994E-2</v>
      </c>
      <c r="AG35" s="51">
        <f t="shared" si="83"/>
        <v>7.6479999999999992E-2</v>
      </c>
      <c r="AH35" s="51">
        <f t="shared" si="72"/>
        <v>7.1349999999999997E-2</v>
      </c>
      <c r="AI35" s="51">
        <f t="shared" si="73"/>
        <v>8.7709999999999996E-2</v>
      </c>
      <c r="AJ35" s="51">
        <f t="shared" si="74"/>
        <v>0.11592000000000001</v>
      </c>
    </row>
    <row r="36" spans="2:36" x14ac:dyDescent="0.3">
      <c r="B36">
        <v>4</v>
      </c>
      <c r="C36">
        <v>6540.4</v>
      </c>
      <c r="D36">
        <v>33411.5</v>
      </c>
      <c r="E36">
        <v>1205.4000000000001</v>
      </c>
      <c r="F36">
        <f t="shared" si="84"/>
        <v>3.3411499999999998</v>
      </c>
      <c r="G36">
        <f t="shared" si="85"/>
        <v>0.65403999999999995</v>
      </c>
      <c r="H36">
        <f t="shared" si="86"/>
        <v>2.6871099999999997</v>
      </c>
      <c r="I36">
        <f t="shared" si="88"/>
        <v>0.12054000000000001</v>
      </c>
      <c r="K36" s="67"/>
      <c r="L36" s="3">
        <v>-97.2</v>
      </c>
      <c r="M36" s="5">
        <f t="shared" si="95"/>
        <v>1</v>
      </c>
      <c r="N36" s="5">
        <f t="shared" si="89"/>
        <v>31.807899949628325</v>
      </c>
      <c r="O36" s="5">
        <f t="shared" si="90"/>
        <v>1.1483466252362846</v>
      </c>
      <c r="P36" s="4">
        <v>3</v>
      </c>
      <c r="Q36" s="5">
        <f t="shared" si="91"/>
        <v>2.6871099999999997</v>
      </c>
      <c r="R36" s="5">
        <f t="shared" si="91"/>
        <v>0.12054000000000001</v>
      </c>
      <c r="S36" s="5">
        <f t="shared" si="92"/>
        <v>2.9853792100000001</v>
      </c>
      <c r="T36" s="5">
        <f t="shared" si="93"/>
        <v>0.17912275259999999</v>
      </c>
      <c r="U36" s="5">
        <f t="shared" si="94"/>
        <v>0.40895605616438357</v>
      </c>
      <c r="V36" s="5">
        <f t="shared" si="87"/>
        <v>1.1483466252362846</v>
      </c>
      <c r="X36" s="54">
        <v>1.3931788796440594</v>
      </c>
      <c r="Y36" s="51">
        <f t="shared" si="75"/>
        <v>0.1241</v>
      </c>
      <c r="Z36" s="51">
        <f t="shared" si="76"/>
        <v>0.10232999999999999</v>
      </c>
      <c r="AA36" s="51">
        <f t="shared" si="77"/>
        <v>0.13589000000000001</v>
      </c>
      <c r="AB36" s="51">
        <f t="shared" si="78"/>
        <v>0.18517</v>
      </c>
      <c r="AC36" s="51">
        <f t="shared" si="79"/>
        <v>7.1999999999999995E-2</v>
      </c>
      <c r="AD36" s="51">
        <f t="shared" si="80"/>
        <v>6.4329999999999998E-2</v>
      </c>
      <c r="AE36" s="51">
        <f t="shared" si="81"/>
        <v>7.4590000000000004E-2</v>
      </c>
      <c r="AF36" s="51">
        <f t="shared" si="82"/>
        <v>9.2990000000000003E-2</v>
      </c>
      <c r="AG36" s="51">
        <f t="shared" si="83"/>
        <v>7.4560000000000001E-2</v>
      </c>
      <c r="AH36" s="51">
        <f t="shared" si="72"/>
        <v>5.491E-2</v>
      </c>
      <c r="AI36" s="51">
        <f t="shared" si="73"/>
        <v>4.6589999999999999E-2</v>
      </c>
      <c r="AJ36" s="51">
        <f t="shared" si="74"/>
        <v>8.0549999999999997E-2</v>
      </c>
    </row>
    <row r="37" spans="2:36" x14ac:dyDescent="0.3">
      <c r="B37">
        <v>5</v>
      </c>
      <c r="C37">
        <v>7942</v>
      </c>
      <c r="D37">
        <v>36267.599999999999</v>
      </c>
      <c r="E37">
        <v>2167.6999999999998</v>
      </c>
      <c r="F37">
        <f t="shared" si="84"/>
        <v>3.62676</v>
      </c>
      <c r="G37">
        <f t="shared" si="85"/>
        <v>0.79420000000000002</v>
      </c>
      <c r="H37">
        <f t="shared" si="86"/>
        <v>2.83256</v>
      </c>
      <c r="I37">
        <f t="shared" si="88"/>
        <v>0.21676999999999999</v>
      </c>
      <c r="K37" s="67"/>
      <c r="L37" s="3">
        <v>-96.8</v>
      </c>
      <c r="M37" s="5">
        <f t="shared" si="95"/>
        <v>1.4000000000000057</v>
      </c>
      <c r="N37" s="5">
        <f t="shared" si="89"/>
        <v>37.414240753916886</v>
      </c>
      <c r="O37" s="5">
        <f t="shared" si="90"/>
        <v>0.82998285020519136</v>
      </c>
      <c r="P37" s="4">
        <v>3</v>
      </c>
      <c r="Q37" s="5">
        <f t="shared" si="91"/>
        <v>2.83256</v>
      </c>
      <c r="R37" s="5">
        <f t="shared" si="91"/>
        <v>0.21676999999999999</v>
      </c>
      <c r="S37" s="5">
        <f t="shared" si="92"/>
        <v>3.1469741600000001</v>
      </c>
      <c r="T37" s="5">
        <f t="shared" si="93"/>
        <v>0.18881844959999999</v>
      </c>
      <c r="U37" s="5">
        <f t="shared" si="94"/>
        <v>0.43109235068493151</v>
      </c>
      <c r="V37" s="5">
        <f t="shared" si="87"/>
        <v>0.82998285020519136</v>
      </c>
      <c r="X37" s="54">
        <v>1.122803112129348</v>
      </c>
      <c r="Y37" s="51">
        <f t="shared" si="75"/>
        <v>0.1968</v>
      </c>
      <c r="Z37" s="51">
        <f t="shared" si="76"/>
        <v>7.8219999999999998E-2</v>
      </c>
      <c r="AA37" s="51">
        <f t="shared" si="77"/>
        <v>0.1263</v>
      </c>
      <c r="AB37" s="51">
        <f t="shared" si="78"/>
        <v>0.11119999999999999</v>
      </c>
      <c r="AC37" s="51">
        <f t="shared" si="79"/>
        <v>9.0529999999999999E-2</v>
      </c>
      <c r="AD37" s="51">
        <f t="shared" si="80"/>
        <v>0.14335999999999999</v>
      </c>
      <c r="AE37" s="51">
        <f t="shared" si="81"/>
        <v>0.11617000000000001</v>
      </c>
      <c r="AF37" s="51">
        <f t="shared" si="82"/>
        <v>0.12814</v>
      </c>
      <c r="AG37" s="51">
        <f t="shared" si="83"/>
        <v>0.1527</v>
      </c>
      <c r="AH37" s="51">
        <f t="shared" si="72"/>
        <v>0.68596000000000001</v>
      </c>
      <c r="AI37" s="51">
        <f t="shared" si="73"/>
        <v>0.59345999999999999</v>
      </c>
      <c r="AJ37" s="51">
        <f t="shared" si="74"/>
        <v>0.11010999999999999</v>
      </c>
    </row>
    <row r="38" spans="2:36" x14ac:dyDescent="0.3">
      <c r="B38">
        <v>6</v>
      </c>
      <c r="C38">
        <v>7338.9</v>
      </c>
      <c r="D38">
        <v>49818.1</v>
      </c>
      <c r="E38">
        <v>817.4</v>
      </c>
      <c r="F38">
        <f t="shared" si="84"/>
        <v>4.9818100000000003</v>
      </c>
      <c r="G38">
        <f t="shared" si="85"/>
        <v>0.73388999999999993</v>
      </c>
      <c r="H38">
        <f t="shared" si="86"/>
        <v>4.2479200000000006</v>
      </c>
      <c r="I38">
        <f t="shared" si="88"/>
        <v>8.1739999999999993E-2</v>
      </c>
      <c r="K38" s="67"/>
      <c r="L38" s="3">
        <v>-96.3</v>
      </c>
      <c r="M38" s="5">
        <f t="shared" si="95"/>
        <v>1.9000000000000057</v>
      </c>
      <c r="N38" s="5">
        <f t="shared" si="89"/>
        <v>44.970060517830404</v>
      </c>
      <c r="O38" s="5">
        <f t="shared" si="90"/>
        <v>0.57450795652469577</v>
      </c>
      <c r="P38" s="4">
        <v>4</v>
      </c>
      <c r="Q38" s="5">
        <f t="shared" si="91"/>
        <v>4.2479200000000006</v>
      </c>
      <c r="R38" s="5">
        <f t="shared" si="91"/>
        <v>8.1739999999999993E-2</v>
      </c>
      <c r="S38" s="5">
        <f t="shared" si="92"/>
        <v>3.5395793400000009</v>
      </c>
      <c r="T38" s="5">
        <f t="shared" si="93"/>
        <v>0.21237476040000006</v>
      </c>
      <c r="U38" s="5">
        <f t="shared" si="94"/>
        <v>0.48487388219178096</v>
      </c>
      <c r="V38" s="5">
        <f t="shared" si="87"/>
        <v>0.57450795652469577</v>
      </c>
      <c r="X38" s="54">
        <v>0.80405986756380465</v>
      </c>
      <c r="Y38" s="51">
        <f t="shared" si="75"/>
        <v>0.10150000000000001</v>
      </c>
      <c r="Z38" s="51">
        <f t="shared" si="76"/>
        <v>0.12795000000000001</v>
      </c>
      <c r="AA38" s="51">
        <f t="shared" si="77"/>
        <v>0.22766999999999998</v>
      </c>
      <c r="AB38" s="51">
        <f t="shared" si="78"/>
        <v>0.71989999999999998</v>
      </c>
      <c r="AC38" s="51">
        <f t="shared" si="79"/>
        <v>1.36277</v>
      </c>
      <c r="AD38" s="51">
        <f t="shared" si="80"/>
        <v>1.8327799999999999</v>
      </c>
      <c r="AE38" s="51">
        <f t="shared" si="81"/>
        <v>1.4110499999999999</v>
      </c>
      <c r="AF38" s="51">
        <f t="shared" si="82"/>
        <v>0.59743000000000002</v>
      </c>
      <c r="AG38" s="51">
        <f t="shared" si="83"/>
        <v>0</v>
      </c>
      <c r="AH38" s="51">
        <f t="shared" si="72"/>
        <v>1.03756</v>
      </c>
      <c r="AI38" s="51">
        <f t="shared" si="73"/>
        <v>0</v>
      </c>
      <c r="AJ38" s="51">
        <f t="shared" si="74"/>
        <v>0</v>
      </c>
    </row>
    <row r="39" spans="2:36" x14ac:dyDescent="0.3">
      <c r="B39">
        <v>7</v>
      </c>
      <c r="C39">
        <v>9018</v>
      </c>
      <c r="D39">
        <v>50079.5</v>
      </c>
      <c r="E39">
        <v>1315.52</v>
      </c>
      <c r="F39">
        <f t="shared" si="84"/>
        <v>5.0079500000000001</v>
      </c>
      <c r="G39">
        <f t="shared" si="85"/>
        <v>0.90180000000000005</v>
      </c>
      <c r="H39">
        <f t="shared" si="86"/>
        <v>4.1061500000000004</v>
      </c>
      <c r="I39">
        <f t="shared" si="88"/>
        <v>0.131552</v>
      </c>
      <c r="K39" s="67"/>
      <c r="L39" s="3">
        <v>-95.8</v>
      </c>
      <c r="M39" s="5">
        <f t="shared" si="95"/>
        <v>2.4000000000000057</v>
      </c>
      <c r="N39" s="5">
        <f t="shared" si="89"/>
        <v>52.890724234957723</v>
      </c>
      <c r="O39" s="5">
        <f t="shared" si="90"/>
        <v>0.41532106980127165</v>
      </c>
      <c r="P39" s="4">
        <v>4</v>
      </c>
      <c r="Q39" s="5">
        <f t="shared" si="91"/>
        <v>4.1061500000000004</v>
      </c>
      <c r="R39" s="5">
        <f t="shared" si="91"/>
        <v>0.131552</v>
      </c>
      <c r="S39" s="5">
        <f t="shared" si="92"/>
        <v>3.4214494875000008</v>
      </c>
      <c r="T39" s="5">
        <f t="shared" si="93"/>
        <v>0.20528696925000003</v>
      </c>
      <c r="U39" s="5">
        <f t="shared" si="94"/>
        <v>0.46869171061643849</v>
      </c>
      <c r="V39" s="5">
        <f t="shared" si="87"/>
        <v>0.41532106980127165</v>
      </c>
      <c r="X39" s="54">
        <v>0.51852053541803023</v>
      </c>
      <c r="Y39" s="51">
        <f t="shared" si="75"/>
        <v>1.4712000000000001</v>
      </c>
      <c r="Z39" s="51">
        <f t="shared" si="76"/>
        <v>3.0280000000000001E-2</v>
      </c>
      <c r="AA39" s="51">
        <f t="shared" si="77"/>
        <v>0.18140999999999999</v>
      </c>
      <c r="AB39" s="51">
        <f t="shared" si="78"/>
        <v>0</v>
      </c>
      <c r="AC39" s="51">
        <f t="shared" si="79"/>
        <v>0</v>
      </c>
      <c r="AD39" s="51">
        <f t="shared" si="80"/>
        <v>0</v>
      </c>
      <c r="AE39" s="51">
        <f t="shared" si="81"/>
        <v>0</v>
      </c>
      <c r="AF39" s="51">
        <f t="shared" si="82"/>
        <v>0</v>
      </c>
      <c r="AG39" s="51">
        <f t="shared" si="83"/>
        <v>0</v>
      </c>
      <c r="AH39" s="51">
        <f t="shared" si="72"/>
        <v>0</v>
      </c>
      <c r="AI39" s="51">
        <f t="shared" si="73"/>
        <v>0</v>
      </c>
      <c r="AJ39" s="51">
        <f t="shared" si="74"/>
        <v>0</v>
      </c>
    </row>
    <row r="40" spans="2:36" x14ac:dyDescent="0.3">
      <c r="B40">
        <v>8</v>
      </c>
      <c r="C40">
        <v>9170.4</v>
      </c>
      <c r="D40">
        <v>58624</v>
      </c>
      <c r="E40">
        <v>1358.9</v>
      </c>
      <c r="F40">
        <f t="shared" si="84"/>
        <v>5.8624000000000001</v>
      </c>
      <c r="G40">
        <f t="shared" si="85"/>
        <v>0.91703999999999997</v>
      </c>
      <c r="H40">
        <f t="shared" si="86"/>
        <v>4.94536</v>
      </c>
      <c r="I40">
        <f t="shared" si="88"/>
        <v>0.13589000000000001</v>
      </c>
      <c r="K40" s="67"/>
      <c r="L40" s="3">
        <v>-95.5</v>
      </c>
      <c r="M40" s="5">
        <f t="shared" si="95"/>
        <v>2.7000000000000028</v>
      </c>
      <c r="N40" s="5">
        <f t="shared" si="89"/>
        <v>57.756125383651771</v>
      </c>
      <c r="O40" s="5">
        <f t="shared" si="90"/>
        <v>0.34829471991101485</v>
      </c>
      <c r="P40" s="4">
        <v>5</v>
      </c>
      <c r="Q40" s="5">
        <f t="shared" si="91"/>
        <v>4.94536</v>
      </c>
      <c r="R40" s="5">
        <f t="shared" si="91"/>
        <v>0.13589000000000001</v>
      </c>
      <c r="S40" s="5">
        <f t="shared" si="92"/>
        <v>3.2965769759999999</v>
      </c>
      <c r="T40" s="5">
        <f t="shared" si="93"/>
        <v>0.19779461856</v>
      </c>
      <c r="U40" s="5">
        <f t="shared" si="94"/>
        <v>0.45158588712328768</v>
      </c>
      <c r="V40" s="5">
        <f t="shared" si="87"/>
        <v>0.34829471991101485</v>
      </c>
    </row>
    <row r="41" spans="2:36" x14ac:dyDescent="0.3">
      <c r="B41">
        <v>9</v>
      </c>
      <c r="C41">
        <v>9564.7999999999993</v>
      </c>
      <c r="D41">
        <v>81139</v>
      </c>
      <c r="E41">
        <v>1263</v>
      </c>
      <c r="F41">
        <f t="shared" si="84"/>
        <v>8.1138999999999992</v>
      </c>
      <c r="G41">
        <f t="shared" si="85"/>
        <v>0.95647999999999989</v>
      </c>
      <c r="H41">
        <f t="shared" si="86"/>
        <v>7.1574199999999992</v>
      </c>
      <c r="I41">
        <f t="shared" si="88"/>
        <v>0.1263</v>
      </c>
      <c r="K41" s="67"/>
      <c r="L41" s="5">
        <v>-95.1</v>
      </c>
      <c r="M41" s="5">
        <f t="shared" si="95"/>
        <v>3.1000000000000085</v>
      </c>
      <c r="N41" s="5">
        <f t="shared" si="89"/>
        <v>64.335352920706185</v>
      </c>
      <c r="O41" s="5">
        <f t="shared" si="90"/>
        <v>0.28070077803233701</v>
      </c>
      <c r="P41" s="4">
        <v>8</v>
      </c>
      <c r="Q41" s="5">
        <f t="shared" si="91"/>
        <v>7.1574199999999992</v>
      </c>
      <c r="R41" s="5">
        <f t="shared" si="91"/>
        <v>0.1263</v>
      </c>
      <c r="S41" s="5">
        <f t="shared" si="92"/>
        <v>2.9819601075</v>
      </c>
      <c r="T41" s="5">
        <f t="shared" si="93"/>
        <v>0.17891760644999999</v>
      </c>
      <c r="U41" s="5">
        <f t="shared" si="94"/>
        <v>0.40848768595890411</v>
      </c>
      <c r="V41" s="5">
        <f t="shared" si="87"/>
        <v>0.28070077803233701</v>
      </c>
    </row>
    <row r="42" spans="2:36" x14ac:dyDescent="0.3">
      <c r="B42">
        <v>10</v>
      </c>
      <c r="C42">
        <v>6907.7</v>
      </c>
      <c r="D42">
        <v>83866.2</v>
      </c>
      <c r="E42">
        <v>2276.6999999999998</v>
      </c>
      <c r="F42">
        <f t="shared" si="84"/>
        <v>8.3866199999999989</v>
      </c>
      <c r="G42">
        <f t="shared" si="85"/>
        <v>0.69077</v>
      </c>
      <c r="H42">
        <f t="shared" si="86"/>
        <v>7.6958499999999992</v>
      </c>
      <c r="I42">
        <f t="shared" si="88"/>
        <v>0.22766999999999998</v>
      </c>
      <c r="K42" s="67"/>
      <c r="L42" s="5">
        <v>-94.399999999999991</v>
      </c>
      <c r="M42" s="5">
        <f t="shared" si="95"/>
        <v>3.8000000000000114</v>
      </c>
      <c r="N42" s="5">
        <f t="shared" si="89"/>
        <v>76.025152245972833</v>
      </c>
      <c r="O42" s="5">
        <f t="shared" si="90"/>
        <v>0.20101496689095116</v>
      </c>
      <c r="P42" s="4">
        <v>14</v>
      </c>
      <c r="Q42" s="5">
        <f t="shared" si="91"/>
        <v>7.6958499999999992</v>
      </c>
      <c r="R42" s="5">
        <f t="shared" si="91"/>
        <v>0.22766999999999998</v>
      </c>
      <c r="S42" s="5">
        <f t="shared" si="92"/>
        <v>1.8321620035714283</v>
      </c>
      <c r="T42" s="5">
        <f t="shared" si="93"/>
        <v>0.10992972021428569</v>
      </c>
      <c r="U42" s="5">
        <f t="shared" si="94"/>
        <v>0.25098109637964772</v>
      </c>
      <c r="V42" s="5">
        <f t="shared" si="87"/>
        <v>0.20101496689095116</v>
      </c>
    </row>
    <row r="43" spans="2:36" ht="15" thickBot="1" x14ac:dyDescent="0.35">
      <c r="B43">
        <v>11</v>
      </c>
      <c r="C43">
        <v>6640.1</v>
      </c>
      <c r="D43">
        <v>7825.5</v>
      </c>
      <c r="E43">
        <v>1814.1</v>
      </c>
      <c r="F43">
        <f t="shared" si="84"/>
        <v>0.78254999999999997</v>
      </c>
      <c r="G43">
        <f t="shared" si="85"/>
        <v>0.66400999999999999</v>
      </c>
      <c r="H43">
        <f t="shared" si="86"/>
        <v>0.11853999999999998</v>
      </c>
      <c r="I43">
        <f t="shared" si="88"/>
        <v>0.18140999999999999</v>
      </c>
      <c r="K43" s="68"/>
      <c r="L43" s="6">
        <v>-93.3</v>
      </c>
      <c r="M43" s="6">
        <f t="shared" si="95"/>
        <v>4.9000000000000057</v>
      </c>
      <c r="N43" s="6">
        <f t="shared" si="89"/>
        <v>94.671337139281746</v>
      </c>
      <c r="O43" s="6">
        <f t="shared" si="90"/>
        <v>0.12963013385450756</v>
      </c>
      <c r="P43" s="7">
        <v>21</v>
      </c>
      <c r="Q43" s="6">
        <f t="shared" si="91"/>
        <v>0.11853999999999998</v>
      </c>
      <c r="R43" s="6">
        <f t="shared" si="91"/>
        <v>0.18140999999999999</v>
      </c>
      <c r="S43" s="6">
        <f t="shared" si="92"/>
        <v>1.8813991428571427E-2</v>
      </c>
      <c r="T43" s="6">
        <f t="shared" si="93"/>
        <v>1.1288394857142856E-3</v>
      </c>
      <c r="U43" s="6">
        <f t="shared" si="94"/>
        <v>2.5772590998043052E-3</v>
      </c>
      <c r="V43" s="6">
        <f t="shared" si="87"/>
        <v>0.12963013385450756</v>
      </c>
    </row>
    <row r="44" spans="2:36" ht="15" thickTop="1" x14ac:dyDescent="0.3"/>
    <row r="45" spans="2:36" ht="15" thickBot="1" x14ac:dyDescent="0.35"/>
    <row r="46" spans="2:36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36" ht="15" thickTop="1" x14ac:dyDescent="0.3">
      <c r="B47">
        <v>1</v>
      </c>
      <c r="C47">
        <v>607.20000000000005</v>
      </c>
      <c r="D47">
        <v>23724.400000000001</v>
      </c>
      <c r="E47">
        <v>2232.1999999999998</v>
      </c>
      <c r="F47">
        <f t="shared" ref="F47:F57" si="96">D47/10000</f>
        <v>2.3724400000000001</v>
      </c>
      <c r="G47">
        <f t="shared" ref="G47:G57" si="97">C47/10000</f>
        <v>6.0720000000000003E-2</v>
      </c>
      <c r="H47">
        <f t="shared" ref="H47:H57" si="98">F47-G47</f>
        <v>2.3117200000000002</v>
      </c>
      <c r="I47">
        <f>E47/10000</f>
        <v>0.22321999999999997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1.9820920254005663</v>
      </c>
      <c r="P47" s="2">
        <v>3</v>
      </c>
      <c r="Q47" s="8">
        <f>H47</f>
        <v>2.3117200000000002</v>
      </c>
      <c r="R47" s="8">
        <f>I47</f>
        <v>0.22321999999999997</v>
      </c>
      <c r="S47" s="8">
        <f>Q47/10^6*$Z$4*$Z$3/P47*10^12</f>
        <v>2.5683209200000006</v>
      </c>
      <c r="T47" s="8">
        <f>S47*0.06</f>
        <v>0.15409925520000003</v>
      </c>
      <c r="U47" s="8">
        <f>S47/$Z$1</f>
        <v>0.35182478356164393</v>
      </c>
      <c r="V47" s="12">
        <f t="shared" ref="V47:V57" si="99">O47</f>
        <v>1.9820920254005663</v>
      </c>
    </row>
    <row r="48" spans="2:36" x14ac:dyDescent="0.3">
      <c r="B48">
        <v>2</v>
      </c>
      <c r="C48">
        <v>4715.2</v>
      </c>
      <c r="D48">
        <v>26330.7</v>
      </c>
      <c r="E48">
        <v>1810.3</v>
      </c>
      <c r="F48">
        <f t="shared" si="96"/>
        <v>2.63307</v>
      </c>
      <c r="G48">
        <f t="shared" si="97"/>
        <v>0.47151999999999999</v>
      </c>
      <c r="H48">
        <f t="shared" si="98"/>
        <v>2.1615500000000001</v>
      </c>
      <c r="I48">
        <f t="shared" ref="I48:I57" si="100">E48/10000</f>
        <v>0.18103</v>
      </c>
      <c r="K48" s="67"/>
      <c r="L48" s="3">
        <v>-98</v>
      </c>
      <c r="M48" s="5">
        <f>L48+98.2</f>
        <v>0.20000000000000284</v>
      </c>
      <c r="N48" s="5">
        <f t="shared" ref="N48:N57" si="101">20.56036*SQRT(1+((L48-(-98.58903))*1.03*1095.70644/(3.14159*20.56036^2))^2)</f>
        <v>22.992351577801337</v>
      </c>
      <c r="O48" s="5">
        <f t="shared" ref="O48:O57" si="102">2*$Z$1/$Z$2/PI()/(N48*10^-4)^2/$K$47/$Z$7</f>
        <v>1.7581915780985462</v>
      </c>
      <c r="P48" s="4">
        <v>3</v>
      </c>
      <c r="Q48" s="5">
        <f t="shared" ref="Q48:R57" si="103">H48</f>
        <v>2.1615500000000001</v>
      </c>
      <c r="R48" s="5">
        <f t="shared" si="103"/>
        <v>0.18103</v>
      </c>
      <c r="S48" s="5">
        <f t="shared" ref="S48:S57" si="104">Q48/10^6*$Z$4*$Z$3/P48*10^12</f>
        <v>2.4014820499999998</v>
      </c>
      <c r="T48" s="5">
        <f t="shared" ref="T48:T57" si="105">S48*0.06</f>
        <v>0.14408892299999998</v>
      </c>
      <c r="U48" s="5">
        <f t="shared" ref="U48:U57" si="106">S48/$Z$1</f>
        <v>0.3289701438356164</v>
      </c>
      <c r="V48" s="5">
        <f t="shared" si="99"/>
        <v>1.7581915780985462</v>
      </c>
    </row>
    <row r="49" spans="2:22" x14ac:dyDescent="0.3">
      <c r="B49">
        <v>3</v>
      </c>
      <c r="C49">
        <v>6752.8</v>
      </c>
      <c r="D49">
        <v>28119.8</v>
      </c>
      <c r="E49">
        <v>1936</v>
      </c>
      <c r="F49">
        <f t="shared" si="96"/>
        <v>2.8119800000000001</v>
      </c>
      <c r="G49">
        <f t="shared" si="97"/>
        <v>0.67527999999999999</v>
      </c>
      <c r="H49">
        <f t="shared" si="98"/>
        <v>2.1367000000000003</v>
      </c>
      <c r="I49">
        <f t="shared" si="100"/>
        <v>0.19359999999999999</v>
      </c>
      <c r="K49" s="67"/>
      <c r="L49" s="3">
        <v>-97.8</v>
      </c>
      <c r="M49" s="5">
        <f t="shared" ref="M49:M57" si="107">L49+98.2</f>
        <v>0.40000000000000568</v>
      </c>
      <c r="N49" s="5">
        <f t="shared" si="101"/>
        <v>24.754552179927092</v>
      </c>
      <c r="O49" s="5">
        <f t="shared" si="102"/>
        <v>1.5167808274147012</v>
      </c>
      <c r="P49" s="4">
        <v>3</v>
      </c>
      <c r="Q49" s="5">
        <f t="shared" si="103"/>
        <v>2.1367000000000003</v>
      </c>
      <c r="R49" s="5">
        <f t="shared" si="103"/>
        <v>0.19359999999999999</v>
      </c>
      <c r="S49" s="5">
        <f t="shared" si="104"/>
        <v>2.3738737000000003</v>
      </c>
      <c r="T49" s="5">
        <f t="shared" si="105"/>
        <v>0.142432422</v>
      </c>
      <c r="U49" s="5">
        <f t="shared" si="106"/>
        <v>0.3251881780821918</v>
      </c>
      <c r="V49" s="5">
        <f t="shared" si="99"/>
        <v>1.5167808274147012</v>
      </c>
    </row>
    <row r="50" spans="2:22" x14ac:dyDescent="0.3">
      <c r="B50">
        <v>4</v>
      </c>
      <c r="C50">
        <v>9315.7999999999993</v>
      </c>
      <c r="D50">
        <v>35352.300000000003</v>
      </c>
      <c r="E50">
        <v>1315.2</v>
      </c>
      <c r="F50">
        <f t="shared" si="96"/>
        <v>3.5352300000000003</v>
      </c>
      <c r="G50">
        <f t="shared" si="97"/>
        <v>0.93157999999999996</v>
      </c>
      <c r="H50">
        <f t="shared" si="98"/>
        <v>2.6036500000000005</v>
      </c>
      <c r="I50">
        <f t="shared" si="100"/>
        <v>0.13152</v>
      </c>
      <c r="K50" s="67"/>
      <c r="L50" s="3">
        <v>-97.2</v>
      </c>
      <c r="M50" s="5">
        <f t="shared" si="107"/>
        <v>1</v>
      </c>
      <c r="N50" s="5">
        <f t="shared" si="101"/>
        <v>31.807899949628325</v>
      </c>
      <c r="O50" s="5">
        <f t="shared" si="102"/>
        <v>0.91867730018902771</v>
      </c>
      <c r="P50" s="4">
        <v>3</v>
      </c>
      <c r="Q50" s="5">
        <f t="shared" si="103"/>
        <v>2.6036500000000005</v>
      </c>
      <c r="R50" s="5">
        <f t="shared" si="103"/>
        <v>0.13152</v>
      </c>
      <c r="S50" s="5">
        <f t="shared" si="104"/>
        <v>2.8926551500000008</v>
      </c>
      <c r="T50" s="5">
        <f t="shared" si="105"/>
        <v>0.17355930900000005</v>
      </c>
      <c r="U50" s="5">
        <f t="shared" si="106"/>
        <v>0.3962541301369864</v>
      </c>
      <c r="V50" s="5">
        <f t="shared" si="99"/>
        <v>0.91867730018902771</v>
      </c>
    </row>
    <row r="51" spans="2:22" x14ac:dyDescent="0.3">
      <c r="B51">
        <v>5</v>
      </c>
      <c r="C51">
        <v>10901.4</v>
      </c>
      <c r="D51">
        <v>38922.400000000001</v>
      </c>
      <c r="E51">
        <v>1274.2</v>
      </c>
      <c r="F51">
        <f t="shared" si="96"/>
        <v>3.8922400000000001</v>
      </c>
      <c r="G51">
        <f t="shared" si="97"/>
        <v>1.0901399999999999</v>
      </c>
      <c r="H51">
        <f t="shared" si="98"/>
        <v>2.8021000000000003</v>
      </c>
      <c r="I51">
        <f t="shared" si="100"/>
        <v>0.12742000000000001</v>
      </c>
      <c r="K51" s="67"/>
      <c r="L51" s="3">
        <v>-96.8</v>
      </c>
      <c r="M51" s="5">
        <f t="shared" si="107"/>
        <v>1.4000000000000057</v>
      </c>
      <c r="N51" s="5">
        <f t="shared" si="101"/>
        <v>37.414240753916886</v>
      </c>
      <c r="O51" s="5">
        <f t="shared" si="102"/>
        <v>0.66398628016415306</v>
      </c>
      <c r="P51" s="4">
        <v>3</v>
      </c>
      <c r="Q51" s="5">
        <f t="shared" si="103"/>
        <v>2.8021000000000003</v>
      </c>
      <c r="R51" s="5">
        <f t="shared" si="103"/>
        <v>0.12742000000000001</v>
      </c>
      <c r="S51" s="5">
        <f t="shared" si="104"/>
        <v>3.1131331000000002</v>
      </c>
      <c r="T51" s="5">
        <f t="shared" si="105"/>
        <v>0.18678798600000002</v>
      </c>
      <c r="U51" s="5">
        <f t="shared" si="106"/>
        <v>0.42645658904109596</v>
      </c>
      <c r="V51" s="5">
        <f t="shared" si="99"/>
        <v>0.66398628016415306</v>
      </c>
    </row>
    <row r="52" spans="2:22" x14ac:dyDescent="0.3">
      <c r="B52">
        <v>6</v>
      </c>
      <c r="C52">
        <v>11251.8</v>
      </c>
      <c r="D52">
        <v>52218.7</v>
      </c>
      <c r="E52">
        <v>994</v>
      </c>
      <c r="F52">
        <f t="shared" si="96"/>
        <v>5.22187</v>
      </c>
      <c r="G52">
        <f t="shared" si="97"/>
        <v>1.1251799999999998</v>
      </c>
      <c r="H52">
        <f t="shared" si="98"/>
        <v>4.0966900000000006</v>
      </c>
      <c r="I52">
        <f t="shared" si="100"/>
        <v>9.9400000000000002E-2</v>
      </c>
      <c r="K52" s="67"/>
      <c r="L52" s="3">
        <v>-96.3</v>
      </c>
      <c r="M52" s="5">
        <f t="shared" si="107"/>
        <v>1.9000000000000057</v>
      </c>
      <c r="N52" s="5">
        <f t="shared" si="101"/>
        <v>44.970060517830404</v>
      </c>
      <c r="O52" s="5">
        <f t="shared" si="102"/>
        <v>0.45960636521975662</v>
      </c>
      <c r="P52" s="4">
        <v>4</v>
      </c>
      <c r="Q52" s="5">
        <f t="shared" si="103"/>
        <v>4.0966900000000006</v>
      </c>
      <c r="R52" s="5">
        <f t="shared" si="103"/>
        <v>9.9400000000000002E-2</v>
      </c>
      <c r="S52" s="5">
        <f t="shared" si="104"/>
        <v>3.4135669425000006</v>
      </c>
      <c r="T52" s="5">
        <f t="shared" si="105"/>
        <v>0.20481401655000003</v>
      </c>
      <c r="U52" s="5">
        <f t="shared" si="106"/>
        <v>0.46761190993150692</v>
      </c>
      <c r="V52" s="5">
        <f t="shared" si="99"/>
        <v>0.45960636521975662</v>
      </c>
    </row>
    <row r="53" spans="2:22" x14ac:dyDescent="0.3">
      <c r="B53">
        <v>7</v>
      </c>
      <c r="C53">
        <v>12474.3</v>
      </c>
      <c r="D53">
        <v>53277</v>
      </c>
      <c r="E53">
        <v>638.1</v>
      </c>
      <c r="F53">
        <f t="shared" si="96"/>
        <v>5.3277000000000001</v>
      </c>
      <c r="G53">
        <f t="shared" si="97"/>
        <v>1.2474299999999998</v>
      </c>
      <c r="H53">
        <f t="shared" si="98"/>
        <v>4.0802700000000005</v>
      </c>
      <c r="I53">
        <f t="shared" si="100"/>
        <v>6.3810000000000006E-2</v>
      </c>
      <c r="K53" s="67"/>
      <c r="L53" s="3">
        <v>-95.8</v>
      </c>
      <c r="M53" s="5">
        <f t="shared" si="107"/>
        <v>2.4000000000000057</v>
      </c>
      <c r="N53" s="5">
        <f t="shared" si="101"/>
        <v>52.890724234957723</v>
      </c>
      <c r="O53" s="5">
        <f t="shared" si="102"/>
        <v>0.33225685584101733</v>
      </c>
      <c r="P53" s="4">
        <v>4</v>
      </c>
      <c r="Q53" s="5">
        <f t="shared" si="103"/>
        <v>4.0802700000000005</v>
      </c>
      <c r="R53" s="5">
        <f t="shared" si="103"/>
        <v>6.3810000000000006E-2</v>
      </c>
      <c r="S53" s="5">
        <f t="shared" si="104"/>
        <v>3.3998849775000002</v>
      </c>
      <c r="T53" s="5">
        <f t="shared" si="105"/>
        <v>0.20399309865000001</v>
      </c>
      <c r="U53" s="5">
        <f t="shared" si="106"/>
        <v>0.46573766815068496</v>
      </c>
      <c r="V53" s="5">
        <f t="shared" si="99"/>
        <v>0.33225685584101733</v>
      </c>
    </row>
    <row r="54" spans="2:22" x14ac:dyDescent="0.3">
      <c r="B54">
        <v>8</v>
      </c>
      <c r="C54">
        <v>12328.7</v>
      </c>
      <c r="D54">
        <v>58288.7</v>
      </c>
      <c r="E54">
        <v>1851.7</v>
      </c>
      <c r="F54">
        <f t="shared" si="96"/>
        <v>5.8288699999999993</v>
      </c>
      <c r="G54">
        <f t="shared" si="97"/>
        <v>1.2328700000000001</v>
      </c>
      <c r="H54">
        <f t="shared" si="98"/>
        <v>4.5959999999999992</v>
      </c>
      <c r="I54">
        <f t="shared" si="100"/>
        <v>0.18517</v>
      </c>
      <c r="K54" s="67"/>
      <c r="L54" s="3">
        <v>-95.5</v>
      </c>
      <c r="M54" s="5">
        <f t="shared" si="107"/>
        <v>2.7000000000000028</v>
      </c>
      <c r="N54" s="5">
        <f t="shared" si="101"/>
        <v>57.756125383651771</v>
      </c>
      <c r="O54" s="5">
        <f t="shared" si="102"/>
        <v>0.27863577592881189</v>
      </c>
      <c r="P54" s="4">
        <v>5</v>
      </c>
      <c r="Q54" s="5">
        <f t="shared" si="103"/>
        <v>4.5959999999999992</v>
      </c>
      <c r="R54" s="5">
        <f t="shared" si="103"/>
        <v>0.18517</v>
      </c>
      <c r="S54" s="5">
        <f t="shared" si="104"/>
        <v>3.0636935999999992</v>
      </c>
      <c r="T54" s="5">
        <f t="shared" si="105"/>
        <v>0.18382161599999994</v>
      </c>
      <c r="U54" s="5">
        <f t="shared" si="106"/>
        <v>0.41968405479452048</v>
      </c>
      <c r="V54" s="5">
        <f t="shared" si="99"/>
        <v>0.27863577592881189</v>
      </c>
    </row>
    <row r="55" spans="2:22" x14ac:dyDescent="0.3">
      <c r="B55">
        <v>9</v>
      </c>
      <c r="C55">
        <v>6958.9</v>
      </c>
      <c r="D55">
        <v>76488.100000000006</v>
      </c>
      <c r="E55">
        <v>1112</v>
      </c>
      <c r="F55">
        <f t="shared" si="96"/>
        <v>7.648810000000001</v>
      </c>
      <c r="G55">
        <f t="shared" si="97"/>
        <v>0.69589000000000001</v>
      </c>
      <c r="H55">
        <f t="shared" si="98"/>
        <v>6.9529200000000007</v>
      </c>
      <c r="I55">
        <f t="shared" si="100"/>
        <v>0.11119999999999999</v>
      </c>
      <c r="K55" s="67"/>
      <c r="L55" s="5">
        <v>-95.1</v>
      </c>
      <c r="M55" s="5">
        <f t="shared" si="107"/>
        <v>3.1000000000000085</v>
      </c>
      <c r="N55" s="5">
        <f t="shared" si="101"/>
        <v>64.335352920706185</v>
      </c>
      <c r="O55" s="5">
        <f t="shared" si="102"/>
        <v>0.2245606224258696</v>
      </c>
      <c r="P55" s="4">
        <v>8</v>
      </c>
      <c r="Q55" s="5">
        <f t="shared" si="103"/>
        <v>6.9529200000000007</v>
      </c>
      <c r="R55" s="5">
        <f t="shared" si="103"/>
        <v>0.11119999999999999</v>
      </c>
      <c r="S55" s="5">
        <f t="shared" si="104"/>
        <v>2.896760295</v>
      </c>
      <c r="T55" s="5">
        <f t="shared" si="105"/>
        <v>0.1738056177</v>
      </c>
      <c r="U55" s="5">
        <f t="shared" si="106"/>
        <v>0.39681647876712328</v>
      </c>
      <c r="V55" s="5">
        <f t="shared" si="99"/>
        <v>0.2245606224258696</v>
      </c>
    </row>
    <row r="56" spans="2:22" x14ac:dyDescent="0.3">
      <c r="B56">
        <v>10</v>
      </c>
      <c r="C56">
        <v>3178.2</v>
      </c>
      <c r="D56">
        <v>67281.899999999994</v>
      </c>
      <c r="E56">
        <v>7199</v>
      </c>
      <c r="F56">
        <f t="shared" si="96"/>
        <v>6.7281899999999997</v>
      </c>
      <c r="G56">
        <f t="shared" si="97"/>
        <v>0.31781999999999999</v>
      </c>
      <c r="H56">
        <f t="shared" si="98"/>
        <v>6.4103699999999995</v>
      </c>
      <c r="I56">
        <f t="shared" si="100"/>
        <v>0.71989999999999998</v>
      </c>
      <c r="K56" s="67"/>
      <c r="L56" s="5">
        <v>-94.399999999999991</v>
      </c>
      <c r="M56" s="5">
        <f t="shared" si="107"/>
        <v>3.8000000000000114</v>
      </c>
      <c r="N56" s="5">
        <f t="shared" si="101"/>
        <v>76.025152245972833</v>
      </c>
      <c r="O56" s="5">
        <f t="shared" si="102"/>
        <v>0.16081197351276094</v>
      </c>
      <c r="P56" s="4">
        <v>14</v>
      </c>
      <c r="Q56" s="5">
        <f t="shared" si="103"/>
        <v>6.4103699999999995</v>
      </c>
      <c r="R56" s="5">
        <f t="shared" si="103"/>
        <v>0.71989999999999998</v>
      </c>
      <c r="S56" s="5">
        <f t="shared" si="104"/>
        <v>1.5261259435714283</v>
      </c>
      <c r="T56" s="5">
        <f t="shared" si="105"/>
        <v>9.15675566142857E-2</v>
      </c>
      <c r="U56" s="5">
        <f t="shared" si="106"/>
        <v>0.20905834843444224</v>
      </c>
      <c r="V56" s="5">
        <f t="shared" si="99"/>
        <v>0.16081197351276094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96"/>
        <v>0</v>
      </c>
      <c r="G57">
        <f t="shared" si="97"/>
        <v>0</v>
      </c>
      <c r="H57">
        <f t="shared" si="98"/>
        <v>0</v>
      </c>
      <c r="I57">
        <f t="shared" si="100"/>
        <v>0</v>
      </c>
      <c r="K57" s="68"/>
      <c r="L57" s="6">
        <v>-93.3</v>
      </c>
      <c r="M57" s="6">
        <f t="shared" si="107"/>
        <v>4.9000000000000057</v>
      </c>
      <c r="N57" s="6">
        <f t="shared" si="101"/>
        <v>94.671337139281746</v>
      </c>
      <c r="O57" s="6">
        <f t="shared" si="102"/>
        <v>0.10370410708360604</v>
      </c>
      <c r="P57" s="7">
        <v>21</v>
      </c>
      <c r="Q57" s="6">
        <f t="shared" si="103"/>
        <v>0</v>
      </c>
      <c r="R57" s="6">
        <f t="shared" si="103"/>
        <v>0</v>
      </c>
      <c r="S57" s="6">
        <f t="shared" si="104"/>
        <v>0</v>
      </c>
      <c r="T57" s="6">
        <f t="shared" si="105"/>
        <v>0</v>
      </c>
      <c r="U57" s="6">
        <f t="shared" si="106"/>
        <v>0</v>
      </c>
      <c r="V57" s="6">
        <f t="shared" si="99"/>
        <v>0.10370410708360604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-12731.7</v>
      </c>
      <c r="D61">
        <v>8664</v>
      </c>
      <c r="E61">
        <v>1739.6</v>
      </c>
      <c r="F61">
        <f t="shared" ref="F61:F71" si="108">D61/10000</f>
        <v>0.86639999999999995</v>
      </c>
      <c r="G61">
        <f t="shared" ref="G61:G71" si="109">C61/10000</f>
        <v>-1.2731700000000001</v>
      </c>
      <c r="H61">
        <f t="shared" ref="H61:H71" si="110">F61-G61</f>
        <v>2.13957</v>
      </c>
      <c r="I61">
        <f>E61/10000</f>
        <v>0.17396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1.651743354500472</v>
      </c>
      <c r="P61" s="2">
        <v>3</v>
      </c>
      <c r="Q61" s="8">
        <f>H61</f>
        <v>2.13957</v>
      </c>
      <c r="R61" s="8">
        <f>I61</f>
        <v>0.17396</v>
      </c>
      <c r="S61" s="8">
        <f>Q61/10^6*$Z$4*$Z$3/P61*10^12</f>
        <v>2.3770622700000001</v>
      </c>
      <c r="T61" s="8">
        <f>S61*0.06</f>
        <v>0.14262373619999999</v>
      </c>
      <c r="U61" s="8">
        <f>S61/$Z$1</f>
        <v>0.3256249684931507</v>
      </c>
      <c r="V61" s="12">
        <f t="shared" ref="V61:V71" si="111">O61</f>
        <v>1.651743354500472</v>
      </c>
    </row>
    <row r="62" spans="2:22" x14ac:dyDescent="0.3">
      <c r="B62">
        <v>2</v>
      </c>
      <c r="C62">
        <v>-5298</v>
      </c>
      <c r="D62">
        <v>15581</v>
      </c>
      <c r="E62">
        <v>1952</v>
      </c>
      <c r="F62">
        <f t="shared" si="108"/>
        <v>1.5581</v>
      </c>
      <c r="G62">
        <f t="shared" si="109"/>
        <v>-0.52980000000000005</v>
      </c>
      <c r="H62">
        <f t="shared" si="110"/>
        <v>2.0879000000000003</v>
      </c>
      <c r="I62">
        <f t="shared" ref="I62:I71" si="112">E62/10000</f>
        <v>0.19520000000000001</v>
      </c>
      <c r="K62" s="67"/>
      <c r="L62" s="3">
        <v>-98</v>
      </c>
      <c r="M62" s="5">
        <f>L62+98.2</f>
        <v>0.20000000000000284</v>
      </c>
      <c r="N62" s="5">
        <f t="shared" ref="N62:N71" si="113">20.56036*SQRT(1+((L62-(-98.58903))*1.03*1095.70644/(3.14159*20.56036^2))^2)</f>
        <v>22.992351577801337</v>
      </c>
      <c r="O62" s="5">
        <f t="shared" ref="O62:O71" si="114">2*$Z$1/$Z$2/PI()/(N62*10^-4)^2/$K$61/$Z$7</f>
        <v>1.4651596484154552</v>
      </c>
      <c r="P62" s="4">
        <v>3</v>
      </c>
      <c r="Q62" s="5">
        <f t="shared" ref="Q62:R71" si="115">H62</f>
        <v>2.0879000000000003</v>
      </c>
      <c r="R62" s="5">
        <f t="shared" si="115"/>
        <v>0.19520000000000001</v>
      </c>
      <c r="S62" s="5">
        <f t="shared" ref="S62:S71" si="116">Q62/10^6*$Z$4*$Z$3/P62*10^12</f>
        <v>2.3196569000000005</v>
      </c>
      <c r="T62" s="5">
        <f t="shared" ref="T62:T71" si="117">S62*0.06</f>
        <v>0.13917941400000003</v>
      </c>
      <c r="U62" s="5">
        <f t="shared" ref="U62:U71" si="118">S62/$Z$1</f>
        <v>0.31776121917808225</v>
      </c>
      <c r="V62" s="5">
        <f t="shared" si="111"/>
        <v>1.4651596484154552</v>
      </c>
    </row>
    <row r="63" spans="2:22" x14ac:dyDescent="0.3">
      <c r="B63">
        <v>3</v>
      </c>
      <c r="C63">
        <v>-1129.0999999999999</v>
      </c>
      <c r="D63">
        <v>19986.8</v>
      </c>
      <c r="E63">
        <v>1884</v>
      </c>
      <c r="F63">
        <f t="shared" si="108"/>
        <v>1.99868</v>
      </c>
      <c r="G63">
        <f t="shared" si="109"/>
        <v>-0.11291</v>
      </c>
      <c r="H63">
        <f t="shared" si="110"/>
        <v>2.1115900000000001</v>
      </c>
      <c r="I63">
        <f t="shared" si="112"/>
        <v>0.18840000000000001</v>
      </c>
      <c r="K63" s="67"/>
      <c r="L63" s="3">
        <v>-97.8</v>
      </c>
      <c r="M63" s="5">
        <f t="shared" ref="M63:M71" si="119">L63+98.2</f>
        <v>0.40000000000000568</v>
      </c>
      <c r="N63" s="5">
        <f t="shared" si="113"/>
        <v>24.754552179927092</v>
      </c>
      <c r="O63" s="5">
        <f t="shared" si="114"/>
        <v>1.2639840228455843</v>
      </c>
      <c r="P63" s="4">
        <v>3</v>
      </c>
      <c r="Q63" s="5">
        <f t="shared" si="115"/>
        <v>2.1115900000000001</v>
      </c>
      <c r="R63" s="5">
        <f t="shared" si="115"/>
        <v>0.18840000000000001</v>
      </c>
      <c r="S63" s="5">
        <f t="shared" si="116"/>
        <v>2.34597649</v>
      </c>
      <c r="T63" s="5">
        <f t="shared" si="117"/>
        <v>0.14075858939999999</v>
      </c>
      <c r="U63" s="5">
        <f t="shared" si="118"/>
        <v>0.32136664246575342</v>
      </c>
      <c r="V63" s="5">
        <f t="shared" si="111"/>
        <v>1.2639840228455843</v>
      </c>
    </row>
    <row r="64" spans="2:22" x14ac:dyDescent="0.3">
      <c r="B64">
        <v>4</v>
      </c>
      <c r="C64">
        <v>1456</v>
      </c>
      <c r="D64">
        <v>26660.400000000001</v>
      </c>
      <c r="E64">
        <v>1711</v>
      </c>
      <c r="F64">
        <f t="shared" si="108"/>
        <v>2.6660400000000002</v>
      </c>
      <c r="G64">
        <f t="shared" si="109"/>
        <v>0.14560000000000001</v>
      </c>
      <c r="H64">
        <f t="shared" si="110"/>
        <v>2.5204400000000002</v>
      </c>
      <c r="I64">
        <f t="shared" si="112"/>
        <v>0.1711</v>
      </c>
      <c r="K64" s="67"/>
      <c r="L64" s="3">
        <v>-97.2</v>
      </c>
      <c r="M64" s="5">
        <f t="shared" si="119"/>
        <v>1</v>
      </c>
      <c r="N64" s="5">
        <f t="shared" si="113"/>
        <v>31.807899949628325</v>
      </c>
      <c r="O64" s="5">
        <f t="shared" si="114"/>
        <v>0.76556441682418974</v>
      </c>
      <c r="P64" s="4">
        <v>3</v>
      </c>
      <c r="Q64" s="5">
        <f t="shared" si="115"/>
        <v>2.5204400000000002</v>
      </c>
      <c r="R64" s="5">
        <f t="shared" si="115"/>
        <v>0.1711</v>
      </c>
      <c r="S64" s="5">
        <f t="shared" si="116"/>
        <v>2.8002088400000003</v>
      </c>
      <c r="T64" s="5">
        <f t="shared" si="117"/>
        <v>0.1680125304</v>
      </c>
      <c r="U64" s="5">
        <f t="shared" si="118"/>
        <v>0.38359025205479458</v>
      </c>
      <c r="V64" s="5">
        <f t="shared" si="111"/>
        <v>0.76556441682418974</v>
      </c>
    </row>
    <row r="65" spans="2:22" x14ac:dyDescent="0.3">
      <c r="B65">
        <v>5</v>
      </c>
      <c r="C65">
        <v>-239.1</v>
      </c>
      <c r="D65">
        <v>26981</v>
      </c>
      <c r="E65">
        <v>1428</v>
      </c>
      <c r="F65">
        <f t="shared" si="108"/>
        <v>2.6981000000000002</v>
      </c>
      <c r="G65">
        <f t="shared" si="109"/>
        <v>-2.3910000000000001E-2</v>
      </c>
      <c r="H65">
        <f t="shared" si="110"/>
        <v>2.72201</v>
      </c>
      <c r="I65">
        <f t="shared" si="112"/>
        <v>0.14280000000000001</v>
      </c>
      <c r="K65" s="67"/>
      <c r="L65" s="3">
        <v>-96.8</v>
      </c>
      <c r="M65" s="5">
        <f t="shared" si="119"/>
        <v>1.4000000000000057</v>
      </c>
      <c r="N65" s="5">
        <f t="shared" si="113"/>
        <v>37.414240753916886</v>
      </c>
      <c r="O65" s="5">
        <f t="shared" si="114"/>
        <v>0.55332190013679428</v>
      </c>
      <c r="P65" s="4">
        <v>3</v>
      </c>
      <c r="Q65" s="5">
        <f t="shared" si="115"/>
        <v>2.72201</v>
      </c>
      <c r="R65" s="5">
        <f t="shared" si="115"/>
        <v>0.14280000000000001</v>
      </c>
      <c r="S65" s="5">
        <f t="shared" si="116"/>
        <v>3.0241531100000003</v>
      </c>
      <c r="T65" s="5">
        <f t="shared" si="117"/>
        <v>0.18144918660000001</v>
      </c>
      <c r="U65" s="5">
        <f t="shared" si="118"/>
        <v>0.41426754931506854</v>
      </c>
      <c r="V65" s="5">
        <f t="shared" si="111"/>
        <v>0.55332190013679428</v>
      </c>
    </row>
    <row r="66" spans="2:22" x14ac:dyDescent="0.3">
      <c r="B66">
        <v>6</v>
      </c>
      <c r="C66">
        <v>-412.7</v>
      </c>
      <c r="D66">
        <v>42080.1</v>
      </c>
      <c r="E66">
        <v>1134.5999999999999</v>
      </c>
      <c r="F66">
        <f t="shared" si="108"/>
        <v>4.2080099999999998</v>
      </c>
      <c r="G66">
        <f t="shared" si="109"/>
        <v>-4.1270000000000001E-2</v>
      </c>
      <c r="H66">
        <f t="shared" si="110"/>
        <v>4.2492799999999997</v>
      </c>
      <c r="I66">
        <f t="shared" si="112"/>
        <v>0.11345999999999999</v>
      </c>
      <c r="K66" s="67"/>
      <c r="L66" s="3">
        <v>-96.3</v>
      </c>
      <c r="M66" s="5">
        <f t="shared" si="119"/>
        <v>1.9000000000000057</v>
      </c>
      <c r="N66" s="5">
        <f t="shared" si="113"/>
        <v>44.970060517830404</v>
      </c>
      <c r="O66" s="5">
        <f t="shared" si="114"/>
        <v>0.38300530434979718</v>
      </c>
      <c r="P66" s="4">
        <v>4</v>
      </c>
      <c r="Q66" s="5">
        <f t="shared" si="115"/>
        <v>4.2492799999999997</v>
      </c>
      <c r="R66" s="5">
        <f t="shared" si="115"/>
        <v>0.11345999999999999</v>
      </c>
      <c r="S66" s="5">
        <f t="shared" si="116"/>
        <v>3.5407125600000002</v>
      </c>
      <c r="T66" s="5">
        <f t="shared" si="117"/>
        <v>0.21244275360000001</v>
      </c>
      <c r="U66" s="5">
        <f t="shared" si="118"/>
        <v>0.48502911780821922</v>
      </c>
      <c r="V66" s="5">
        <f t="shared" si="111"/>
        <v>0.38300530434979718</v>
      </c>
    </row>
    <row r="67" spans="2:22" x14ac:dyDescent="0.3">
      <c r="B67">
        <v>7</v>
      </c>
      <c r="C67">
        <v>1216.9000000000001</v>
      </c>
      <c r="D67">
        <v>43299.8</v>
      </c>
      <c r="E67">
        <v>541.29999999999995</v>
      </c>
      <c r="F67">
        <f t="shared" si="108"/>
        <v>4.3299799999999999</v>
      </c>
      <c r="G67">
        <f t="shared" si="109"/>
        <v>0.12169000000000001</v>
      </c>
      <c r="H67">
        <f t="shared" si="110"/>
        <v>4.2082899999999999</v>
      </c>
      <c r="I67">
        <f t="shared" si="112"/>
        <v>5.4129999999999998E-2</v>
      </c>
      <c r="K67" s="67"/>
      <c r="L67" s="3">
        <v>-95.8</v>
      </c>
      <c r="M67" s="5">
        <f t="shared" si="119"/>
        <v>2.4000000000000057</v>
      </c>
      <c r="N67" s="5">
        <f t="shared" si="113"/>
        <v>52.890724234957723</v>
      </c>
      <c r="O67" s="5">
        <f t="shared" si="114"/>
        <v>0.27688071320084778</v>
      </c>
      <c r="P67" s="4">
        <v>4</v>
      </c>
      <c r="Q67" s="5">
        <f t="shared" si="115"/>
        <v>4.2082899999999999</v>
      </c>
      <c r="R67" s="5">
        <f t="shared" si="115"/>
        <v>5.4129999999999998E-2</v>
      </c>
      <c r="S67" s="5">
        <f t="shared" si="116"/>
        <v>3.5065576425000002</v>
      </c>
      <c r="T67" s="5">
        <f t="shared" si="117"/>
        <v>0.21039345855</v>
      </c>
      <c r="U67" s="5">
        <f t="shared" si="118"/>
        <v>0.48035036198630143</v>
      </c>
      <c r="V67" s="5">
        <f t="shared" si="111"/>
        <v>0.27688071320084778</v>
      </c>
    </row>
    <row r="68" spans="2:22" x14ac:dyDescent="0.3">
      <c r="B68">
        <v>8</v>
      </c>
      <c r="C68">
        <v>1365.3</v>
      </c>
      <c r="D68">
        <v>50159</v>
      </c>
      <c r="E68">
        <v>720</v>
      </c>
      <c r="F68">
        <f t="shared" si="108"/>
        <v>5.0159000000000002</v>
      </c>
      <c r="G68">
        <f t="shared" si="109"/>
        <v>0.13652999999999998</v>
      </c>
      <c r="H68">
        <f t="shared" si="110"/>
        <v>4.8793700000000007</v>
      </c>
      <c r="I68">
        <f t="shared" si="112"/>
        <v>7.1999999999999995E-2</v>
      </c>
      <c r="K68" s="67"/>
      <c r="L68" s="3">
        <v>-95.5</v>
      </c>
      <c r="M68" s="5">
        <f t="shared" si="119"/>
        <v>2.7000000000000028</v>
      </c>
      <c r="N68" s="5">
        <f t="shared" si="113"/>
        <v>57.756125383651771</v>
      </c>
      <c r="O68" s="5">
        <f t="shared" si="114"/>
        <v>0.23219647994067658</v>
      </c>
      <c r="P68" s="4">
        <v>5</v>
      </c>
      <c r="Q68" s="5">
        <f t="shared" si="115"/>
        <v>4.8793700000000007</v>
      </c>
      <c r="R68" s="5">
        <f t="shared" si="115"/>
        <v>7.1999999999999995E-2</v>
      </c>
      <c r="S68" s="5">
        <f t="shared" si="116"/>
        <v>3.2525880420000002</v>
      </c>
      <c r="T68" s="5">
        <f t="shared" si="117"/>
        <v>0.19515528252</v>
      </c>
      <c r="U68" s="5">
        <f t="shared" si="118"/>
        <v>0.44556000575342469</v>
      </c>
      <c r="V68" s="5">
        <f t="shared" si="111"/>
        <v>0.23219647994067658</v>
      </c>
    </row>
    <row r="69" spans="2:22" x14ac:dyDescent="0.3">
      <c r="B69">
        <v>9</v>
      </c>
      <c r="C69">
        <v>1082</v>
      </c>
      <c r="D69">
        <v>68523.3</v>
      </c>
      <c r="E69">
        <v>905.3</v>
      </c>
      <c r="F69">
        <f t="shared" si="108"/>
        <v>6.8523300000000003</v>
      </c>
      <c r="G69">
        <f t="shared" si="109"/>
        <v>0.1082</v>
      </c>
      <c r="H69">
        <f t="shared" si="110"/>
        <v>6.7441300000000002</v>
      </c>
      <c r="I69">
        <f t="shared" si="112"/>
        <v>9.0529999999999999E-2</v>
      </c>
      <c r="K69" s="67"/>
      <c r="L69" s="5">
        <v>-95.1</v>
      </c>
      <c r="M69" s="5">
        <f t="shared" si="119"/>
        <v>3.1000000000000085</v>
      </c>
      <c r="N69" s="5">
        <f t="shared" si="113"/>
        <v>64.335352920706185</v>
      </c>
      <c r="O69" s="5">
        <f t="shared" si="114"/>
        <v>0.18713385202155799</v>
      </c>
      <c r="P69" s="4">
        <v>8</v>
      </c>
      <c r="Q69" s="5">
        <f t="shared" si="115"/>
        <v>6.7441300000000002</v>
      </c>
      <c r="R69" s="5">
        <f t="shared" si="115"/>
        <v>9.0529999999999999E-2</v>
      </c>
      <c r="S69" s="5">
        <f t="shared" si="116"/>
        <v>2.8097731612499999</v>
      </c>
      <c r="T69" s="5">
        <f t="shared" si="117"/>
        <v>0.16858638967499998</v>
      </c>
      <c r="U69" s="5">
        <f t="shared" si="118"/>
        <v>0.38490043304794519</v>
      </c>
      <c r="V69" s="5">
        <f t="shared" si="111"/>
        <v>0.18713385202155799</v>
      </c>
    </row>
    <row r="70" spans="2:22" x14ac:dyDescent="0.3">
      <c r="B70">
        <v>10</v>
      </c>
      <c r="C70">
        <v>119.5</v>
      </c>
      <c r="D70">
        <v>40260</v>
      </c>
      <c r="E70">
        <v>13627.7</v>
      </c>
      <c r="F70">
        <f t="shared" si="108"/>
        <v>4.0259999999999998</v>
      </c>
      <c r="G70">
        <f t="shared" si="109"/>
        <v>1.1950000000000001E-2</v>
      </c>
      <c r="H70">
        <f t="shared" si="110"/>
        <v>4.0140500000000001</v>
      </c>
      <c r="I70">
        <f t="shared" si="112"/>
        <v>1.36277</v>
      </c>
      <c r="K70" s="67"/>
      <c r="L70" s="5">
        <v>-94.399999999999991</v>
      </c>
      <c r="M70" s="5">
        <f t="shared" si="119"/>
        <v>3.8000000000000114</v>
      </c>
      <c r="N70" s="5">
        <f t="shared" si="113"/>
        <v>76.025152245972833</v>
      </c>
      <c r="O70" s="5">
        <f t="shared" si="114"/>
        <v>0.13400997792730077</v>
      </c>
      <c r="P70" s="4">
        <v>14</v>
      </c>
      <c r="Q70" s="5">
        <f t="shared" si="115"/>
        <v>4.0140500000000001</v>
      </c>
      <c r="R70" s="5">
        <f t="shared" si="115"/>
        <v>1.36277</v>
      </c>
      <c r="S70" s="5">
        <f t="shared" si="116"/>
        <v>0.95563061785714298</v>
      </c>
      <c r="T70" s="5">
        <f t="shared" si="117"/>
        <v>5.7337837071428574E-2</v>
      </c>
      <c r="U70" s="5">
        <f t="shared" si="118"/>
        <v>0.13090830381604698</v>
      </c>
      <c r="V70" s="5">
        <f t="shared" si="111"/>
        <v>0.13400997792730077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108"/>
        <v>0</v>
      </c>
      <c r="G71">
        <f t="shared" si="109"/>
        <v>0</v>
      </c>
      <c r="H71">
        <f t="shared" si="110"/>
        <v>0</v>
      </c>
      <c r="I71">
        <f t="shared" si="112"/>
        <v>0</v>
      </c>
      <c r="K71" s="68"/>
      <c r="L71" s="6">
        <v>-93.3</v>
      </c>
      <c r="M71" s="6">
        <f t="shared" si="119"/>
        <v>4.9000000000000057</v>
      </c>
      <c r="N71" s="6">
        <f t="shared" si="113"/>
        <v>94.671337139281746</v>
      </c>
      <c r="O71" s="6">
        <f t="shared" si="114"/>
        <v>8.6420089236338371E-2</v>
      </c>
      <c r="P71" s="7">
        <v>21</v>
      </c>
      <c r="Q71" s="6">
        <f t="shared" si="115"/>
        <v>0</v>
      </c>
      <c r="R71" s="6">
        <f t="shared" si="115"/>
        <v>0</v>
      </c>
      <c r="S71" s="6">
        <f t="shared" si="116"/>
        <v>0</v>
      </c>
      <c r="T71" s="6">
        <f t="shared" si="117"/>
        <v>0</v>
      </c>
      <c r="U71" s="6">
        <f t="shared" si="118"/>
        <v>0</v>
      </c>
      <c r="V71" s="6">
        <f t="shared" si="111"/>
        <v>8.6420089236338371E-2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548.1</v>
      </c>
      <c r="D75">
        <v>21000.400000000001</v>
      </c>
      <c r="E75">
        <v>1951.1</v>
      </c>
      <c r="F75">
        <f t="shared" ref="F75:F85" si="120">D75/10000</f>
        <v>2.1000400000000004</v>
      </c>
      <c r="G75">
        <f t="shared" ref="G75:G85" si="121">C75/10000</f>
        <v>5.4810000000000005E-2</v>
      </c>
      <c r="H75">
        <f t="shared" ref="H75:H85" si="122">F75-G75</f>
        <v>2.0452300000000005</v>
      </c>
      <c r="I75">
        <f>E75/10000</f>
        <v>0.19510999999999998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1.4157800181432616</v>
      </c>
      <c r="P75" s="2">
        <v>3</v>
      </c>
      <c r="Q75" s="8">
        <f>H75</f>
        <v>2.0452300000000005</v>
      </c>
      <c r="R75" s="8">
        <f>I75</f>
        <v>0.19510999999999998</v>
      </c>
      <c r="S75" s="8">
        <f>Q75/10^6*$Z$4*$Z$3/P75*10^12</f>
        <v>2.2722505300000009</v>
      </c>
      <c r="T75" s="8">
        <f>S75*0.06</f>
        <v>0.13633503180000003</v>
      </c>
      <c r="U75" s="8">
        <f>S75/$Z$1</f>
        <v>0.31126719589041107</v>
      </c>
      <c r="V75" s="12">
        <f t="shared" ref="V75:V85" si="123">O75</f>
        <v>1.4157800181432616</v>
      </c>
    </row>
    <row r="76" spans="2:22" x14ac:dyDescent="0.3">
      <c r="B76">
        <v>2</v>
      </c>
      <c r="C76">
        <v>4118.6000000000004</v>
      </c>
      <c r="D76">
        <v>23090.7</v>
      </c>
      <c r="E76">
        <v>1827.3</v>
      </c>
      <c r="F76">
        <f t="shared" si="120"/>
        <v>2.3090700000000002</v>
      </c>
      <c r="G76">
        <f t="shared" si="121"/>
        <v>0.41186000000000006</v>
      </c>
      <c r="H76">
        <f t="shared" si="122"/>
        <v>1.8972100000000001</v>
      </c>
      <c r="I76">
        <f t="shared" ref="I76:I85" si="124">E76/10000</f>
        <v>0.18273</v>
      </c>
      <c r="K76" s="67"/>
      <c r="L76" s="3">
        <v>-98</v>
      </c>
      <c r="M76" s="5">
        <f>L76+98.2</f>
        <v>0.20000000000000284</v>
      </c>
      <c r="N76" s="5">
        <f t="shared" ref="N76:N85" si="125">20.56036*SQRT(1+((L76-(-98.58903))*1.03*1095.70644/(3.14159*20.56036^2))^2)</f>
        <v>22.992351577801337</v>
      </c>
      <c r="O76" s="5">
        <f t="shared" ref="O76:O85" si="126">2*$Z$1/$Z$2/PI()/(N76*10^-4)^2/$K$75/$Z$7</f>
        <v>1.2558511272132473</v>
      </c>
      <c r="P76" s="4">
        <v>3</v>
      </c>
      <c r="Q76" s="5">
        <f t="shared" ref="Q76:R85" si="127">H76</f>
        <v>1.8972100000000001</v>
      </c>
      <c r="R76" s="5">
        <f t="shared" si="127"/>
        <v>0.18273</v>
      </c>
      <c r="S76" s="5">
        <f t="shared" ref="S76:S85" si="128">Q76/10^6*$Z$4*$Z$3/P76*10^12</f>
        <v>2.10780031</v>
      </c>
      <c r="T76" s="5">
        <f t="shared" ref="T76:T85" si="129">S76*0.06</f>
        <v>0.12646801860000001</v>
      </c>
      <c r="U76" s="5">
        <f t="shared" ref="U76:U85" si="130">S76/$Z$1</f>
        <v>0.28873976849315069</v>
      </c>
      <c r="V76" s="5">
        <f t="shared" si="123"/>
        <v>1.2558511272132473</v>
      </c>
    </row>
    <row r="77" spans="2:22" x14ac:dyDescent="0.3">
      <c r="B77">
        <v>3</v>
      </c>
      <c r="C77">
        <v>5944.8</v>
      </c>
      <c r="D77">
        <v>25977</v>
      </c>
      <c r="E77">
        <v>2585</v>
      </c>
      <c r="F77">
        <f t="shared" si="120"/>
        <v>2.5977000000000001</v>
      </c>
      <c r="G77">
        <f t="shared" si="121"/>
        <v>0.59448000000000001</v>
      </c>
      <c r="H77">
        <f t="shared" si="122"/>
        <v>2.0032200000000002</v>
      </c>
      <c r="I77">
        <f t="shared" si="124"/>
        <v>0.25850000000000001</v>
      </c>
      <c r="K77" s="67"/>
      <c r="L77" s="3">
        <v>-97.8</v>
      </c>
      <c r="M77" s="5">
        <f t="shared" ref="M77:M85" si="131">L77+98.2</f>
        <v>0.40000000000000568</v>
      </c>
      <c r="N77" s="5">
        <f t="shared" si="125"/>
        <v>24.754552179927092</v>
      </c>
      <c r="O77" s="5">
        <f t="shared" si="126"/>
        <v>1.0834148767247866</v>
      </c>
      <c r="P77" s="4">
        <v>3</v>
      </c>
      <c r="Q77" s="5">
        <f t="shared" si="127"/>
        <v>2.0032200000000002</v>
      </c>
      <c r="R77" s="5">
        <f t="shared" si="127"/>
        <v>0.25850000000000001</v>
      </c>
      <c r="S77" s="5">
        <f t="shared" si="128"/>
        <v>2.22557742</v>
      </c>
      <c r="T77" s="5">
        <f t="shared" si="129"/>
        <v>0.1335346452</v>
      </c>
      <c r="U77" s="5">
        <f t="shared" si="130"/>
        <v>0.3048736191780822</v>
      </c>
      <c r="V77" s="5">
        <f t="shared" si="123"/>
        <v>1.0834148767247866</v>
      </c>
    </row>
    <row r="78" spans="2:22" x14ac:dyDescent="0.3">
      <c r="B78">
        <v>4</v>
      </c>
      <c r="C78">
        <v>7762.6</v>
      </c>
      <c r="D78">
        <v>30852.400000000001</v>
      </c>
      <c r="E78">
        <v>1955</v>
      </c>
      <c r="F78">
        <f t="shared" si="120"/>
        <v>3.0852400000000002</v>
      </c>
      <c r="G78">
        <f t="shared" si="121"/>
        <v>0.77626000000000006</v>
      </c>
      <c r="H78">
        <f t="shared" si="122"/>
        <v>2.30898</v>
      </c>
      <c r="I78">
        <f t="shared" si="124"/>
        <v>0.19550000000000001</v>
      </c>
      <c r="K78" s="67"/>
      <c r="L78" s="3">
        <v>-97.2</v>
      </c>
      <c r="M78" s="5">
        <f t="shared" si="131"/>
        <v>1</v>
      </c>
      <c r="N78" s="5">
        <f t="shared" si="125"/>
        <v>31.807899949628325</v>
      </c>
      <c r="O78" s="5">
        <f t="shared" si="126"/>
        <v>0.65619807156359122</v>
      </c>
      <c r="P78" s="4">
        <v>3</v>
      </c>
      <c r="Q78" s="5">
        <f t="shared" si="127"/>
        <v>2.30898</v>
      </c>
      <c r="R78" s="5">
        <f t="shared" si="127"/>
        <v>0.19550000000000001</v>
      </c>
      <c r="S78" s="5">
        <f t="shared" si="128"/>
        <v>2.56527678</v>
      </c>
      <c r="T78" s="5">
        <f t="shared" si="129"/>
        <v>0.15391660679999999</v>
      </c>
      <c r="U78" s="5">
        <f t="shared" si="130"/>
        <v>0.35140777808219181</v>
      </c>
      <c r="V78" s="5">
        <f t="shared" si="123"/>
        <v>0.65619807156359122</v>
      </c>
    </row>
    <row r="79" spans="2:22" x14ac:dyDescent="0.3">
      <c r="B79">
        <v>5</v>
      </c>
      <c r="C79">
        <v>8678.7999999999993</v>
      </c>
      <c r="D79">
        <v>35839.800000000003</v>
      </c>
      <c r="E79">
        <v>1360.3</v>
      </c>
      <c r="F79">
        <f t="shared" si="120"/>
        <v>3.5839800000000004</v>
      </c>
      <c r="G79">
        <f t="shared" si="121"/>
        <v>0.86787999999999987</v>
      </c>
      <c r="H79">
        <f t="shared" si="122"/>
        <v>2.7161000000000004</v>
      </c>
      <c r="I79">
        <f t="shared" si="124"/>
        <v>0.13602999999999998</v>
      </c>
      <c r="K79" s="67"/>
      <c r="L79" s="3">
        <v>-96.8</v>
      </c>
      <c r="M79" s="5">
        <f t="shared" si="131"/>
        <v>1.4000000000000057</v>
      </c>
      <c r="N79" s="5">
        <f t="shared" si="125"/>
        <v>37.414240753916886</v>
      </c>
      <c r="O79" s="5">
        <f t="shared" si="126"/>
        <v>0.47427591440296651</v>
      </c>
      <c r="P79" s="4">
        <v>3</v>
      </c>
      <c r="Q79" s="5">
        <f t="shared" si="127"/>
        <v>2.7161000000000004</v>
      </c>
      <c r="R79" s="5">
        <f t="shared" si="127"/>
        <v>0.13602999999999998</v>
      </c>
      <c r="S79" s="5">
        <f t="shared" si="128"/>
        <v>3.017587100000001</v>
      </c>
      <c r="T79" s="5">
        <f t="shared" si="129"/>
        <v>0.18105522600000004</v>
      </c>
      <c r="U79" s="5">
        <f t="shared" si="130"/>
        <v>0.41336809589041112</v>
      </c>
      <c r="V79" s="5">
        <f t="shared" si="123"/>
        <v>0.47427591440296651</v>
      </c>
    </row>
    <row r="80" spans="2:22" x14ac:dyDescent="0.3">
      <c r="B80">
        <v>6</v>
      </c>
      <c r="C80">
        <v>9269</v>
      </c>
      <c r="D80">
        <v>50079.8</v>
      </c>
      <c r="E80">
        <v>805.9</v>
      </c>
      <c r="F80">
        <f t="shared" si="120"/>
        <v>5.0079799999999999</v>
      </c>
      <c r="G80">
        <f t="shared" si="121"/>
        <v>0.92689999999999995</v>
      </c>
      <c r="H80">
        <f t="shared" si="122"/>
        <v>4.08108</v>
      </c>
      <c r="I80">
        <f t="shared" si="124"/>
        <v>8.0589999999999995E-2</v>
      </c>
      <c r="K80" s="67"/>
      <c r="L80" s="3">
        <v>-96.3</v>
      </c>
      <c r="M80" s="5">
        <f t="shared" si="131"/>
        <v>1.9000000000000057</v>
      </c>
      <c r="N80" s="5">
        <f t="shared" si="125"/>
        <v>44.970060517830404</v>
      </c>
      <c r="O80" s="5">
        <f t="shared" si="126"/>
        <v>0.32829026087125474</v>
      </c>
      <c r="P80" s="4">
        <v>4</v>
      </c>
      <c r="Q80" s="5">
        <f t="shared" si="127"/>
        <v>4.08108</v>
      </c>
      <c r="R80" s="5">
        <f t="shared" si="127"/>
        <v>8.0589999999999995E-2</v>
      </c>
      <c r="S80" s="5">
        <f t="shared" si="128"/>
        <v>3.4005599099999997</v>
      </c>
      <c r="T80" s="5">
        <f t="shared" si="129"/>
        <v>0.20403359459999998</v>
      </c>
      <c r="U80" s="5">
        <f t="shared" si="130"/>
        <v>0.46583012465753421</v>
      </c>
      <c r="V80" s="5">
        <f t="shared" si="123"/>
        <v>0.32829026087125474</v>
      </c>
    </row>
    <row r="81" spans="2:22" x14ac:dyDescent="0.3">
      <c r="B81">
        <v>7</v>
      </c>
      <c r="C81">
        <v>9724.2999999999993</v>
      </c>
      <c r="D81">
        <v>48480.800000000003</v>
      </c>
      <c r="E81">
        <v>1119</v>
      </c>
      <c r="F81">
        <f t="shared" si="120"/>
        <v>4.8480800000000004</v>
      </c>
      <c r="G81">
        <f t="shared" si="121"/>
        <v>0.97242999999999991</v>
      </c>
      <c r="H81">
        <f t="shared" si="122"/>
        <v>3.8756500000000003</v>
      </c>
      <c r="I81">
        <f t="shared" si="124"/>
        <v>0.1119</v>
      </c>
      <c r="K81" s="67"/>
      <c r="L81" s="3">
        <v>-95.8</v>
      </c>
      <c r="M81" s="5">
        <f t="shared" si="131"/>
        <v>2.4000000000000057</v>
      </c>
      <c r="N81" s="5">
        <f t="shared" si="125"/>
        <v>52.890724234957723</v>
      </c>
      <c r="O81" s="5">
        <f t="shared" si="126"/>
        <v>0.23732632560072667</v>
      </c>
      <c r="P81" s="4">
        <v>4</v>
      </c>
      <c r="Q81" s="5">
        <f t="shared" si="127"/>
        <v>3.8756500000000003</v>
      </c>
      <c r="R81" s="5">
        <f t="shared" si="127"/>
        <v>0.1119</v>
      </c>
      <c r="S81" s="5">
        <f t="shared" si="128"/>
        <v>3.2293853625</v>
      </c>
      <c r="T81" s="5">
        <f t="shared" si="129"/>
        <v>0.19376312174999999</v>
      </c>
      <c r="U81" s="5">
        <f t="shared" si="130"/>
        <v>0.44238155650684929</v>
      </c>
      <c r="V81" s="5">
        <f t="shared" si="123"/>
        <v>0.23732632560072667</v>
      </c>
    </row>
    <row r="82" spans="2:22" x14ac:dyDescent="0.3">
      <c r="B82">
        <v>8</v>
      </c>
      <c r="C82">
        <v>7644</v>
      </c>
      <c r="D82">
        <v>54169.599999999999</v>
      </c>
      <c r="E82">
        <v>643.29999999999995</v>
      </c>
      <c r="F82">
        <f t="shared" si="120"/>
        <v>5.4169599999999996</v>
      </c>
      <c r="G82">
        <f t="shared" si="121"/>
        <v>0.76439999999999997</v>
      </c>
      <c r="H82">
        <f t="shared" si="122"/>
        <v>4.6525599999999994</v>
      </c>
      <c r="I82">
        <f t="shared" si="124"/>
        <v>6.4329999999999998E-2</v>
      </c>
      <c r="K82" s="67"/>
      <c r="L82" s="3">
        <v>-95.5</v>
      </c>
      <c r="M82" s="5">
        <f t="shared" si="131"/>
        <v>2.7000000000000028</v>
      </c>
      <c r="N82" s="5">
        <f t="shared" si="125"/>
        <v>57.756125383651771</v>
      </c>
      <c r="O82" s="5">
        <f t="shared" si="126"/>
        <v>0.19902555423486562</v>
      </c>
      <c r="P82" s="4">
        <v>5</v>
      </c>
      <c r="Q82" s="5">
        <f t="shared" si="127"/>
        <v>4.6525599999999994</v>
      </c>
      <c r="R82" s="5">
        <f t="shared" si="127"/>
        <v>6.4329999999999998E-2</v>
      </c>
      <c r="S82" s="5">
        <f t="shared" si="128"/>
        <v>3.1013964959999996</v>
      </c>
      <c r="T82" s="5">
        <f t="shared" si="129"/>
        <v>0.18608378975999998</v>
      </c>
      <c r="U82" s="5">
        <f t="shared" si="130"/>
        <v>0.42484883506849308</v>
      </c>
      <c r="V82" s="5">
        <f t="shared" si="123"/>
        <v>0.19902555423486562</v>
      </c>
    </row>
    <row r="83" spans="2:22" x14ac:dyDescent="0.3">
      <c r="B83">
        <v>9</v>
      </c>
      <c r="C83">
        <v>6927.3</v>
      </c>
      <c r="D83">
        <v>69105.8</v>
      </c>
      <c r="E83">
        <v>1433.6</v>
      </c>
      <c r="F83">
        <f t="shared" si="120"/>
        <v>6.9105800000000004</v>
      </c>
      <c r="G83">
        <f t="shared" si="121"/>
        <v>0.69273000000000007</v>
      </c>
      <c r="H83">
        <f t="shared" si="122"/>
        <v>6.2178500000000003</v>
      </c>
      <c r="I83">
        <f t="shared" si="124"/>
        <v>0.14335999999999999</v>
      </c>
      <c r="K83" s="67"/>
      <c r="L83" s="5">
        <v>-95.1</v>
      </c>
      <c r="M83" s="5">
        <f t="shared" si="131"/>
        <v>3.1000000000000085</v>
      </c>
      <c r="N83" s="5">
        <f t="shared" si="125"/>
        <v>64.335352920706185</v>
      </c>
      <c r="O83" s="5">
        <f t="shared" si="126"/>
        <v>0.16040044458990685</v>
      </c>
      <c r="P83" s="4">
        <v>8</v>
      </c>
      <c r="Q83" s="5">
        <f t="shared" si="127"/>
        <v>6.2178500000000003</v>
      </c>
      <c r="R83" s="5">
        <f t="shared" si="127"/>
        <v>0.14335999999999999</v>
      </c>
      <c r="S83" s="5">
        <f t="shared" si="128"/>
        <v>2.5905117562500006</v>
      </c>
      <c r="T83" s="5">
        <f t="shared" si="129"/>
        <v>0.15543070537500003</v>
      </c>
      <c r="U83" s="5">
        <f t="shared" si="130"/>
        <v>0.35486462414383574</v>
      </c>
      <c r="V83" s="5">
        <f t="shared" si="123"/>
        <v>0.16040044458990685</v>
      </c>
    </row>
    <row r="84" spans="2:22" x14ac:dyDescent="0.3">
      <c r="B84">
        <v>10</v>
      </c>
      <c r="C84">
        <v>3063</v>
      </c>
      <c r="D84">
        <v>25056.6</v>
      </c>
      <c r="E84">
        <v>18327.8</v>
      </c>
      <c r="F84">
        <f t="shared" si="120"/>
        <v>2.5056599999999998</v>
      </c>
      <c r="G84">
        <f t="shared" si="121"/>
        <v>0.30630000000000002</v>
      </c>
      <c r="H84">
        <f t="shared" si="122"/>
        <v>2.1993599999999995</v>
      </c>
      <c r="I84">
        <f t="shared" si="124"/>
        <v>1.8327799999999999</v>
      </c>
      <c r="K84" s="67"/>
      <c r="L84" s="5">
        <v>-94.399999999999991</v>
      </c>
      <c r="M84" s="5">
        <f t="shared" si="131"/>
        <v>3.8000000000000114</v>
      </c>
      <c r="N84" s="5">
        <f t="shared" si="125"/>
        <v>76.025152245972833</v>
      </c>
      <c r="O84" s="5">
        <f t="shared" si="126"/>
        <v>0.11486569536625781</v>
      </c>
      <c r="P84" s="4">
        <v>14</v>
      </c>
      <c r="Q84" s="5">
        <f t="shared" si="127"/>
        <v>2.1993599999999995</v>
      </c>
      <c r="R84" s="5">
        <f t="shared" si="127"/>
        <v>1.8327799999999999</v>
      </c>
      <c r="S84" s="5">
        <f t="shared" si="128"/>
        <v>0.52360477714285703</v>
      </c>
      <c r="T84" s="5">
        <f t="shared" si="129"/>
        <v>3.1416286628571419E-2</v>
      </c>
      <c r="U84" s="5">
        <f t="shared" si="130"/>
        <v>7.1726681800391379E-2</v>
      </c>
      <c r="V84" s="5">
        <f t="shared" si="123"/>
        <v>0.11486569536625781</v>
      </c>
    </row>
    <row r="85" spans="2:22" ht="15" thickBot="1" x14ac:dyDescent="0.35">
      <c r="B85">
        <v>11</v>
      </c>
      <c r="F85">
        <f t="shared" si="120"/>
        <v>0</v>
      </c>
      <c r="G85">
        <f t="shared" si="121"/>
        <v>0</v>
      </c>
      <c r="H85">
        <f t="shared" si="122"/>
        <v>0</v>
      </c>
      <c r="I85">
        <f t="shared" si="124"/>
        <v>0</v>
      </c>
      <c r="K85" s="68"/>
      <c r="L85" s="6">
        <v>-93.3</v>
      </c>
      <c r="M85" s="6">
        <f t="shared" si="131"/>
        <v>4.9000000000000057</v>
      </c>
      <c r="N85" s="6">
        <f t="shared" si="125"/>
        <v>94.671337139281746</v>
      </c>
      <c r="O85" s="6">
        <f t="shared" si="126"/>
        <v>7.4074362202575753E-2</v>
      </c>
      <c r="P85" s="7">
        <v>21</v>
      </c>
      <c r="Q85" s="6">
        <f t="shared" si="127"/>
        <v>0</v>
      </c>
      <c r="R85" s="6">
        <f t="shared" si="127"/>
        <v>0</v>
      </c>
      <c r="S85" s="6">
        <f t="shared" si="128"/>
        <v>0</v>
      </c>
      <c r="T85" s="6">
        <f t="shared" si="129"/>
        <v>0</v>
      </c>
      <c r="U85" s="6">
        <f t="shared" si="130"/>
        <v>0</v>
      </c>
      <c r="V85" s="6">
        <f t="shared" si="123"/>
        <v>7.4074362202575753E-2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1909.5</v>
      </c>
      <c r="D89">
        <v>21229.9</v>
      </c>
      <c r="E89">
        <v>2063.5</v>
      </c>
      <c r="F89">
        <f t="shared" ref="F89:F99" si="132">D89/10000</f>
        <v>2.1229900000000002</v>
      </c>
      <c r="G89">
        <f t="shared" ref="G89:G99" si="133">C89/10000</f>
        <v>0.19095000000000001</v>
      </c>
      <c r="H89">
        <f t="shared" ref="H89:H99" si="134">F89-G89</f>
        <v>1.9320400000000002</v>
      </c>
      <c r="I89">
        <f>E89/10000</f>
        <v>0.20635000000000001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1.238807515875354</v>
      </c>
      <c r="P89" s="2">
        <v>3</v>
      </c>
      <c r="Q89" s="8">
        <f>H89</f>
        <v>1.9320400000000002</v>
      </c>
      <c r="R89" s="8">
        <f>I89</f>
        <v>0.20635000000000001</v>
      </c>
      <c r="S89" s="8">
        <f>Q89/10^6*$Z$4*$Z$3/P89*10^12</f>
        <v>2.14649644</v>
      </c>
      <c r="T89" s="8">
        <f>S89*0.06</f>
        <v>0.12878978639999999</v>
      </c>
      <c r="U89" s="8">
        <f>S89/$Z$1</f>
        <v>0.2940406082191781</v>
      </c>
      <c r="V89" s="12">
        <f t="shared" ref="V89:V99" si="135">O89</f>
        <v>1.238807515875354</v>
      </c>
    </row>
    <row r="90" spans="2:22" x14ac:dyDescent="0.3">
      <c r="B90">
        <v>2</v>
      </c>
      <c r="C90">
        <v>4627.6000000000004</v>
      </c>
      <c r="D90">
        <v>23867.3</v>
      </c>
      <c r="E90">
        <v>2253.1999999999998</v>
      </c>
      <c r="F90">
        <f t="shared" si="132"/>
        <v>2.38673</v>
      </c>
      <c r="G90">
        <f t="shared" si="133"/>
        <v>0.46276000000000006</v>
      </c>
      <c r="H90">
        <f t="shared" si="134"/>
        <v>1.92397</v>
      </c>
      <c r="I90">
        <f t="shared" ref="I90:I99" si="136">E90/10000</f>
        <v>0.22531999999999999</v>
      </c>
      <c r="K90" s="67"/>
      <c r="L90" s="3">
        <v>-98</v>
      </c>
      <c r="M90" s="5">
        <f>L90+98.2</f>
        <v>0.20000000000000284</v>
      </c>
      <c r="N90" s="5">
        <f t="shared" ref="N90:N99" si="137">20.56036*SQRT(1+((L90-(-98.58903))*1.03*1095.70644/(3.14159*20.56036^2))^2)</f>
        <v>22.992351577801337</v>
      </c>
      <c r="O90" s="5">
        <f t="shared" ref="O90:O99" si="138">2*$Z$1/$Z$2/PI()/(N90*10^-4)^2/$K$89/$Z$7</f>
        <v>1.0988697363115913</v>
      </c>
      <c r="P90" s="4">
        <v>3</v>
      </c>
      <c r="Q90" s="5">
        <f t="shared" ref="Q90:R99" si="139">H90</f>
        <v>1.92397</v>
      </c>
      <c r="R90" s="5">
        <f t="shared" si="139"/>
        <v>0.22531999999999999</v>
      </c>
      <c r="S90" s="5">
        <f t="shared" ref="S90:S99" si="140">Q90/10^6*$Z$4*$Z$3/P90*10^12</f>
        <v>2.1375306700000003</v>
      </c>
      <c r="T90" s="5">
        <f t="shared" ref="T90:T99" si="141">S90*0.06</f>
        <v>0.12825184020000002</v>
      </c>
      <c r="U90" s="5">
        <f t="shared" ref="U90:U99" si="142">S90/$Z$1</f>
        <v>0.29281242054794526</v>
      </c>
      <c r="V90" s="5">
        <f t="shared" si="135"/>
        <v>1.0988697363115913</v>
      </c>
    </row>
    <row r="91" spans="2:22" x14ac:dyDescent="0.3">
      <c r="B91">
        <v>3</v>
      </c>
      <c r="C91">
        <v>7662.2</v>
      </c>
      <c r="D91">
        <v>28349.9</v>
      </c>
      <c r="E91">
        <v>1721.1</v>
      </c>
      <c r="F91">
        <f t="shared" si="132"/>
        <v>2.8349900000000003</v>
      </c>
      <c r="G91">
        <f t="shared" si="133"/>
        <v>0.76622000000000001</v>
      </c>
      <c r="H91">
        <f t="shared" si="134"/>
        <v>2.0687700000000002</v>
      </c>
      <c r="I91">
        <f t="shared" si="136"/>
        <v>0.17210999999999999</v>
      </c>
      <c r="K91" s="67"/>
      <c r="L91" s="3">
        <v>-97.8</v>
      </c>
      <c r="M91" s="5">
        <f t="shared" ref="M91:M99" si="143">L91+98.2</f>
        <v>0.40000000000000568</v>
      </c>
      <c r="N91" s="5">
        <f t="shared" si="137"/>
        <v>24.754552179927092</v>
      </c>
      <c r="O91" s="5">
        <f t="shared" si="138"/>
        <v>0.94798801713418823</v>
      </c>
      <c r="P91" s="4">
        <v>3</v>
      </c>
      <c r="Q91" s="5">
        <f t="shared" si="139"/>
        <v>2.0687700000000002</v>
      </c>
      <c r="R91" s="5">
        <f t="shared" si="139"/>
        <v>0.17210999999999999</v>
      </c>
      <c r="S91" s="5">
        <f t="shared" si="140"/>
        <v>2.2984034700000002</v>
      </c>
      <c r="T91" s="5">
        <f t="shared" si="141"/>
        <v>0.13790420820000002</v>
      </c>
      <c r="U91" s="5">
        <f t="shared" si="142"/>
        <v>0.31484979041095895</v>
      </c>
      <c r="V91" s="5">
        <f t="shared" si="135"/>
        <v>0.94798801713418823</v>
      </c>
    </row>
    <row r="92" spans="2:22" x14ac:dyDescent="0.3">
      <c r="B92">
        <v>4</v>
      </c>
      <c r="C92">
        <v>9002.4</v>
      </c>
      <c r="D92">
        <v>30836.7</v>
      </c>
      <c r="E92">
        <v>1398.2</v>
      </c>
      <c r="F92">
        <f t="shared" si="132"/>
        <v>3.0836700000000001</v>
      </c>
      <c r="G92">
        <f t="shared" si="133"/>
        <v>0.90023999999999993</v>
      </c>
      <c r="H92">
        <f t="shared" si="134"/>
        <v>2.1834300000000004</v>
      </c>
      <c r="I92">
        <f t="shared" si="136"/>
        <v>0.13982</v>
      </c>
      <c r="K92" s="67"/>
      <c r="L92" s="3">
        <v>-97.2</v>
      </c>
      <c r="M92" s="5">
        <f t="shared" si="143"/>
        <v>1</v>
      </c>
      <c r="N92" s="5">
        <f t="shared" si="137"/>
        <v>31.807899949628325</v>
      </c>
      <c r="O92" s="5">
        <f t="shared" si="138"/>
        <v>0.57417331261814231</v>
      </c>
      <c r="P92" s="4">
        <v>3</v>
      </c>
      <c r="Q92" s="5">
        <f t="shared" si="139"/>
        <v>2.1834300000000004</v>
      </c>
      <c r="R92" s="5">
        <f t="shared" si="139"/>
        <v>0.13982</v>
      </c>
      <c r="S92" s="5">
        <f t="shared" si="140"/>
        <v>2.4257907300000006</v>
      </c>
      <c r="T92" s="5">
        <f t="shared" si="141"/>
        <v>0.14554744380000004</v>
      </c>
      <c r="U92" s="5">
        <f t="shared" si="142"/>
        <v>0.3323001000000001</v>
      </c>
      <c r="V92" s="5">
        <f t="shared" si="135"/>
        <v>0.57417331261814231</v>
      </c>
    </row>
    <row r="93" spans="2:22" x14ac:dyDescent="0.3">
      <c r="B93">
        <v>5</v>
      </c>
      <c r="C93">
        <v>8759.6</v>
      </c>
      <c r="D93">
        <v>35895.1</v>
      </c>
      <c r="E93">
        <v>1380.5</v>
      </c>
      <c r="F93">
        <f t="shared" si="132"/>
        <v>3.5895099999999998</v>
      </c>
      <c r="G93">
        <f t="shared" si="133"/>
        <v>0.87596000000000007</v>
      </c>
      <c r="H93">
        <f t="shared" si="134"/>
        <v>2.7135499999999997</v>
      </c>
      <c r="I93">
        <f t="shared" si="136"/>
        <v>0.13805000000000001</v>
      </c>
      <c r="K93" s="67"/>
      <c r="L93" s="3">
        <v>-96.8</v>
      </c>
      <c r="M93" s="5">
        <f t="shared" si="143"/>
        <v>1.4000000000000057</v>
      </c>
      <c r="N93" s="5">
        <f t="shared" si="137"/>
        <v>37.414240753916886</v>
      </c>
      <c r="O93" s="5">
        <f t="shared" si="138"/>
        <v>0.41499142510259568</v>
      </c>
      <c r="P93" s="4">
        <v>3</v>
      </c>
      <c r="Q93" s="5">
        <f t="shared" si="139"/>
        <v>2.7135499999999997</v>
      </c>
      <c r="R93" s="5">
        <f t="shared" si="139"/>
        <v>0.13805000000000001</v>
      </c>
      <c r="S93" s="5">
        <f t="shared" si="140"/>
        <v>3.0147540500000001</v>
      </c>
      <c r="T93" s="5">
        <f t="shared" si="141"/>
        <v>0.180885243</v>
      </c>
      <c r="U93" s="5">
        <f t="shared" si="142"/>
        <v>0.41298000684931507</v>
      </c>
      <c r="V93" s="5">
        <f t="shared" si="135"/>
        <v>0.41499142510259568</v>
      </c>
    </row>
    <row r="94" spans="2:22" x14ac:dyDescent="0.3">
      <c r="B94">
        <v>6</v>
      </c>
      <c r="C94">
        <v>8623.4</v>
      </c>
      <c r="D94">
        <v>52341.7</v>
      </c>
      <c r="E94">
        <v>780.9</v>
      </c>
      <c r="F94">
        <f t="shared" si="132"/>
        <v>5.2341699999999998</v>
      </c>
      <c r="G94">
        <f t="shared" si="133"/>
        <v>0.86234</v>
      </c>
      <c r="H94">
        <f t="shared" si="134"/>
        <v>4.3718300000000001</v>
      </c>
      <c r="I94">
        <f t="shared" si="136"/>
        <v>7.8089999999999993E-2</v>
      </c>
      <c r="K94" s="67"/>
      <c r="L94" s="3">
        <v>-96.3</v>
      </c>
      <c r="M94" s="5">
        <f t="shared" si="143"/>
        <v>1.9000000000000057</v>
      </c>
      <c r="N94" s="5">
        <f t="shared" si="137"/>
        <v>44.970060517830404</v>
      </c>
      <c r="O94" s="5">
        <f t="shared" si="138"/>
        <v>0.28725397826234789</v>
      </c>
      <c r="P94" s="4">
        <v>4</v>
      </c>
      <c r="Q94" s="5">
        <f t="shared" si="139"/>
        <v>4.3718300000000001</v>
      </c>
      <c r="R94" s="5">
        <f t="shared" si="139"/>
        <v>7.8089999999999993E-2</v>
      </c>
      <c r="S94" s="5">
        <f t="shared" si="140"/>
        <v>3.6428273474999995</v>
      </c>
      <c r="T94" s="5">
        <f t="shared" si="141"/>
        <v>0.21856964084999997</v>
      </c>
      <c r="U94" s="5">
        <f t="shared" si="142"/>
        <v>0.49901744486301364</v>
      </c>
      <c r="V94" s="5">
        <f t="shared" si="135"/>
        <v>0.28725397826234789</v>
      </c>
    </row>
    <row r="95" spans="2:22" x14ac:dyDescent="0.3">
      <c r="B95">
        <v>7</v>
      </c>
      <c r="C95">
        <v>11340.1</v>
      </c>
      <c r="D95">
        <v>48428.6</v>
      </c>
      <c r="E95">
        <v>712.5</v>
      </c>
      <c r="F95">
        <f t="shared" si="132"/>
        <v>4.8428599999999999</v>
      </c>
      <c r="G95">
        <f t="shared" si="133"/>
        <v>1.13401</v>
      </c>
      <c r="H95">
        <f t="shared" si="134"/>
        <v>3.70885</v>
      </c>
      <c r="I95">
        <f t="shared" si="136"/>
        <v>7.1249999999999994E-2</v>
      </c>
      <c r="K95" s="67"/>
      <c r="L95" s="3">
        <v>-95.8</v>
      </c>
      <c r="M95" s="5">
        <f t="shared" si="143"/>
        <v>2.4000000000000057</v>
      </c>
      <c r="N95" s="5">
        <f t="shared" si="137"/>
        <v>52.890724234957723</v>
      </c>
      <c r="O95" s="5">
        <f t="shared" si="138"/>
        <v>0.20766053490063582</v>
      </c>
      <c r="P95" s="4">
        <v>4</v>
      </c>
      <c r="Q95" s="5">
        <f t="shared" si="139"/>
        <v>3.70885</v>
      </c>
      <c r="R95" s="5">
        <f t="shared" si="139"/>
        <v>7.1249999999999994E-2</v>
      </c>
      <c r="S95" s="5">
        <f t="shared" si="140"/>
        <v>3.0903992625000001</v>
      </c>
      <c r="T95" s="5">
        <f t="shared" si="141"/>
        <v>0.18542395575000001</v>
      </c>
      <c r="U95" s="5">
        <f t="shared" si="142"/>
        <v>0.42334236472602743</v>
      </c>
      <c r="V95" s="5">
        <f t="shared" si="135"/>
        <v>0.20766053490063582</v>
      </c>
    </row>
    <row r="96" spans="2:22" x14ac:dyDescent="0.3">
      <c r="B96">
        <v>8</v>
      </c>
      <c r="C96">
        <v>9504.6</v>
      </c>
      <c r="D96">
        <v>54933</v>
      </c>
      <c r="E96">
        <v>745.9</v>
      </c>
      <c r="F96">
        <f t="shared" si="132"/>
        <v>5.4932999999999996</v>
      </c>
      <c r="G96">
        <f t="shared" si="133"/>
        <v>0.95046000000000008</v>
      </c>
      <c r="H96">
        <f t="shared" si="134"/>
        <v>4.54284</v>
      </c>
      <c r="I96">
        <f t="shared" si="136"/>
        <v>7.4590000000000004E-2</v>
      </c>
      <c r="K96" s="67"/>
      <c r="L96" s="3">
        <v>-95.5</v>
      </c>
      <c r="M96" s="5">
        <f t="shared" si="143"/>
        <v>2.7000000000000028</v>
      </c>
      <c r="N96" s="5">
        <f t="shared" si="137"/>
        <v>57.756125383651771</v>
      </c>
      <c r="O96" s="5">
        <f t="shared" si="138"/>
        <v>0.17414735995550742</v>
      </c>
      <c r="P96" s="4">
        <v>5</v>
      </c>
      <c r="Q96" s="5">
        <f t="shared" si="139"/>
        <v>4.54284</v>
      </c>
      <c r="R96" s="5">
        <f t="shared" si="139"/>
        <v>7.4590000000000004E-2</v>
      </c>
      <c r="S96" s="5">
        <f t="shared" si="140"/>
        <v>3.0282571439999999</v>
      </c>
      <c r="T96" s="5">
        <f t="shared" si="141"/>
        <v>0.18169542863999999</v>
      </c>
      <c r="U96" s="5">
        <f t="shared" si="142"/>
        <v>0.41482974575342463</v>
      </c>
      <c r="V96" s="5">
        <f t="shared" si="135"/>
        <v>0.17414735995550742</v>
      </c>
    </row>
    <row r="97" spans="2:22" x14ac:dyDescent="0.3">
      <c r="B97">
        <v>9</v>
      </c>
      <c r="C97">
        <v>7182.4</v>
      </c>
      <c r="D97">
        <v>70816.2</v>
      </c>
      <c r="E97">
        <v>1161.7</v>
      </c>
      <c r="F97">
        <f t="shared" si="132"/>
        <v>7.08162</v>
      </c>
      <c r="G97">
        <f t="shared" si="133"/>
        <v>0.71823999999999999</v>
      </c>
      <c r="H97">
        <f t="shared" si="134"/>
        <v>6.3633800000000003</v>
      </c>
      <c r="I97">
        <f t="shared" si="136"/>
        <v>0.11617000000000001</v>
      </c>
      <c r="K97" s="67"/>
      <c r="L97" s="5">
        <v>-95.1</v>
      </c>
      <c r="M97" s="5">
        <f t="shared" si="143"/>
        <v>3.1000000000000085</v>
      </c>
      <c r="N97" s="5">
        <f t="shared" si="137"/>
        <v>64.335352920706185</v>
      </c>
      <c r="O97" s="5">
        <f t="shared" si="138"/>
        <v>0.1403503890161685</v>
      </c>
      <c r="P97" s="4">
        <v>8</v>
      </c>
      <c r="Q97" s="5">
        <f t="shared" si="139"/>
        <v>6.3633800000000003</v>
      </c>
      <c r="R97" s="5">
        <f t="shared" si="139"/>
        <v>0.11617000000000001</v>
      </c>
      <c r="S97" s="5">
        <f t="shared" si="140"/>
        <v>2.6511431925000006</v>
      </c>
      <c r="T97" s="5">
        <f t="shared" si="141"/>
        <v>0.15906859155000003</v>
      </c>
      <c r="U97" s="5">
        <f t="shared" si="142"/>
        <v>0.36317030034246583</v>
      </c>
      <c r="V97" s="5">
        <f t="shared" si="135"/>
        <v>0.1403503890161685</v>
      </c>
    </row>
    <row r="98" spans="2:22" x14ac:dyDescent="0.3">
      <c r="B98">
        <v>10</v>
      </c>
      <c r="C98">
        <v>6314</v>
      </c>
      <c r="D98">
        <v>16937.599999999999</v>
      </c>
      <c r="E98">
        <v>14110.5</v>
      </c>
      <c r="F98">
        <f t="shared" si="132"/>
        <v>1.6937599999999999</v>
      </c>
      <c r="G98">
        <f t="shared" si="133"/>
        <v>0.63139999999999996</v>
      </c>
      <c r="H98">
        <f t="shared" si="134"/>
        <v>1.06236</v>
      </c>
      <c r="I98">
        <f t="shared" si="136"/>
        <v>1.4110499999999999</v>
      </c>
      <c r="K98" s="67"/>
      <c r="L98" s="5">
        <v>-94.399999999999991</v>
      </c>
      <c r="M98" s="5">
        <f t="shared" si="143"/>
        <v>3.8000000000000114</v>
      </c>
      <c r="N98" s="5">
        <f t="shared" si="137"/>
        <v>76.025152245972833</v>
      </c>
      <c r="O98" s="5">
        <f t="shared" si="138"/>
        <v>0.10050748344547558</v>
      </c>
      <c r="P98" s="4">
        <v>14</v>
      </c>
      <c r="Q98" s="5">
        <f t="shared" si="139"/>
        <v>1.06236</v>
      </c>
      <c r="R98" s="5">
        <f t="shared" si="139"/>
        <v>1.4110499999999999</v>
      </c>
      <c r="S98" s="5">
        <f t="shared" si="140"/>
        <v>0.25291756285714284</v>
      </c>
      <c r="T98" s="5">
        <f t="shared" si="141"/>
        <v>1.5175053771428569E-2</v>
      </c>
      <c r="U98" s="5">
        <f t="shared" si="142"/>
        <v>3.4646241487279843E-2</v>
      </c>
      <c r="V98" s="5">
        <f t="shared" si="135"/>
        <v>0.10050748344547558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32"/>
        <v>0</v>
      </c>
      <c r="G99">
        <f t="shared" si="133"/>
        <v>0</v>
      </c>
      <c r="H99">
        <f t="shared" si="134"/>
        <v>0</v>
      </c>
      <c r="I99">
        <f t="shared" si="136"/>
        <v>0</v>
      </c>
      <c r="K99" s="68"/>
      <c r="L99" s="6">
        <v>-93.3</v>
      </c>
      <c r="M99" s="6">
        <f t="shared" si="143"/>
        <v>4.9000000000000057</v>
      </c>
      <c r="N99" s="6">
        <f t="shared" si="137"/>
        <v>94.671337139281746</v>
      </c>
      <c r="O99" s="6">
        <f t="shared" si="138"/>
        <v>6.4815066927253778E-2</v>
      </c>
      <c r="P99" s="7">
        <v>21</v>
      </c>
      <c r="Q99" s="6">
        <f t="shared" si="139"/>
        <v>0</v>
      </c>
      <c r="R99" s="6">
        <f t="shared" si="139"/>
        <v>0</v>
      </c>
      <c r="S99" s="6">
        <f t="shared" si="140"/>
        <v>0</v>
      </c>
      <c r="T99" s="6">
        <f t="shared" si="141"/>
        <v>0</v>
      </c>
      <c r="U99" s="6">
        <f t="shared" si="142"/>
        <v>0</v>
      </c>
      <c r="V99" s="6">
        <f t="shared" si="135"/>
        <v>6.4815066927253778E-2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35.1</v>
      </c>
      <c r="D103">
        <v>19400.8</v>
      </c>
      <c r="E103">
        <v>2173.5</v>
      </c>
      <c r="F103">
        <f t="shared" ref="F103:F113" si="144">D103/10000</f>
        <v>1.94008</v>
      </c>
      <c r="G103">
        <f t="shared" ref="G103:G113" si="145">C103/10000</f>
        <v>3.5100000000000001E-3</v>
      </c>
      <c r="H103">
        <f t="shared" ref="H103:H113" si="146">F103-G103</f>
        <v>1.9365700000000001</v>
      </c>
      <c r="I103">
        <f>E103/10000</f>
        <v>0.21734999999999999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55">
        <f>2*$Z$1/$Z$2/PI()/(N103*10^-4)^2/$K$103/$Z$7</f>
        <v>1.101162236333648</v>
      </c>
      <c r="P103" s="2">
        <v>3</v>
      </c>
      <c r="Q103" s="8">
        <f>H103</f>
        <v>1.9365700000000001</v>
      </c>
      <c r="R103" s="8">
        <f>I103</f>
        <v>0.21734999999999999</v>
      </c>
      <c r="S103" s="8">
        <f>Q103/10^6*$Z$4*$Z$3/P103*10^12</f>
        <v>2.1515292700000002</v>
      </c>
      <c r="T103" s="8">
        <f>S103*0.06</f>
        <v>0.12909175620000002</v>
      </c>
      <c r="U103" s="8">
        <f>S103/$Z$1</f>
        <v>0.2947300369863014</v>
      </c>
      <c r="V103" s="12">
        <f t="shared" ref="V103:V113" si="147">O103</f>
        <v>1.101162236333648</v>
      </c>
    </row>
    <row r="104" spans="2:22" x14ac:dyDescent="0.3">
      <c r="B104">
        <v>2</v>
      </c>
      <c r="C104">
        <v>3713.3</v>
      </c>
      <c r="D104">
        <v>24420.799999999999</v>
      </c>
      <c r="E104">
        <v>1792.7</v>
      </c>
      <c r="F104">
        <f t="shared" si="144"/>
        <v>2.4420799999999998</v>
      </c>
      <c r="G104">
        <f t="shared" si="145"/>
        <v>0.37132999999999999</v>
      </c>
      <c r="H104">
        <f t="shared" si="146"/>
        <v>2.0707499999999999</v>
      </c>
      <c r="I104">
        <f t="shared" ref="I104:I113" si="148">E104/10000</f>
        <v>0.17927000000000001</v>
      </c>
      <c r="K104" s="67"/>
      <c r="L104" s="3">
        <v>-98</v>
      </c>
      <c r="M104" s="5">
        <f>L104+98.2</f>
        <v>0.20000000000000284</v>
      </c>
      <c r="N104" s="5">
        <f t="shared" ref="N104:N113" si="149">20.56036*SQRT(1+((L104-(-98.58903))*1.03*1095.70644/(3.14159*20.56036^2))^2)</f>
        <v>22.992351577801337</v>
      </c>
      <c r="O104" s="56">
        <f t="shared" ref="O104:O113" si="150">2*$Z$1/$Z$2/PI()/(N104*10^-4)^2/$K$103/$Z$7</f>
        <v>0.97677309894363673</v>
      </c>
      <c r="P104" s="4">
        <v>3</v>
      </c>
      <c r="Q104" s="5">
        <f t="shared" ref="Q104:R113" si="151">H104</f>
        <v>2.0707499999999999</v>
      </c>
      <c r="R104" s="5">
        <f t="shared" si="151"/>
        <v>0.17927000000000001</v>
      </c>
      <c r="S104" s="5">
        <f t="shared" ref="S104:S113" si="152">Q104/10^6*$Z$4*$Z$3/P104*10^12</f>
        <v>2.3006032500000004</v>
      </c>
      <c r="T104" s="5">
        <f t="shared" ref="T104:T113" si="153">S104*0.06</f>
        <v>0.13803619500000003</v>
      </c>
      <c r="U104" s="5">
        <f t="shared" ref="U104:U113" si="154">S104/$Z$1</f>
        <v>0.31515113013698637</v>
      </c>
      <c r="V104" s="5">
        <f t="shared" si="147"/>
        <v>0.97677309894363673</v>
      </c>
    </row>
    <row r="105" spans="2:22" x14ac:dyDescent="0.3">
      <c r="B105">
        <v>3</v>
      </c>
      <c r="C105">
        <v>8500.7999999999993</v>
      </c>
      <c r="D105">
        <v>28794.6</v>
      </c>
      <c r="E105">
        <v>1772</v>
      </c>
      <c r="F105">
        <f t="shared" si="144"/>
        <v>2.8794599999999999</v>
      </c>
      <c r="G105">
        <f t="shared" si="145"/>
        <v>0.85007999999999995</v>
      </c>
      <c r="H105">
        <f t="shared" si="146"/>
        <v>2.0293799999999997</v>
      </c>
      <c r="I105">
        <f t="shared" si="148"/>
        <v>0.1772</v>
      </c>
      <c r="K105" s="67"/>
      <c r="L105" s="3">
        <v>-97.8</v>
      </c>
      <c r="M105" s="5">
        <f t="shared" ref="M105:M113" si="155">L105+98.2</f>
        <v>0.40000000000000568</v>
      </c>
      <c r="N105" s="5">
        <f t="shared" si="149"/>
        <v>24.754552179927092</v>
      </c>
      <c r="O105" s="56">
        <f t="shared" si="150"/>
        <v>0.84265601523038958</v>
      </c>
      <c r="P105" s="4">
        <v>3</v>
      </c>
      <c r="Q105" s="5">
        <f t="shared" si="151"/>
        <v>2.0293799999999997</v>
      </c>
      <c r="R105" s="5">
        <f t="shared" si="151"/>
        <v>0.1772</v>
      </c>
      <c r="S105" s="5">
        <f t="shared" si="152"/>
        <v>2.2546411800000001</v>
      </c>
      <c r="T105" s="5">
        <f t="shared" si="153"/>
        <v>0.13527847079999999</v>
      </c>
      <c r="U105" s="5">
        <f t="shared" si="154"/>
        <v>0.30885495616438358</v>
      </c>
      <c r="V105" s="5">
        <f t="shared" si="147"/>
        <v>0.84265601523038958</v>
      </c>
    </row>
    <row r="106" spans="2:22" x14ac:dyDescent="0.3">
      <c r="B106">
        <v>4</v>
      </c>
      <c r="C106">
        <v>10616.6</v>
      </c>
      <c r="D106">
        <v>31320.2</v>
      </c>
      <c r="E106">
        <v>1403.9</v>
      </c>
      <c r="F106">
        <f t="shared" si="144"/>
        <v>3.1320200000000002</v>
      </c>
      <c r="G106">
        <f t="shared" si="145"/>
        <v>1.06166</v>
      </c>
      <c r="H106">
        <f t="shared" si="146"/>
        <v>2.07036</v>
      </c>
      <c r="I106">
        <f t="shared" si="148"/>
        <v>0.14039000000000001</v>
      </c>
      <c r="K106" s="67"/>
      <c r="L106" s="3">
        <v>-97.2</v>
      </c>
      <c r="M106" s="5">
        <f t="shared" si="155"/>
        <v>1</v>
      </c>
      <c r="N106" s="5">
        <f t="shared" si="149"/>
        <v>31.807899949628325</v>
      </c>
      <c r="O106" s="56">
        <f t="shared" si="150"/>
        <v>0.51037627788279316</v>
      </c>
      <c r="P106" s="4">
        <v>3</v>
      </c>
      <c r="Q106" s="5">
        <f t="shared" si="151"/>
        <v>2.07036</v>
      </c>
      <c r="R106" s="5">
        <f t="shared" si="151"/>
        <v>0.14039000000000001</v>
      </c>
      <c r="S106" s="5">
        <f t="shared" si="152"/>
        <v>2.3001699599999998</v>
      </c>
      <c r="T106" s="5">
        <f t="shared" si="153"/>
        <v>0.1380101976</v>
      </c>
      <c r="U106" s="5">
        <f t="shared" si="154"/>
        <v>0.31509177534246574</v>
      </c>
      <c r="V106" s="5">
        <f t="shared" si="147"/>
        <v>0.51037627788279316</v>
      </c>
    </row>
    <row r="107" spans="2:22" x14ac:dyDescent="0.3">
      <c r="B107">
        <v>5</v>
      </c>
      <c r="C107">
        <v>10655.9</v>
      </c>
      <c r="D107">
        <v>38211</v>
      </c>
      <c r="E107">
        <v>1113.9000000000001</v>
      </c>
      <c r="F107">
        <f t="shared" si="144"/>
        <v>3.8210999999999999</v>
      </c>
      <c r="G107">
        <f t="shared" si="145"/>
        <v>1.06559</v>
      </c>
      <c r="H107">
        <f t="shared" si="146"/>
        <v>2.7555100000000001</v>
      </c>
      <c r="I107">
        <f t="shared" si="148"/>
        <v>0.11139</v>
      </c>
      <c r="K107" s="67"/>
      <c r="L107" s="3">
        <v>-96.8</v>
      </c>
      <c r="M107" s="5">
        <f t="shared" si="155"/>
        <v>1.4000000000000057</v>
      </c>
      <c r="N107" s="5">
        <f t="shared" si="149"/>
        <v>37.414240753916886</v>
      </c>
      <c r="O107" s="56">
        <f t="shared" si="150"/>
        <v>0.36888126675786281</v>
      </c>
      <c r="P107" s="4">
        <v>3</v>
      </c>
      <c r="Q107" s="5">
        <f t="shared" si="151"/>
        <v>2.7555100000000001</v>
      </c>
      <c r="R107" s="5">
        <f t="shared" si="151"/>
        <v>0.11139</v>
      </c>
      <c r="S107" s="5">
        <f t="shared" si="152"/>
        <v>3.0613716100000001</v>
      </c>
      <c r="T107" s="5">
        <f t="shared" si="153"/>
        <v>0.18368229659999999</v>
      </c>
      <c r="U107" s="5">
        <f t="shared" si="154"/>
        <v>0.41936597397260278</v>
      </c>
      <c r="V107" s="5">
        <f t="shared" si="147"/>
        <v>0.36888126675786281</v>
      </c>
    </row>
    <row r="108" spans="2:22" x14ac:dyDescent="0.3">
      <c r="B108">
        <v>6</v>
      </c>
      <c r="C108">
        <v>13510.3</v>
      </c>
      <c r="D108">
        <v>49183.7</v>
      </c>
      <c r="E108">
        <v>910</v>
      </c>
      <c r="F108">
        <f t="shared" si="144"/>
        <v>4.9183699999999995</v>
      </c>
      <c r="G108">
        <f t="shared" si="145"/>
        <v>1.35103</v>
      </c>
      <c r="H108">
        <f t="shared" si="146"/>
        <v>3.5673399999999997</v>
      </c>
      <c r="I108">
        <f t="shared" si="148"/>
        <v>9.0999999999999998E-2</v>
      </c>
      <c r="K108" s="67"/>
      <c r="L108" s="3">
        <v>-96.3</v>
      </c>
      <c r="M108" s="5">
        <f t="shared" si="155"/>
        <v>1.9000000000000057</v>
      </c>
      <c r="N108" s="5">
        <f t="shared" si="149"/>
        <v>44.970060517830404</v>
      </c>
      <c r="O108" s="56">
        <f t="shared" si="150"/>
        <v>0.25533686956653145</v>
      </c>
      <c r="P108" s="4">
        <v>4</v>
      </c>
      <c r="Q108" s="5">
        <f t="shared" si="151"/>
        <v>3.5673399999999997</v>
      </c>
      <c r="R108" s="5">
        <f t="shared" si="151"/>
        <v>9.0999999999999998E-2</v>
      </c>
      <c r="S108" s="5">
        <f t="shared" si="152"/>
        <v>2.9724860549999996</v>
      </c>
      <c r="T108" s="5">
        <f t="shared" si="153"/>
        <v>0.17834916329999997</v>
      </c>
      <c r="U108" s="5">
        <f t="shared" si="154"/>
        <v>0.40718987054794514</v>
      </c>
      <c r="V108" s="5">
        <f t="shared" si="147"/>
        <v>0.25533686956653145</v>
      </c>
    </row>
    <row r="109" spans="2:22" x14ac:dyDescent="0.3">
      <c r="B109">
        <v>7</v>
      </c>
      <c r="C109">
        <v>8508.2000000000007</v>
      </c>
      <c r="D109">
        <v>47828.9</v>
      </c>
      <c r="E109">
        <v>692.8</v>
      </c>
      <c r="F109">
        <f t="shared" si="144"/>
        <v>4.7828900000000001</v>
      </c>
      <c r="G109">
        <f t="shared" si="145"/>
        <v>0.85082000000000002</v>
      </c>
      <c r="H109">
        <f t="shared" si="146"/>
        <v>3.93207</v>
      </c>
      <c r="I109">
        <f t="shared" si="148"/>
        <v>6.9279999999999994E-2</v>
      </c>
      <c r="K109" s="67"/>
      <c r="L109" s="3">
        <v>-95.8</v>
      </c>
      <c r="M109" s="5">
        <f t="shared" si="155"/>
        <v>2.4000000000000057</v>
      </c>
      <c r="N109" s="5">
        <f t="shared" si="149"/>
        <v>52.890724234957723</v>
      </c>
      <c r="O109" s="56">
        <f t="shared" si="150"/>
        <v>0.18458714213389851</v>
      </c>
      <c r="P109" s="4">
        <v>4</v>
      </c>
      <c r="Q109" s="5">
        <f t="shared" si="151"/>
        <v>3.93207</v>
      </c>
      <c r="R109" s="5">
        <f t="shared" si="151"/>
        <v>6.9279999999999994E-2</v>
      </c>
      <c r="S109" s="5">
        <f t="shared" si="152"/>
        <v>3.2763973274999998</v>
      </c>
      <c r="T109" s="5">
        <f t="shared" si="153"/>
        <v>0.19658383964999998</v>
      </c>
      <c r="U109" s="5">
        <f t="shared" si="154"/>
        <v>0.44882155171232874</v>
      </c>
      <c r="V109" s="5">
        <f t="shared" si="147"/>
        <v>0.18458714213389851</v>
      </c>
    </row>
    <row r="110" spans="2:22" x14ac:dyDescent="0.3">
      <c r="B110">
        <v>8</v>
      </c>
      <c r="C110">
        <v>7480.3</v>
      </c>
      <c r="D110">
        <v>52529.599999999999</v>
      </c>
      <c r="E110">
        <v>929.9</v>
      </c>
      <c r="F110">
        <f t="shared" si="144"/>
        <v>5.2529599999999999</v>
      </c>
      <c r="G110">
        <f t="shared" si="145"/>
        <v>0.74802999999999997</v>
      </c>
      <c r="H110">
        <f t="shared" si="146"/>
        <v>4.5049299999999999</v>
      </c>
      <c r="I110">
        <f t="shared" si="148"/>
        <v>9.2990000000000003E-2</v>
      </c>
      <c r="K110" s="67"/>
      <c r="L110" s="3">
        <v>-95.5</v>
      </c>
      <c r="M110" s="5">
        <f t="shared" si="155"/>
        <v>2.7000000000000028</v>
      </c>
      <c r="N110" s="5">
        <f t="shared" si="149"/>
        <v>57.756125383651771</v>
      </c>
      <c r="O110" s="56">
        <f t="shared" si="150"/>
        <v>0.15479765329378437</v>
      </c>
      <c r="P110" s="4">
        <v>5</v>
      </c>
      <c r="Q110" s="5">
        <f t="shared" si="151"/>
        <v>4.5049299999999999</v>
      </c>
      <c r="R110" s="5">
        <f t="shared" si="151"/>
        <v>9.2990000000000003E-2</v>
      </c>
      <c r="S110" s="5">
        <f t="shared" si="152"/>
        <v>3.0029863380000008</v>
      </c>
      <c r="T110" s="5">
        <f t="shared" si="153"/>
        <v>0.18017918028000005</v>
      </c>
      <c r="U110" s="5">
        <f t="shared" si="154"/>
        <v>0.41136799150684944</v>
      </c>
      <c r="V110" s="5">
        <f t="shared" si="147"/>
        <v>0.15479765329378437</v>
      </c>
    </row>
    <row r="111" spans="2:22" x14ac:dyDescent="0.3">
      <c r="B111">
        <v>9</v>
      </c>
      <c r="C111">
        <v>7299.6</v>
      </c>
      <c r="D111">
        <v>66153.399999999994</v>
      </c>
      <c r="E111">
        <v>1281.4000000000001</v>
      </c>
      <c r="F111">
        <f t="shared" si="144"/>
        <v>6.6153399999999998</v>
      </c>
      <c r="G111">
        <f t="shared" si="145"/>
        <v>0.72996000000000005</v>
      </c>
      <c r="H111">
        <f t="shared" si="146"/>
        <v>5.8853799999999996</v>
      </c>
      <c r="I111">
        <f t="shared" si="148"/>
        <v>0.12814</v>
      </c>
      <c r="K111" s="67"/>
      <c r="L111" s="5">
        <v>-95.1</v>
      </c>
      <c r="M111" s="5">
        <f t="shared" si="155"/>
        <v>3.1000000000000085</v>
      </c>
      <c r="N111" s="5">
        <f t="shared" si="149"/>
        <v>64.335352920706185</v>
      </c>
      <c r="O111" s="56">
        <f t="shared" si="150"/>
        <v>0.12475590134770534</v>
      </c>
      <c r="P111" s="4">
        <v>8</v>
      </c>
      <c r="Q111" s="5">
        <f t="shared" si="151"/>
        <v>5.8853799999999996</v>
      </c>
      <c r="R111" s="5">
        <f t="shared" si="151"/>
        <v>0.12814</v>
      </c>
      <c r="S111" s="5">
        <f t="shared" si="152"/>
        <v>2.4519964425</v>
      </c>
      <c r="T111" s="5">
        <f t="shared" si="153"/>
        <v>0.14711978654999999</v>
      </c>
      <c r="U111" s="5">
        <f t="shared" si="154"/>
        <v>0.33588992363013698</v>
      </c>
      <c r="V111" s="5">
        <f t="shared" si="147"/>
        <v>0.12475590134770534</v>
      </c>
    </row>
    <row r="112" spans="2:22" x14ac:dyDescent="0.3">
      <c r="B112">
        <v>10</v>
      </c>
      <c r="C112">
        <v>2675.7</v>
      </c>
      <c r="D112">
        <v>10486.9</v>
      </c>
      <c r="E112">
        <v>5974.3</v>
      </c>
      <c r="F112">
        <f t="shared" si="144"/>
        <v>1.0486899999999999</v>
      </c>
      <c r="G112">
        <f t="shared" si="145"/>
        <v>0.26756999999999997</v>
      </c>
      <c r="H112">
        <f t="shared" si="146"/>
        <v>0.78111999999999993</v>
      </c>
      <c r="I112">
        <f t="shared" si="148"/>
        <v>0.59743000000000002</v>
      </c>
      <c r="K112" s="67"/>
      <c r="L112" s="5">
        <v>-94.399999999999991</v>
      </c>
      <c r="M112" s="5">
        <f t="shared" si="155"/>
        <v>3.8000000000000114</v>
      </c>
      <c r="N112" s="5">
        <f t="shared" si="149"/>
        <v>76.025152245972833</v>
      </c>
      <c r="O112" s="56">
        <f t="shared" si="150"/>
        <v>8.9339985284867182E-2</v>
      </c>
      <c r="P112" s="4">
        <v>14</v>
      </c>
      <c r="Q112" s="5">
        <f t="shared" si="151"/>
        <v>0.78111999999999993</v>
      </c>
      <c r="R112" s="5">
        <f t="shared" si="151"/>
        <v>0.59743000000000002</v>
      </c>
      <c r="S112" s="5">
        <f t="shared" si="152"/>
        <v>0.18596235428571428</v>
      </c>
      <c r="T112" s="5">
        <f t="shared" si="153"/>
        <v>1.1157741257142856E-2</v>
      </c>
      <c r="U112" s="5">
        <f t="shared" si="154"/>
        <v>2.5474295107632095E-2</v>
      </c>
      <c r="V112" s="5">
        <f t="shared" si="147"/>
        <v>8.9339985284867182E-2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44"/>
        <v>0</v>
      </c>
      <c r="G113">
        <f t="shared" si="145"/>
        <v>0</v>
      </c>
      <c r="H113">
        <f t="shared" si="146"/>
        <v>0</v>
      </c>
      <c r="I113">
        <f t="shared" si="148"/>
        <v>0</v>
      </c>
      <c r="K113" s="68"/>
      <c r="L113" s="6">
        <v>-93.3</v>
      </c>
      <c r="M113" s="6">
        <f t="shared" si="155"/>
        <v>4.9000000000000057</v>
      </c>
      <c r="N113" s="6">
        <f t="shared" si="149"/>
        <v>94.671337139281746</v>
      </c>
      <c r="O113" s="57">
        <f t="shared" si="150"/>
        <v>5.7613392824225583E-2</v>
      </c>
      <c r="P113" s="7">
        <v>21</v>
      </c>
      <c r="Q113" s="6">
        <f t="shared" si="151"/>
        <v>0</v>
      </c>
      <c r="R113" s="6">
        <f t="shared" si="151"/>
        <v>0</v>
      </c>
      <c r="S113" s="6">
        <f t="shared" si="152"/>
        <v>0</v>
      </c>
      <c r="T113" s="6">
        <f t="shared" si="153"/>
        <v>0</v>
      </c>
      <c r="U113" s="6">
        <f t="shared" si="154"/>
        <v>0</v>
      </c>
      <c r="V113" s="6">
        <f t="shared" si="147"/>
        <v>5.7613392824225583E-2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7061.5</v>
      </c>
      <c r="D117">
        <v>13390.3</v>
      </c>
      <c r="E117">
        <v>2250.1</v>
      </c>
      <c r="F117">
        <f t="shared" ref="F117:F127" si="156">D117/10000</f>
        <v>1.3390299999999999</v>
      </c>
      <c r="G117">
        <f t="shared" ref="G117:G127" si="157">C117/10000</f>
        <v>0.70615000000000006</v>
      </c>
      <c r="H117">
        <f t="shared" ref="H117:H127" si="158">F117-G117</f>
        <v>0.63287999999999989</v>
      </c>
      <c r="I117">
        <f>E117/10000</f>
        <v>0.22500999999999999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0.99104601270028314</v>
      </c>
      <c r="P117" s="2">
        <v>3</v>
      </c>
      <c r="Q117" s="8">
        <f>H117</f>
        <v>0.63287999999999989</v>
      </c>
      <c r="R117" s="8">
        <f>I117</f>
        <v>0.22500999999999999</v>
      </c>
      <c r="S117" s="8">
        <f>Q117/10^6*$Z$4*$Z$3/P117*10^12</f>
        <v>0.70312967999999976</v>
      </c>
      <c r="T117" s="8">
        <f>S117*0.06</f>
        <v>4.2187780799999984E-2</v>
      </c>
      <c r="U117" s="8">
        <f>S117/$Z$1</f>
        <v>9.6319134246575316E-2</v>
      </c>
      <c r="V117" s="12">
        <f t="shared" ref="V117:V127" si="159">O117</f>
        <v>0.99104601270028314</v>
      </c>
    </row>
    <row r="118" spans="2:22" x14ac:dyDescent="0.3">
      <c r="B118">
        <v>2</v>
      </c>
      <c r="C118">
        <v>1882.3</v>
      </c>
      <c r="D118">
        <v>17429.900000000001</v>
      </c>
      <c r="E118">
        <v>1859.6</v>
      </c>
      <c r="F118">
        <f t="shared" si="156"/>
        <v>1.74299</v>
      </c>
      <c r="G118">
        <f t="shared" si="157"/>
        <v>0.18823000000000001</v>
      </c>
      <c r="H118">
        <f t="shared" si="158"/>
        <v>1.5547599999999999</v>
      </c>
      <c r="I118">
        <f t="shared" ref="I118:I127" si="160">E118/10000</f>
        <v>0.18595999999999999</v>
      </c>
      <c r="K118" s="67"/>
      <c r="L118" s="3">
        <v>-98</v>
      </c>
      <c r="M118" s="5">
        <f>L118+98.2</f>
        <v>0.20000000000000284</v>
      </c>
      <c r="N118" s="5">
        <f t="shared" ref="N118:N127" si="161">20.56036*SQRT(1+((L118-(-98.58903))*1.03*1095.70644/(3.14159*20.56036^2))^2)</f>
        <v>22.992351577801337</v>
      </c>
      <c r="O118" s="5">
        <f t="shared" ref="O118:O127" si="162">2*$Z$1/$Z$2/PI()/(N118*10^-4)^2/$K$117/$Z$7</f>
        <v>0.8790957890492731</v>
      </c>
      <c r="P118" s="4">
        <v>3</v>
      </c>
      <c r="Q118" s="5">
        <f t="shared" ref="Q118:R127" si="163">H118</f>
        <v>1.5547599999999999</v>
      </c>
      <c r="R118" s="5">
        <f t="shared" si="163"/>
        <v>0.18595999999999999</v>
      </c>
      <c r="S118" s="5">
        <f t="shared" ref="S118:S127" si="164">Q118/10^6*$Z$4*$Z$3/P118*10^12</f>
        <v>1.7273383599999999</v>
      </c>
      <c r="T118" s="5">
        <f t="shared" ref="T118:T127" si="165">S118*0.06</f>
        <v>0.10364030159999998</v>
      </c>
      <c r="U118" s="5">
        <f t="shared" ref="U118:U127" si="166">S118/$Z$1</f>
        <v>0.2366216931506849</v>
      </c>
      <c r="V118" s="5">
        <f t="shared" si="159"/>
        <v>0.8790957890492731</v>
      </c>
    </row>
    <row r="119" spans="2:22" x14ac:dyDescent="0.3">
      <c r="B119">
        <v>3</v>
      </c>
      <c r="C119">
        <v>1135.0999999999999</v>
      </c>
      <c r="D119">
        <v>21447.1</v>
      </c>
      <c r="E119">
        <v>1964.9</v>
      </c>
      <c r="F119">
        <f t="shared" si="156"/>
        <v>2.1447099999999999</v>
      </c>
      <c r="G119">
        <f t="shared" si="157"/>
        <v>0.11350999999999999</v>
      </c>
      <c r="H119">
        <f t="shared" si="158"/>
        <v>2.0312000000000001</v>
      </c>
      <c r="I119">
        <f t="shared" si="160"/>
        <v>0.19649</v>
      </c>
      <c r="K119" s="67"/>
      <c r="L119" s="3">
        <v>-97.8</v>
      </c>
      <c r="M119" s="5">
        <f t="shared" ref="M119:M127" si="167">L119+98.2</f>
        <v>0.40000000000000568</v>
      </c>
      <c r="N119" s="5">
        <f t="shared" si="161"/>
        <v>24.754552179927092</v>
      </c>
      <c r="O119" s="5">
        <f t="shared" si="162"/>
        <v>0.75839041370735061</v>
      </c>
      <c r="P119" s="4">
        <v>3</v>
      </c>
      <c r="Q119" s="5">
        <f t="shared" si="163"/>
        <v>2.0312000000000001</v>
      </c>
      <c r="R119" s="5">
        <f t="shared" si="163"/>
        <v>0.19649</v>
      </c>
      <c r="S119" s="5">
        <f t="shared" si="164"/>
        <v>2.2566632000000006</v>
      </c>
      <c r="T119" s="5">
        <f t="shared" si="165"/>
        <v>0.13539979200000005</v>
      </c>
      <c r="U119" s="5">
        <f t="shared" si="166"/>
        <v>0.30913194520547954</v>
      </c>
      <c r="V119" s="5">
        <f t="shared" si="159"/>
        <v>0.75839041370735061</v>
      </c>
    </row>
    <row r="120" spans="2:22" x14ac:dyDescent="0.3">
      <c r="B120">
        <v>4</v>
      </c>
      <c r="C120">
        <v>3697.9</v>
      </c>
      <c r="D120">
        <v>25937.3</v>
      </c>
      <c r="E120">
        <v>1859.1</v>
      </c>
      <c r="F120">
        <f t="shared" si="156"/>
        <v>2.5937299999999999</v>
      </c>
      <c r="G120">
        <f t="shared" si="157"/>
        <v>0.36979000000000001</v>
      </c>
      <c r="H120">
        <f t="shared" si="158"/>
        <v>2.2239399999999998</v>
      </c>
      <c r="I120">
        <f t="shared" si="160"/>
        <v>0.18590999999999999</v>
      </c>
      <c r="K120" s="67"/>
      <c r="L120" s="3">
        <v>-97.2</v>
      </c>
      <c r="M120" s="5">
        <f t="shared" si="167"/>
        <v>1</v>
      </c>
      <c r="N120" s="5">
        <f t="shared" si="161"/>
        <v>31.807899949628325</v>
      </c>
      <c r="O120" s="5">
        <f t="shared" si="162"/>
        <v>0.45933865009451386</v>
      </c>
      <c r="P120" s="4">
        <v>3</v>
      </c>
      <c r="Q120" s="5">
        <f t="shared" si="163"/>
        <v>2.2239399999999998</v>
      </c>
      <c r="R120" s="5">
        <f t="shared" si="163"/>
        <v>0.18590999999999999</v>
      </c>
      <c r="S120" s="5">
        <f t="shared" si="164"/>
        <v>2.4707973400000003</v>
      </c>
      <c r="T120" s="5">
        <f t="shared" si="165"/>
        <v>0.14824784040000002</v>
      </c>
      <c r="U120" s="5">
        <f t="shared" si="166"/>
        <v>0.33846538904109597</v>
      </c>
      <c r="V120" s="5">
        <f t="shared" si="159"/>
        <v>0.45933865009451386</v>
      </c>
    </row>
    <row r="121" spans="2:22" x14ac:dyDescent="0.3">
      <c r="B121">
        <v>5</v>
      </c>
      <c r="C121">
        <v>5082.2</v>
      </c>
      <c r="D121">
        <v>31250</v>
      </c>
      <c r="E121">
        <v>1165.5999999999999</v>
      </c>
      <c r="F121">
        <f t="shared" si="156"/>
        <v>3.125</v>
      </c>
      <c r="G121">
        <f t="shared" si="157"/>
        <v>0.50822000000000001</v>
      </c>
      <c r="H121">
        <f t="shared" si="158"/>
        <v>2.6167799999999999</v>
      </c>
      <c r="I121">
        <f t="shared" si="160"/>
        <v>0.11656</v>
      </c>
      <c r="K121" s="67"/>
      <c r="L121" s="3">
        <v>-96.8</v>
      </c>
      <c r="M121" s="5">
        <f t="shared" si="167"/>
        <v>1.4000000000000057</v>
      </c>
      <c r="N121" s="5">
        <f t="shared" si="161"/>
        <v>37.414240753916886</v>
      </c>
      <c r="O121" s="5">
        <f t="shared" si="162"/>
        <v>0.33199314008207653</v>
      </c>
      <c r="P121" s="4">
        <v>3</v>
      </c>
      <c r="Q121" s="5">
        <f t="shared" si="163"/>
        <v>2.6167799999999999</v>
      </c>
      <c r="R121" s="5">
        <f t="shared" si="163"/>
        <v>0.11656</v>
      </c>
      <c r="S121" s="5">
        <f t="shared" si="164"/>
        <v>2.9072425800000001</v>
      </c>
      <c r="T121" s="5">
        <f t="shared" si="165"/>
        <v>0.1744345548</v>
      </c>
      <c r="U121" s="5">
        <f t="shared" si="166"/>
        <v>0.39825240821917812</v>
      </c>
      <c r="V121" s="5">
        <f t="shared" si="159"/>
        <v>0.33199314008207653</v>
      </c>
    </row>
    <row r="122" spans="2:22" x14ac:dyDescent="0.3">
      <c r="B122">
        <v>6</v>
      </c>
      <c r="C122">
        <v>6474.6</v>
      </c>
      <c r="D122">
        <v>46856.9</v>
      </c>
      <c r="E122">
        <v>738.7</v>
      </c>
      <c r="F122">
        <f t="shared" si="156"/>
        <v>4.6856900000000001</v>
      </c>
      <c r="G122">
        <f t="shared" si="157"/>
        <v>0.64746000000000004</v>
      </c>
      <c r="H122">
        <f t="shared" si="158"/>
        <v>4.0382300000000004</v>
      </c>
      <c r="I122">
        <f t="shared" si="160"/>
        <v>7.3870000000000005E-2</v>
      </c>
      <c r="K122" s="67"/>
      <c r="L122" s="3">
        <v>-96.3</v>
      </c>
      <c r="M122" s="5">
        <f t="shared" si="167"/>
        <v>1.9000000000000057</v>
      </c>
      <c r="N122" s="5">
        <f t="shared" si="161"/>
        <v>44.970060517830404</v>
      </c>
      <c r="O122" s="5">
        <f t="shared" si="162"/>
        <v>0.22980318260987831</v>
      </c>
      <c r="P122" s="4">
        <v>4</v>
      </c>
      <c r="Q122" s="5">
        <f t="shared" si="163"/>
        <v>4.0382300000000004</v>
      </c>
      <c r="R122" s="5">
        <f t="shared" si="163"/>
        <v>7.3870000000000005E-2</v>
      </c>
      <c r="S122" s="5">
        <f t="shared" si="164"/>
        <v>3.3648551475000001</v>
      </c>
      <c r="T122" s="5">
        <f t="shared" si="165"/>
        <v>0.20189130885000001</v>
      </c>
      <c r="U122" s="5">
        <f t="shared" si="166"/>
        <v>0.46093906130136991</v>
      </c>
      <c r="V122" s="5">
        <f t="shared" si="159"/>
        <v>0.22980318260987831</v>
      </c>
    </row>
    <row r="123" spans="2:22" x14ac:dyDescent="0.3">
      <c r="B123">
        <v>7</v>
      </c>
      <c r="C123">
        <v>8548.7000000000007</v>
      </c>
      <c r="D123">
        <v>47056.4</v>
      </c>
      <c r="E123">
        <v>764.8</v>
      </c>
      <c r="F123">
        <f t="shared" si="156"/>
        <v>4.7056399999999998</v>
      </c>
      <c r="G123">
        <f t="shared" si="157"/>
        <v>0.85487000000000002</v>
      </c>
      <c r="H123">
        <f t="shared" si="158"/>
        <v>3.8507699999999998</v>
      </c>
      <c r="I123">
        <f t="shared" si="160"/>
        <v>7.6479999999999992E-2</v>
      </c>
      <c r="K123" s="67"/>
      <c r="L123" s="3">
        <v>-95.8</v>
      </c>
      <c r="M123" s="5">
        <f t="shared" si="167"/>
        <v>2.4000000000000057</v>
      </c>
      <c r="N123" s="5">
        <f t="shared" si="161"/>
        <v>52.890724234957723</v>
      </c>
      <c r="O123" s="5">
        <f t="shared" si="162"/>
        <v>0.16612842792050866</v>
      </c>
      <c r="P123" s="4">
        <v>4</v>
      </c>
      <c r="Q123" s="5">
        <f t="shared" si="163"/>
        <v>3.8507699999999998</v>
      </c>
      <c r="R123" s="5">
        <f t="shared" si="163"/>
        <v>7.6479999999999992E-2</v>
      </c>
      <c r="S123" s="5">
        <f t="shared" si="164"/>
        <v>3.2086541024999997</v>
      </c>
      <c r="T123" s="5">
        <f t="shared" si="165"/>
        <v>0.19251924614999999</v>
      </c>
      <c r="U123" s="5">
        <f t="shared" si="166"/>
        <v>0.43954165787671229</v>
      </c>
      <c r="V123" s="5">
        <f t="shared" si="159"/>
        <v>0.16612842792050866</v>
      </c>
    </row>
    <row r="124" spans="2:22" x14ac:dyDescent="0.3">
      <c r="B124">
        <v>8</v>
      </c>
      <c r="C124">
        <v>7860.6</v>
      </c>
      <c r="D124">
        <v>50489.3</v>
      </c>
      <c r="E124">
        <v>745.6</v>
      </c>
      <c r="F124">
        <f t="shared" si="156"/>
        <v>5.0489300000000004</v>
      </c>
      <c r="G124">
        <f t="shared" si="157"/>
        <v>0.78605999999999998</v>
      </c>
      <c r="H124">
        <f t="shared" si="158"/>
        <v>4.2628700000000004</v>
      </c>
      <c r="I124">
        <f t="shared" si="160"/>
        <v>7.4560000000000001E-2</v>
      </c>
      <c r="K124" s="67"/>
      <c r="L124" s="3">
        <v>-95.5</v>
      </c>
      <c r="M124" s="5">
        <f t="shared" si="167"/>
        <v>2.7000000000000028</v>
      </c>
      <c r="N124" s="5">
        <f t="shared" si="161"/>
        <v>57.756125383651771</v>
      </c>
      <c r="O124" s="5">
        <f t="shared" si="162"/>
        <v>0.13931788796440595</v>
      </c>
      <c r="P124" s="4">
        <v>5</v>
      </c>
      <c r="Q124" s="5">
        <f t="shared" si="163"/>
        <v>4.2628700000000004</v>
      </c>
      <c r="R124" s="5">
        <f t="shared" si="163"/>
        <v>7.4560000000000001E-2</v>
      </c>
      <c r="S124" s="5">
        <f t="shared" si="164"/>
        <v>2.8416291420000008</v>
      </c>
      <c r="T124" s="5">
        <f t="shared" si="165"/>
        <v>0.17049774852000005</v>
      </c>
      <c r="U124" s="5">
        <f t="shared" si="166"/>
        <v>0.38926426602739739</v>
      </c>
      <c r="V124" s="5">
        <f t="shared" si="159"/>
        <v>0.13931788796440595</v>
      </c>
    </row>
    <row r="125" spans="2:22" x14ac:dyDescent="0.3">
      <c r="B125">
        <v>9</v>
      </c>
      <c r="C125">
        <v>6233.2</v>
      </c>
      <c r="D125">
        <v>61878.5</v>
      </c>
      <c r="E125">
        <v>1527</v>
      </c>
      <c r="F125">
        <f t="shared" si="156"/>
        <v>6.1878500000000001</v>
      </c>
      <c r="G125">
        <f t="shared" si="157"/>
        <v>0.62331999999999999</v>
      </c>
      <c r="H125">
        <f t="shared" si="158"/>
        <v>5.5645300000000004</v>
      </c>
      <c r="I125">
        <f t="shared" si="160"/>
        <v>0.1527</v>
      </c>
      <c r="K125" s="67"/>
      <c r="L125" s="5">
        <v>-95.1</v>
      </c>
      <c r="M125" s="5">
        <f t="shared" si="167"/>
        <v>3.1000000000000085</v>
      </c>
      <c r="N125" s="5">
        <f t="shared" si="161"/>
        <v>64.335352920706185</v>
      </c>
      <c r="O125" s="5">
        <f t="shared" si="162"/>
        <v>0.1122803112129348</v>
      </c>
      <c r="P125" s="4">
        <v>8</v>
      </c>
      <c r="Q125" s="5">
        <f t="shared" si="163"/>
        <v>5.5645300000000004</v>
      </c>
      <c r="R125" s="5">
        <f t="shared" si="163"/>
        <v>0.1527</v>
      </c>
      <c r="S125" s="5">
        <f t="shared" si="164"/>
        <v>2.3183223112499998</v>
      </c>
      <c r="T125" s="5">
        <f t="shared" si="165"/>
        <v>0.13909933867499999</v>
      </c>
      <c r="U125" s="5">
        <f t="shared" si="166"/>
        <v>0.31757839880136984</v>
      </c>
      <c r="V125" s="5">
        <f t="shared" si="159"/>
        <v>0.1122803112129348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56"/>
        <v>0</v>
      </c>
      <c r="G126">
        <f t="shared" si="157"/>
        <v>0</v>
      </c>
      <c r="H126">
        <f t="shared" si="158"/>
        <v>0</v>
      </c>
      <c r="I126">
        <f t="shared" si="160"/>
        <v>0</v>
      </c>
      <c r="K126" s="67"/>
      <c r="L126" s="5">
        <v>-94.399999999999991</v>
      </c>
      <c r="M126" s="5">
        <f t="shared" si="167"/>
        <v>3.8000000000000114</v>
      </c>
      <c r="N126" s="5">
        <f t="shared" si="161"/>
        <v>76.025152245972833</v>
      </c>
      <c r="O126" s="5">
        <f t="shared" si="162"/>
        <v>8.0405986756380471E-2</v>
      </c>
      <c r="P126" s="4">
        <v>14</v>
      </c>
      <c r="Q126" s="5">
        <f t="shared" si="163"/>
        <v>0</v>
      </c>
      <c r="R126" s="5">
        <f t="shared" si="163"/>
        <v>0</v>
      </c>
      <c r="S126" s="5">
        <f t="shared" si="164"/>
        <v>0</v>
      </c>
      <c r="T126" s="5">
        <f t="shared" si="165"/>
        <v>0</v>
      </c>
      <c r="U126" s="5">
        <f t="shared" si="166"/>
        <v>0</v>
      </c>
      <c r="V126" s="5">
        <f t="shared" si="159"/>
        <v>8.0405986756380471E-2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56"/>
        <v>0</v>
      </c>
      <c r="G127">
        <f t="shared" si="157"/>
        <v>0</v>
      </c>
      <c r="H127">
        <f t="shared" si="158"/>
        <v>0</v>
      </c>
      <c r="I127">
        <f t="shared" si="160"/>
        <v>0</v>
      </c>
      <c r="K127" s="68"/>
      <c r="L127" s="6">
        <v>-93.3</v>
      </c>
      <c r="M127" s="6">
        <f t="shared" si="167"/>
        <v>4.9000000000000057</v>
      </c>
      <c r="N127" s="6">
        <f t="shared" si="161"/>
        <v>94.671337139281746</v>
      </c>
      <c r="O127" s="6">
        <f t="shared" si="162"/>
        <v>5.1852053541803021E-2</v>
      </c>
      <c r="P127" s="7">
        <v>21</v>
      </c>
      <c r="Q127" s="6">
        <f t="shared" si="163"/>
        <v>0</v>
      </c>
      <c r="R127" s="6">
        <f t="shared" si="163"/>
        <v>0</v>
      </c>
      <c r="S127" s="6">
        <f t="shared" si="164"/>
        <v>0</v>
      </c>
      <c r="T127" s="6">
        <f t="shared" si="165"/>
        <v>0</v>
      </c>
      <c r="U127" s="6">
        <f t="shared" si="166"/>
        <v>0</v>
      </c>
      <c r="V127" s="6">
        <f t="shared" si="159"/>
        <v>5.1852053541803021E-2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-8023</v>
      </c>
      <c r="D131">
        <v>12771.8</v>
      </c>
      <c r="E131">
        <v>2988</v>
      </c>
      <c r="F131">
        <f t="shared" ref="F131:F141" si="168">D131/10000</f>
        <v>1.27718</v>
      </c>
      <c r="G131">
        <f t="shared" ref="G131:G141" si="169">C131/10000</f>
        <v>-0.80230000000000001</v>
      </c>
      <c r="H131">
        <f t="shared" ref="H131:H141" si="170">F131-G131</f>
        <v>2.0794800000000002</v>
      </c>
      <c r="I131">
        <f>E131/10000</f>
        <v>0.29880000000000001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0.6606973418001888</v>
      </c>
      <c r="P131" s="2">
        <v>3</v>
      </c>
      <c r="Q131" s="8">
        <f>H131</f>
        <v>2.0794800000000002</v>
      </c>
      <c r="R131" s="8">
        <f>I131</f>
        <v>0.29880000000000001</v>
      </c>
      <c r="S131" s="8">
        <f>Q131/10^6*$Z$4*$Z$3/P131*10^12</f>
        <v>2.3103022799999997</v>
      </c>
      <c r="T131" s="8">
        <f>S131*0.06</f>
        <v>0.13861813679999999</v>
      </c>
      <c r="U131" s="8">
        <f>S131/$Z$1</f>
        <v>0.31647976438356162</v>
      </c>
      <c r="V131" s="12">
        <f t="shared" ref="V131:V141" si="171">O131</f>
        <v>0.6606973418001888</v>
      </c>
    </row>
    <row r="132" spans="2:22" x14ac:dyDescent="0.3">
      <c r="B132">
        <v>2</v>
      </c>
      <c r="C132">
        <v>-4742.2</v>
      </c>
      <c r="D132">
        <v>17204.2</v>
      </c>
      <c r="E132">
        <v>2404.9</v>
      </c>
      <c r="F132">
        <f t="shared" si="168"/>
        <v>1.7204200000000001</v>
      </c>
      <c r="G132">
        <f t="shared" si="169"/>
        <v>-0.47421999999999997</v>
      </c>
      <c r="H132">
        <f t="shared" si="170"/>
        <v>2.1946400000000001</v>
      </c>
      <c r="I132">
        <f t="shared" ref="I132:I141" si="172">E132/10000</f>
        <v>0.24049000000000001</v>
      </c>
      <c r="K132" s="67"/>
      <c r="L132" s="3">
        <v>-98</v>
      </c>
      <c r="M132" s="5">
        <f>L132+98.2</f>
        <v>0.20000000000000284</v>
      </c>
      <c r="N132" s="5">
        <f t="shared" ref="N132:N141" si="173">20.56036*SQRT(1+((L132-(-98.58903))*1.03*1095.70644/(3.14159*20.56036^2))^2)</f>
        <v>22.992351577801337</v>
      </c>
      <c r="O132" s="5">
        <f t="shared" ref="O132:O141" si="174">2*$Z$1/$Z$2/PI()/(N132*10^-4)^2/$K$131/$Z$7</f>
        <v>0.5860638593661821</v>
      </c>
      <c r="P132" s="4">
        <v>3</v>
      </c>
      <c r="Q132" s="5">
        <f t="shared" ref="Q132:R141" si="175">H132</f>
        <v>2.1946400000000001</v>
      </c>
      <c r="R132" s="5">
        <f t="shared" si="175"/>
        <v>0.24049000000000001</v>
      </c>
      <c r="S132" s="5">
        <f t="shared" ref="S132:S141" si="176">Q132/10^6*$Z$4*$Z$3/P132*10^12</f>
        <v>2.4382450400000004</v>
      </c>
      <c r="T132" s="5">
        <f t="shared" ref="T132:T141" si="177">S132*0.06</f>
        <v>0.14629470240000003</v>
      </c>
      <c r="U132" s="5">
        <f t="shared" ref="U132:U141" si="178">S132/$Z$1</f>
        <v>0.33400616986301379</v>
      </c>
      <c r="V132" s="5">
        <f t="shared" si="171"/>
        <v>0.5860638593661821</v>
      </c>
    </row>
    <row r="133" spans="2:22" x14ac:dyDescent="0.3">
      <c r="B133">
        <v>3</v>
      </c>
      <c r="C133">
        <v>-2194</v>
      </c>
      <c r="D133">
        <v>23529.200000000001</v>
      </c>
      <c r="E133">
        <v>1937.9</v>
      </c>
      <c r="F133">
        <f t="shared" si="168"/>
        <v>2.3529200000000001</v>
      </c>
      <c r="G133">
        <f t="shared" si="169"/>
        <v>-0.21940000000000001</v>
      </c>
      <c r="H133">
        <f t="shared" si="170"/>
        <v>2.5723199999999999</v>
      </c>
      <c r="I133">
        <f t="shared" si="172"/>
        <v>0.19379000000000002</v>
      </c>
      <c r="K133" s="67"/>
      <c r="L133" s="3">
        <v>-97.8</v>
      </c>
      <c r="M133" s="5">
        <f t="shared" ref="M133:M141" si="179">L133+98.2</f>
        <v>0.40000000000000568</v>
      </c>
      <c r="N133" s="5">
        <f t="shared" si="173"/>
        <v>24.754552179927092</v>
      </c>
      <c r="O133" s="5">
        <f t="shared" si="174"/>
        <v>0.5055936091382337</v>
      </c>
      <c r="P133" s="4">
        <v>3</v>
      </c>
      <c r="Q133" s="5">
        <f t="shared" si="175"/>
        <v>2.5723199999999999</v>
      </c>
      <c r="R133" s="5">
        <f t="shared" si="175"/>
        <v>0.19379000000000002</v>
      </c>
      <c r="S133" s="5">
        <f t="shared" si="176"/>
        <v>2.85784752</v>
      </c>
      <c r="T133" s="5">
        <f t="shared" si="177"/>
        <v>0.1714708512</v>
      </c>
      <c r="U133" s="5">
        <f t="shared" si="178"/>
        <v>0.39148596164383564</v>
      </c>
      <c r="V133" s="5">
        <f t="shared" si="171"/>
        <v>0.5055936091382337</v>
      </c>
    </row>
    <row r="134" spans="2:22" x14ac:dyDescent="0.3">
      <c r="B134">
        <v>4</v>
      </c>
      <c r="C134">
        <v>1113.9000000000001</v>
      </c>
      <c r="D134">
        <v>29481.200000000001</v>
      </c>
      <c r="E134">
        <v>1780.3</v>
      </c>
      <c r="F134">
        <f t="shared" si="168"/>
        <v>2.9481199999999999</v>
      </c>
      <c r="G134">
        <f t="shared" si="169"/>
        <v>0.11139</v>
      </c>
      <c r="H134">
        <f t="shared" si="170"/>
        <v>2.8367299999999998</v>
      </c>
      <c r="I134">
        <f t="shared" si="172"/>
        <v>0.17802999999999999</v>
      </c>
      <c r="K134" s="67"/>
      <c r="L134" s="3">
        <v>-97.2</v>
      </c>
      <c r="M134" s="5">
        <f t="shared" si="179"/>
        <v>1</v>
      </c>
      <c r="N134" s="5">
        <f t="shared" si="173"/>
        <v>31.807899949628325</v>
      </c>
      <c r="O134" s="5">
        <f t="shared" si="174"/>
        <v>0.30622576672967589</v>
      </c>
      <c r="P134" s="4">
        <v>3</v>
      </c>
      <c r="Q134" s="5">
        <f t="shared" si="175"/>
        <v>2.8367299999999998</v>
      </c>
      <c r="R134" s="5">
        <f t="shared" si="175"/>
        <v>0.17802999999999999</v>
      </c>
      <c r="S134" s="5">
        <f t="shared" si="176"/>
        <v>3.1516070300000001</v>
      </c>
      <c r="T134" s="5">
        <f t="shared" si="177"/>
        <v>0.1890964218</v>
      </c>
      <c r="U134" s="5">
        <f t="shared" si="178"/>
        <v>0.43172699041095891</v>
      </c>
      <c r="V134" s="5">
        <f t="shared" si="171"/>
        <v>0.30622576672967589</v>
      </c>
    </row>
    <row r="135" spans="2:22" x14ac:dyDescent="0.3">
      <c r="B135">
        <v>5</v>
      </c>
      <c r="C135">
        <v>2841</v>
      </c>
      <c r="D135">
        <v>36259.800000000003</v>
      </c>
      <c r="E135">
        <v>1561.5</v>
      </c>
      <c r="F135">
        <f t="shared" si="168"/>
        <v>3.6259800000000002</v>
      </c>
      <c r="G135">
        <f t="shared" si="169"/>
        <v>0.28410000000000002</v>
      </c>
      <c r="H135">
        <f t="shared" si="170"/>
        <v>3.3418800000000002</v>
      </c>
      <c r="I135">
        <f t="shared" si="172"/>
        <v>0.15615000000000001</v>
      </c>
      <c r="K135" s="67"/>
      <c r="L135" s="3">
        <v>-96.8</v>
      </c>
      <c r="M135" s="5">
        <f t="shared" si="179"/>
        <v>1.4000000000000057</v>
      </c>
      <c r="N135" s="5">
        <f t="shared" si="173"/>
        <v>37.414240753916886</v>
      </c>
      <c r="O135" s="5">
        <f t="shared" si="174"/>
        <v>0.22132876005471769</v>
      </c>
      <c r="P135" s="4">
        <v>3</v>
      </c>
      <c r="Q135" s="5">
        <f t="shared" si="175"/>
        <v>3.3418800000000002</v>
      </c>
      <c r="R135" s="5">
        <f t="shared" si="175"/>
        <v>0.15615000000000001</v>
      </c>
      <c r="S135" s="5">
        <f t="shared" si="176"/>
        <v>3.7128286800000003</v>
      </c>
      <c r="T135" s="5">
        <f t="shared" si="177"/>
        <v>0.22276972080000002</v>
      </c>
      <c r="U135" s="5">
        <f t="shared" si="178"/>
        <v>0.50860666849315073</v>
      </c>
      <c r="V135" s="5">
        <f t="shared" si="171"/>
        <v>0.22132876005471769</v>
      </c>
    </row>
    <row r="136" spans="2:22" x14ac:dyDescent="0.3">
      <c r="B136">
        <v>6</v>
      </c>
      <c r="C136">
        <v>4178</v>
      </c>
      <c r="D136">
        <v>55235.89</v>
      </c>
      <c r="E136">
        <v>986.7</v>
      </c>
      <c r="F136">
        <f t="shared" si="168"/>
        <v>5.5235890000000003</v>
      </c>
      <c r="G136">
        <f t="shared" si="169"/>
        <v>0.4178</v>
      </c>
      <c r="H136">
        <f t="shared" si="170"/>
        <v>5.1057890000000006</v>
      </c>
      <c r="I136">
        <f t="shared" si="172"/>
        <v>9.8670000000000008E-2</v>
      </c>
      <c r="K136" s="67"/>
      <c r="L136" s="3">
        <v>-96.3</v>
      </c>
      <c r="M136" s="5">
        <f t="shared" si="179"/>
        <v>1.9000000000000057</v>
      </c>
      <c r="N136" s="5">
        <f t="shared" si="173"/>
        <v>44.970060517830404</v>
      </c>
      <c r="O136" s="5">
        <f t="shared" si="174"/>
        <v>0.15320212173991887</v>
      </c>
      <c r="P136" s="4">
        <v>4</v>
      </c>
      <c r="Q136" s="5">
        <f t="shared" si="175"/>
        <v>5.1057890000000006</v>
      </c>
      <c r="R136" s="5">
        <f t="shared" si="175"/>
        <v>9.8670000000000008E-2</v>
      </c>
      <c r="S136" s="5">
        <f t="shared" si="176"/>
        <v>4.2543986842500008</v>
      </c>
      <c r="T136" s="5">
        <f t="shared" si="177"/>
        <v>0.25526392105500006</v>
      </c>
      <c r="U136" s="5">
        <f t="shared" si="178"/>
        <v>0.58279434030821931</v>
      </c>
      <c r="V136" s="5">
        <f t="shared" si="171"/>
        <v>0.15320212173991887</v>
      </c>
    </row>
    <row r="137" spans="2:22" x14ac:dyDescent="0.3">
      <c r="B137">
        <v>7</v>
      </c>
      <c r="C137">
        <v>2416.8000000000002</v>
      </c>
      <c r="D137">
        <v>47677.8</v>
      </c>
      <c r="E137">
        <v>713.5</v>
      </c>
      <c r="F137">
        <f t="shared" si="168"/>
        <v>4.7677800000000001</v>
      </c>
      <c r="G137">
        <f t="shared" si="169"/>
        <v>0.24168000000000001</v>
      </c>
      <c r="H137">
        <f t="shared" si="170"/>
        <v>4.5261000000000005</v>
      </c>
      <c r="I137">
        <f t="shared" si="172"/>
        <v>7.1349999999999997E-2</v>
      </c>
      <c r="K137" s="67"/>
      <c r="L137" s="3">
        <v>-95.8</v>
      </c>
      <c r="M137" s="5">
        <f t="shared" si="179"/>
        <v>2.4000000000000057</v>
      </c>
      <c r="N137" s="5">
        <f t="shared" si="173"/>
        <v>52.890724234957723</v>
      </c>
      <c r="O137" s="5">
        <f t="shared" si="174"/>
        <v>0.11075228528033911</v>
      </c>
      <c r="P137" s="4">
        <v>4</v>
      </c>
      <c r="Q137" s="5">
        <f t="shared" si="175"/>
        <v>4.5261000000000005</v>
      </c>
      <c r="R137" s="5">
        <f t="shared" si="175"/>
        <v>7.1349999999999997E-2</v>
      </c>
      <c r="S137" s="5">
        <f t="shared" si="176"/>
        <v>3.7713728250000003</v>
      </c>
      <c r="T137" s="5">
        <f t="shared" si="177"/>
        <v>0.2262823695</v>
      </c>
      <c r="U137" s="5">
        <f t="shared" si="178"/>
        <v>0.51662641438356172</v>
      </c>
      <c r="V137" s="5">
        <f t="shared" si="171"/>
        <v>0.11075228528033911</v>
      </c>
    </row>
    <row r="138" spans="2:22" x14ac:dyDescent="0.3">
      <c r="B138">
        <v>8</v>
      </c>
      <c r="C138">
        <v>4656.3999999999996</v>
      </c>
      <c r="D138">
        <v>52410.9</v>
      </c>
      <c r="E138">
        <v>549.1</v>
      </c>
      <c r="F138">
        <f t="shared" si="168"/>
        <v>5.2410899999999998</v>
      </c>
      <c r="G138">
        <f t="shared" si="169"/>
        <v>0.46563999999999994</v>
      </c>
      <c r="H138">
        <f t="shared" si="170"/>
        <v>4.7754500000000002</v>
      </c>
      <c r="I138">
        <f t="shared" si="172"/>
        <v>5.491E-2</v>
      </c>
      <c r="K138" s="67"/>
      <c r="L138" s="3">
        <v>-95.5</v>
      </c>
      <c r="M138" s="5">
        <f t="shared" si="179"/>
        <v>2.7000000000000028</v>
      </c>
      <c r="N138" s="5">
        <f t="shared" si="173"/>
        <v>57.756125383651771</v>
      </c>
      <c r="O138" s="5">
        <f t="shared" si="174"/>
        <v>9.287859197627063E-2</v>
      </c>
      <c r="P138" s="4">
        <v>5</v>
      </c>
      <c r="Q138" s="5">
        <f t="shared" si="175"/>
        <v>4.7754500000000002</v>
      </c>
      <c r="R138" s="5">
        <f t="shared" si="175"/>
        <v>5.491E-2</v>
      </c>
      <c r="S138" s="5">
        <f t="shared" si="176"/>
        <v>3.1833149700000001</v>
      </c>
      <c r="T138" s="5">
        <f t="shared" si="177"/>
        <v>0.19099889819999999</v>
      </c>
      <c r="U138" s="5">
        <f t="shared" si="178"/>
        <v>0.43607054383561644</v>
      </c>
      <c r="V138" s="5">
        <f t="shared" si="171"/>
        <v>9.287859197627063E-2</v>
      </c>
    </row>
    <row r="139" spans="2:22" x14ac:dyDescent="0.3">
      <c r="B139">
        <v>9</v>
      </c>
      <c r="C139">
        <v>5279</v>
      </c>
      <c r="D139">
        <v>55675.7</v>
      </c>
      <c r="E139">
        <v>6859.6</v>
      </c>
      <c r="F139">
        <f t="shared" si="168"/>
        <v>5.5675699999999999</v>
      </c>
      <c r="G139">
        <f t="shared" si="169"/>
        <v>0.52790000000000004</v>
      </c>
      <c r="H139">
        <f t="shared" si="170"/>
        <v>5.0396700000000001</v>
      </c>
      <c r="I139">
        <f t="shared" si="172"/>
        <v>0.68596000000000001</v>
      </c>
      <c r="K139" s="67"/>
      <c r="L139" s="5">
        <v>-95.1</v>
      </c>
      <c r="M139" s="5">
        <f t="shared" si="179"/>
        <v>3.1000000000000085</v>
      </c>
      <c r="N139" s="5">
        <f t="shared" si="173"/>
        <v>64.335352920706185</v>
      </c>
      <c r="O139" s="5">
        <f t="shared" si="174"/>
        <v>7.4853540808623206E-2</v>
      </c>
      <c r="P139" s="4">
        <v>8</v>
      </c>
      <c r="Q139" s="5">
        <f t="shared" si="175"/>
        <v>5.0396700000000001</v>
      </c>
      <c r="R139" s="5">
        <f t="shared" si="175"/>
        <v>0.68596000000000001</v>
      </c>
      <c r="S139" s="5">
        <f t="shared" si="176"/>
        <v>2.0996525137500002</v>
      </c>
      <c r="T139" s="5">
        <f t="shared" si="177"/>
        <v>0.125979150825</v>
      </c>
      <c r="U139" s="5">
        <f t="shared" si="178"/>
        <v>0.28762363202054797</v>
      </c>
      <c r="V139" s="5">
        <f t="shared" si="171"/>
        <v>7.4853540808623206E-2</v>
      </c>
    </row>
    <row r="140" spans="2:22" x14ac:dyDescent="0.3">
      <c r="B140">
        <v>10</v>
      </c>
      <c r="C140">
        <v>4365.5</v>
      </c>
      <c r="D140">
        <v>17060</v>
      </c>
      <c r="E140">
        <v>10375.6</v>
      </c>
      <c r="F140">
        <f t="shared" si="168"/>
        <v>1.706</v>
      </c>
      <c r="G140">
        <f t="shared" si="169"/>
        <v>0.43654999999999999</v>
      </c>
      <c r="H140">
        <f t="shared" si="170"/>
        <v>1.26945</v>
      </c>
      <c r="I140">
        <f t="shared" si="172"/>
        <v>1.03756</v>
      </c>
      <c r="K140" s="67"/>
      <c r="L140" s="5">
        <v>-94.399999999999991</v>
      </c>
      <c r="M140" s="5">
        <f t="shared" si="179"/>
        <v>3.8000000000000114</v>
      </c>
      <c r="N140" s="5">
        <f t="shared" si="173"/>
        <v>76.025152245972833</v>
      </c>
      <c r="O140" s="5">
        <f t="shared" si="174"/>
        <v>5.3603991170920309E-2</v>
      </c>
      <c r="P140" s="4">
        <v>14</v>
      </c>
      <c r="Q140" s="5">
        <f t="shared" si="175"/>
        <v>1.26945</v>
      </c>
      <c r="R140" s="5">
        <f t="shared" si="175"/>
        <v>1.03756</v>
      </c>
      <c r="S140" s="5">
        <f t="shared" si="176"/>
        <v>0.30221977500000002</v>
      </c>
      <c r="T140" s="5">
        <f t="shared" si="177"/>
        <v>1.8133186500000002E-2</v>
      </c>
      <c r="U140" s="5">
        <f t="shared" si="178"/>
        <v>4.1399969178082197E-2</v>
      </c>
      <c r="V140" s="5">
        <f t="shared" si="171"/>
        <v>5.3603991170920309E-2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68"/>
        <v>0</v>
      </c>
      <c r="G141">
        <f t="shared" si="169"/>
        <v>0</v>
      </c>
      <c r="H141">
        <f t="shared" si="170"/>
        <v>0</v>
      </c>
      <c r="I141">
        <f t="shared" si="172"/>
        <v>0</v>
      </c>
      <c r="K141" s="68"/>
      <c r="L141" s="6">
        <v>-93.3</v>
      </c>
      <c r="M141" s="6">
        <f t="shared" si="179"/>
        <v>4.9000000000000057</v>
      </c>
      <c r="N141" s="6">
        <f t="shared" si="173"/>
        <v>94.671337139281746</v>
      </c>
      <c r="O141" s="6">
        <f t="shared" si="174"/>
        <v>3.456803569453535E-2</v>
      </c>
      <c r="P141" s="7">
        <v>21</v>
      </c>
      <c r="Q141" s="6">
        <f t="shared" si="175"/>
        <v>0</v>
      </c>
      <c r="R141" s="6">
        <f t="shared" si="175"/>
        <v>0</v>
      </c>
      <c r="S141" s="6">
        <f t="shared" si="176"/>
        <v>0</v>
      </c>
      <c r="T141" s="6">
        <f t="shared" si="177"/>
        <v>0</v>
      </c>
      <c r="U141" s="6">
        <f t="shared" si="178"/>
        <v>0</v>
      </c>
      <c r="V141" s="6">
        <f t="shared" si="171"/>
        <v>3.456803569453535E-2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-14329.1</v>
      </c>
      <c r="D145">
        <v>11457</v>
      </c>
      <c r="E145">
        <v>2578.1999999999998</v>
      </c>
      <c r="F145">
        <f t="shared" ref="F145:F155" si="180">D145/10000</f>
        <v>1.1456999999999999</v>
      </c>
      <c r="G145">
        <f t="shared" ref="G145:G155" si="181">C145/10000</f>
        <v>-1.4329100000000001</v>
      </c>
      <c r="H145">
        <f t="shared" ref="H145:H155" si="182">F145-G145</f>
        <v>2.5786100000000003</v>
      </c>
      <c r="I145">
        <f>E145/10000</f>
        <v>0.25781999999999999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0.49552300635014157</v>
      </c>
      <c r="P145" s="2">
        <v>3</v>
      </c>
      <c r="Q145" s="8">
        <f>H145</f>
        <v>2.5786100000000003</v>
      </c>
      <c r="R145" s="8">
        <f>I145</f>
        <v>0.25781999999999999</v>
      </c>
      <c r="S145" s="8">
        <f>Q145/10^6*$Z$4*$Z$3/P145*10^12</f>
        <v>2.8648357100000004</v>
      </c>
      <c r="T145" s="8">
        <f>S145*0.06</f>
        <v>0.17189014260000002</v>
      </c>
      <c r="U145" s="8">
        <f>S145/$Z$1</f>
        <v>0.39244324794520552</v>
      </c>
      <c r="V145" s="12">
        <f t="shared" ref="V145:V155" si="183">O145</f>
        <v>0.49552300635014157</v>
      </c>
    </row>
    <row r="146" spans="2:22" x14ac:dyDescent="0.3">
      <c r="B146">
        <v>2</v>
      </c>
      <c r="C146">
        <v>-11507.3</v>
      </c>
      <c r="D146">
        <v>14980.7</v>
      </c>
      <c r="E146">
        <v>1735.2</v>
      </c>
      <c r="F146">
        <f t="shared" si="180"/>
        <v>1.49807</v>
      </c>
      <c r="G146">
        <f t="shared" si="181"/>
        <v>-1.15073</v>
      </c>
      <c r="H146">
        <f t="shared" si="182"/>
        <v>2.6488</v>
      </c>
      <c r="I146">
        <f t="shared" ref="I146:I155" si="184">E146/10000</f>
        <v>0.17352000000000001</v>
      </c>
      <c r="K146" s="67"/>
      <c r="L146" s="3">
        <v>-98</v>
      </c>
      <c r="M146" s="5">
        <f>L146+98.2</f>
        <v>0.20000000000000284</v>
      </c>
      <c r="N146" s="5">
        <f t="shared" ref="N146:N155" si="185">20.56036*SQRT(1+((L146-(-98.58903))*1.03*1095.70644/(3.14159*20.56036^2))^2)</f>
        <v>22.992351577801337</v>
      </c>
      <c r="O146" s="5">
        <f t="shared" ref="O146:O155" si="186">2*$Z$1/$Z$2/PI()/(N146*10^-4)^2/$K$145/$Z$7</f>
        <v>0.43954789452463655</v>
      </c>
      <c r="P146" s="4">
        <v>3</v>
      </c>
      <c r="Q146" s="5">
        <f t="shared" ref="Q146:R155" si="187">H146</f>
        <v>2.6488</v>
      </c>
      <c r="R146" s="5">
        <f t="shared" si="187"/>
        <v>0.17352000000000001</v>
      </c>
      <c r="S146" s="5">
        <f t="shared" ref="S146:S155" si="188">Q146/10^6*$Z$4*$Z$3/P146*10^12</f>
        <v>2.9428168000000006</v>
      </c>
      <c r="T146" s="5">
        <f t="shared" ref="T146:T155" si="189">S146*0.06</f>
        <v>0.17656900800000003</v>
      </c>
      <c r="U146" s="5">
        <f t="shared" ref="U146:U155" si="190">S146/$Z$1</f>
        <v>0.40312558904109597</v>
      </c>
      <c r="V146" s="5">
        <f t="shared" si="183"/>
        <v>0.43954789452463655</v>
      </c>
    </row>
    <row r="147" spans="2:22" x14ac:dyDescent="0.3">
      <c r="B147">
        <v>3</v>
      </c>
      <c r="C147">
        <v>-6578</v>
      </c>
      <c r="D147">
        <v>19847.599999999999</v>
      </c>
      <c r="E147">
        <v>2072.1999999999998</v>
      </c>
      <c r="F147">
        <f t="shared" si="180"/>
        <v>1.9847599999999999</v>
      </c>
      <c r="G147">
        <f t="shared" si="181"/>
        <v>-0.65780000000000005</v>
      </c>
      <c r="H147">
        <f t="shared" si="182"/>
        <v>2.64256</v>
      </c>
      <c r="I147">
        <f t="shared" si="184"/>
        <v>0.20721999999999999</v>
      </c>
      <c r="K147" s="67"/>
      <c r="L147" s="3">
        <v>-97.8</v>
      </c>
      <c r="M147" s="5">
        <f t="shared" ref="M147:M155" si="191">L147+98.2</f>
        <v>0.40000000000000568</v>
      </c>
      <c r="N147" s="5">
        <f t="shared" si="185"/>
        <v>24.754552179927092</v>
      </c>
      <c r="O147" s="5">
        <f t="shared" si="186"/>
        <v>0.3791952068536753</v>
      </c>
      <c r="P147" s="4">
        <v>3</v>
      </c>
      <c r="Q147" s="5">
        <f t="shared" si="187"/>
        <v>2.64256</v>
      </c>
      <c r="R147" s="5">
        <f t="shared" si="187"/>
        <v>0.20721999999999999</v>
      </c>
      <c r="S147" s="5">
        <f t="shared" si="188"/>
        <v>2.9358841600000001</v>
      </c>
      <c r="T147" s="5">
        <f t="shared" si="189"/>
        <v>0.1761530496</v>
      </c>
      <c r="U147" s="5">
        <f t="shared" si="190"/>
        <v>0.40217591232876715</v>
      </c>
      <c r="V147" s="5">
        <f t="shared" si="183"/>
        <v>0.3791952068536753</v>
      </c>
    </row>
    <row r="148" spans="2:22" x14ac:dyDescent="0.3">
      <c r="B148">
        <v>4</v>
      </c>
      <c r="C148">
        <v>-3602.2</v>
      </c>
      <c r="D148">
        <v>22772.9</v>
      </c>
      <c r="E148">
        <v>3296.4</v>
      </c>
      <c r="F148">
        <f t="shared" si="180"/>
        <v>2.2772900000000003</v>
      </c>
      <c r="G148">
        <f t="shared" si="181"/>
        <v>-0.36021999999999998</v>
      </c>
      <c r="H148">
        <f t="shared" si="182"/>
        <v>2.6375100000000002</v>
      </c>
      <c r="I148">
        <f t="shared" si="184"/>
        <v>0.32963999999999999</v>
      </c>
      <c r="K148" s="67"/>
      <c r="L148" s="3">
        <v>-97.2</v>
      </c>
      <c r="M148" s="5">
        <f t="shared" si="191"/>
        <v>1</v>
      </c>
      <c r="N148" s="5">
        <f t="shared" si="185"/>
        <v>31.807899949628325</v>
      </c>
      <c r="O148" s="5">
        <f t="shared" si="186"/>
        <v>0.22966932504725693</v>
      </c>
      <c r="P148" s="4">
        <v>3</v>
      </c>
      <c r="Q148" s="5">
        <f t="shared" si="187"/>
        <v>2.6375100000000002</v>
      </c>
      <c r="R148" s="5">
        <f t="shared" si="187"/>
        <v>0.32963999999999999</v>
      </c>
      <c r="S148" s="5">
        <f t="shared" si="188"/>
        <v>2.9302736100000004</v>
      </c>
      <c r="T148" s="5">
        <f t="shared" si="189"/>
        <v>0.17581641660000003</v>
      </c>
      <c r="U148" s="5">
        <f t="shared" si="190"/>
        <v>0.40140734383561649</v>
      </c>
      <c r="V148" s="5">
        <f t="shared" si="183"/>
        <v>0.22966932504725693</v>
      </c>
    </row>
    <row r="149" spans="2:22" x14ac:dyDescent="0.3">
      <c r="B149">
        <v>5</v>
      </c>
      <c r="C149">
        <v>-2583.1</v>
      </c>
      <c r="D149">
        <v>32855.699999999997</v>
      </c>
      <c r="E149">
        <v>2034.3</v>
      </c>
      <c r="F149">
        <f t="shared" si="180"/>
        <v>3.2855699999999999</v>
      </c>
      <c r="G149">
        <f t="shared" si="181"/>
        <v>-0.25830999999999998</v>
      </c>
      <c r="H149">
        <f t="shared" si="182"/>
        <v>3.5438799999999997</v>
      </c>
      <c r="I149">
        <f t="shared" si="184"/>
        <v>0.20343</v>
      </c>
      <c r="K149" s="67"/>
      <c r="L149" s="3">
        <v>-96.8</v>
      </c>
      <c r="M149" s="5">
        <f t="shared" si="191"/>
        <v>1.4000000000000057</v>
      </c>
      <c r="N149" s="5">
        <f t="shared" si="185"/>
        <v>37.414240753916886</v>
      </c>
      <c r="O149" s="5">
        <f t="shared" si="186"/>
        <v>0.16599657004103827</v>
      </c>
      <c r="P149" s="4">
        <v>3</v>
      </c>
      <c r="Q149" s="5">
        <f t="shared" si="187"/>
        <v>3.5438799999999997</v>
      </c>
      <c r="R149" s="5">
        <f t="shared" si="187"/>
        <v>0.20343</v>
      </c>
      <c r="S149" s="5">
        <f t="shared" si="188"/>
        <v>3.93725068</v>
      </c>
      <c r="T149" s="5">
        <f t="shared" si="189"/>
        <v>0.23623504079999999</v>
      </c>
      <c r="U149" s="5">
        <f t="shared" si="190"/>
        <v>0.53934940821917809</v>
      </c>
      <c r="V149" s="5">
        <f t="shared" si="183"/>
        <v>0.16599657004103827</v>
      </c>
    </row>
    <row r="150" spans="2:22" x14ac:dyDescent="0.3">
      <c r="B150">
        <v>6</v>
      </c>
      <c r="C150">
        <v>1497.7</v>
      </c>
      <c r="D150">
        <v>49636.800000000003</v>
      </c>
      <c r="E150">
        <v>1187.8</v>
      </c>
      <c r="F150">
        <f t="shared" si="180"/>
        <v>4.9636800000000001</v>
      </c>
      <c r="G150">
        <f t="shared" si="181"/>
        <v>0.14977000000000001</v>
      </c>
      <c r="H150">
        <f t="shared" si="182"/>
        <v>4.8139099999999999</v>
      </c>
      <c r="I150">
        <f t="shared" si="184"/>
        <v>0.11878</v>
      </c>
      <c r="K150" s="67"/>
      <c r="L150" s="3">
        <v>-96.3</v>
      </c>
      <c r="M150" s="5">
        <f t="shared" si="191"/>
        <v>1.9000000000000057</v>
      </c>
      <c r="N150" s="5">
        <f t="shared" si="185"/>
        <v>44.970060517830404</v>
      </c>
      <c r="O150" s="5">
        <f t="shared" si="186"/>
        <v>0.11490159130493915</v>
      </c>
      <c r="P150" s="4">
        <v>4</v>
      </c>
      <c r="Q150" s="5">
        <f t="shared" si="187"/>
        <v>4.8139099999999999</v>
      </c>
      <c r="R150" s="5">
        <f t="shared" si="187"/>
        <v>0.11878</v>
      </c>
      <c r="S150" s="5">
        <f t="shared" si="188"/>
        <v>4.0111905074999994</v>
      </c>
      <c r="T150" s="5">
        <f t="shared" si="189"/>
        <v>0.24067143044999995</v>
      </c>
      <c r="U150" s="5">
        <f t="shared" si="190"/>
        <v>0.54947815171232872</v>
      </c>
      <c r="V150" s="5">
        <f t="shared" si="183"/>
        <v>0.11490159130493915</v>
      </c>
    </row>
    <row r="151" spans="2:22" x14ac:dyDescent="0.3">
      <c r="B151">
        <v>7</v>
      </c>
      <c r="C151">
        <v>2335.5</v>
      </c>
      <c r="D151">
        <v>40155.199999999997</v>
      </c>
      <c r="E151">
        <v>877.1</v>
      </c>
      <c r="F151">
        <f t="shared" si="180"/>
        <v>4.0155199999999995</v>
      </c>
      <c r="G151">
        <f t="shared" si="181"/>
        <v>0.23355000000000001</v>
      </c>
      <c r="H151">
        <f t="shared" si="182"/>
        <v>3.7819699999999994</v>
      </c>
      <c r="I151">
        <f t="shared" si="184"/>
        <v>8.7709999999999996E-2</v>
      </c>
      <c r="K151" s="67"/>
      <c r="L151" s="3">
        <v>-95.8</v>
      </c>
      <c r="M151" s="5">
        <f t="shared" si="191"/>
        <v>2.4000000000000057</v>
      </c>
      <c r="N151" s="5">
        <f t="shared" si="185"/>
        <v>52.890724234957723</v>
      </c>
      <c r="O151" s="5">
        <f t="shared" si="186"/>
        <v>8.3064213960254332E-2</v>
      </c>
      <c r="P151" s="4">
        <v>4</v>
      </c>
      <c r="Q151" s="5">
        <f t="shared" si="187"/>
        <v>3.7819699999999994</v>
      </c>
      <c r="R151" s="5">
        <f t="shared" si="187"/>
        <v>8.7709999999999996E-2</v>
      </c>
      <c r="S151" s="5">
        <f t="shared" si="188"/>
        <v>3.1513265024999999</v>
      </c>
      <c r="T151" s="5">
        <f t="shared" si="189"/>
        <v>0.18907959014999998</v>
      </c>
      <c r="U151" s="5">
        <f t="shared" si="190"/>
        <v>0.43168856198630134</v>
      </c>
      <c r="V151" s="5">
        <f t="shared" si="183"/>
        <v>8.3064213960254332E-2</v>
      </c>
    </row>
    <row r="152" spans="2:22" x14ac:dyDescent="0.3">
      <c r="B152">
        <v>8</v>
      </c>
      <c r="C152">
        <v>1531.3</v>
      </c>
      <c r="D152">
        <v>38684.800000000003</v>
      </c>
      <c r="E152">
        <v>465.9</v>
      </c>
      <c r="F152">
        <f t="shared" si="180"/>
        <v>3.8684800000000004</v>
      </c>
      <c r="G152">
        <f t="shared" si="181"/>
        <v>0.15312999999999999</v>
      </c>
      <c r="H152">
        <f t="shared" si="182"/>
        <v>3.7153500000000004</v>
      </c>
      <c r="I152">
        <f t="shared" si="184"/>
        <v>4.6589999999999999E-2</v>
      </c>
      <c r="K152" s="67"/>
      <c r="L152" s="3">
        <v>-95.5</v>
      </c>
      <c r="M152" s="5">
        <f t="shared" si="191"/>
        <v>2.7000000000000028</v>
      </c>
      <c r="N152" s="5">
        <f t="shared" si="185"/>
        <v>57.756125383651771</v>
      </c>
      <c r="O152" s="5">
        <f t="shared" si="186"/>
        <v>6.9658943982202973E-2</v>
      </c>
      <c r="P152" s="4">
        <v>5</v>
      </c>
      <c r="Q152" s="5">
        <f t="shared" si="187"/>
        <v>3.7153500000000004</v>
      </c>
      <c r="R152" s="5">
        <f t="shared" si="187"/>
        <v>4.6589999999999999E-2</v>
      </c>
      <c r="S152" s="5">
        <f t="shared" si="188"/>
        <v>2.4766523100000004</v>
      </c>
      <c r="T152" s="5">
        <f t="shared" si="189"/>
        <v>0.14859913860000001</v>
      </c>
      <c r="U152" s="5">
        <f t="shared" si="190"/>
        <v>0.33926743972602746</v>
      </c>
      <c r="V152" s="5">
        <f t="shared" si="183"/>
        <v>6.9658943982202973E-2</v>
      </c>
    </row>
    <row r="153" spans="2:22" x14ac:dyDescent="0.3">
      <c r="B153">
        <v>9</v>
      </c>
      <c r="C153">
        <v>1437.7</v>
      </c>
      <c r="D153">
        <v>30824.9</v>
      </c>
      <c r="E153">
        <v>5934.6</v>
      </c>
      <c r="F153">
        <f t="shared" si="180"/>
        <v>3.08249</v>
      </c>
      <c r="G153">
        <f t="shared" si="181"/>
        <v>0.14377000000000001</v>
      </c>
      <c r="H153">
        <f t="shared" si="182"/>
        <v>2.93872</v>
      </c>
      <c r="I153">
        <f t="shared" si="184"/>
        <v>0.59345999999999999</v>
      </c>
      <c r="K153" s="67"/>
      <c r="L153" s="5">
        <v>-95.1</v>
      </c>
      <c r="M153" s="5">
        <f t="shared" si="191"/>
        <v>3.1000000000000085</v>
      </c>
      <c r="N153" s="5">
        <f t="shared" si="185"/>
        <v>64.335352920706185</v>
      </c>
      <c r="O153" s="5">
        <f t="shared" si="186"/>
        <v>5.6140155606467401E-2</v>
      </c>
      <c r="P153" s="4">
        <v>8</v>
      </c>
      <c r="Q153" s="5">
        <f t="shared" si="187"/>
        <v>2.93872</v>
      </c>
      <c r="R153" s="5">
        <f t="shared" si="187"/>
        <v>0.59345999999999999</v>
      </c>
      <c r="S153" s="5">
        <f t="shared" si="188"/>
        <v>1.2243442200000001</v>
      </c>
      <c r="T153" s="5">
        <f t="shared" si="189"/>
        <v>7.3460653200000003E-2</v>
      </c>
      <c r="U153" s="5">
        <f t="shared" si="190"/>
        <v>0.16771838630136987</v>
      </c>
      <c r="V153" s="5">
        <f t="shared" si="183"/>
        <v>5.6140155606467401E-2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80"/>
        <v>0</v>
      </c>
      <c r="G154">
        <f t="shared" si="181"/>
        <v>0</v>
      </c>
      <c r="H154">
        <f t="shared" si="182"/>
        <v>0</v>
      </c>
      <c r="I154">
        <f t="shared" si="184"/>
        <v>0</v>
      </c>
      <c r="K154" s="67"/>
      <c r="L154" s="5">
        <v>-94.399999999999991</v>
      </c>
      <c r="M154" s="5">
        <f t="shared" si="191"/>
        <v>3.8000000000000114</v>
      </c>
      <c r="N154" s="5">
        <f t="shared" si="185"/>
        <v>76.025152245972833</v>
      </c>
      <c r="O154" s="5">
        <f t="shared" si="186"/>
        <v>4.0202993378190235E-2</v>
      </c>
      <c r="P154" s="4">
        <v>14</v>
      </c>
      <c r="Q154" s="5">
        <f t="shared" si="187"/>
        <v>0</v>
      </c>
      <c r="R154" s="5">
        <f t="shared" si="187"/>
        <v>0</v>
      </c>
      <c r="S154" s="5">
        <f t="shared" si="188"/>
        <v>0</v>
      </c>
      <c r="T154" s="5">
        <f t="shared" si="189"/>
        <v>0</v>
      </c>
      <c r="U154" s="5">
        <f t="shared" si="190"/>
        <v>0</v>
      </c>
      <c r="V154" s="5">
        <f t="shared" si="183"/>
        <v>4.0202993378190235E-2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80"/>
        <v>0</v>
      </c>
      <c r="G155">
        <f t="shared" si="181"/>
        <v>0</v>
      </c>
      <c r="H155">
        <f t="shared" si="182"/>
        <v>0</v>
      </c>
      <c r="I155">
        <f t="shared" si="184"/>
        <v>0</v>
      </c>
      <c r="K155" s="68"/>
      <c r="L155" s="6">
        <v>-93.3</v>
      </c>
      <c r="M155" s="6">
        <f t="shared" si="191"/>
        <v>4.9000000000000057</v>
      </c>
      <c r="N155" s="6">
        <f t="shared" si="185"/>
        <v>94.671337139281746</v>
      </c>
      <c r="O155" s="6">
        <f t="shared" si="186"/>
        <v>2.5926026770901511E-2</v>
      </c>
      <c r="P155" s="7">
        <v>21</v>
      </c>
      <c r="Q155" s="6">
        <f t="shared" si="187"/>
        <v>0</v>
      </c>
      <c r="R155" s="6">
        <f t="shared" si="187"/>
        <v>0</v>
      </c>
      <c r="S155" s="6">
        <f t="shared" si="188"/>
        <v>0</v>
      </c>
      <c r="T155" s="6">
        <f t="shared" si="189"/>
        <v>0</v>
      </c>
      <c r="U155" s="6">
        <f t="shared" si="190"/>
        <v>0</v>
      </c>
      <c r="V155" s="6">
        <f t="shared" si="183"/>
        <v>2.5926026770901511E-2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-152.4</v>
      </c>
      <c r="D159">
        <v>26841.1</v>
      </c>
      <c r="E159">
        <v>2070.3000000000002</v>
      </c>
      <c r="F159">
        <f t="shared" ref="F159:F169" si="192">D159/10000</f>
        <v>2.68411</v>
      </c>
      <c r="G159">
        <f t="shared" ref="G159:G169" si="193">C159/10000</f>
        <v>-1.524E-2</v>
      </c>
      <c r="H159">
        <f t="shared" ref="H159:H169" si="194">F159-G159</f>
        <v>2.6993499999999999</v>
      </c>
      <c r="I159">
        <f>E159/10000</f>
        <v>0.20703000000000002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0.39641840508011328</v>
      </c>
      <c r="P159" s="2">
        <v>3</v>
      </c>
      <c r="Q159" s="8">
        <f>H159</f>
        <v>2.6993499999999999</v>
      </c>
      <c r="R159" s="8">
        <f>I159</f>
        <v>0.20703000000000002</v>
      </c>
      <c r="S159" s="8">
        <f>Q159/10^6*$Z$4*$Z$3/P159*10^12</f>
        <v>2.9989778500000002</v>
      </c>
      <c r="T159" s="8">
        <f>S159*0.06</f>
        <v>0.17993867099999999</v>
      </c>
      <c r="U159" s="8">
        <f>S159/$Z$1</f>
        <v>0.41081888356164387</v>
      </c>
      <c r="V159" s="12">
        <f t="shared" ref="V159:V169" si="195">O159</f>
        <v>0.39641840508011328</v>
      </c>
    </row>
    <row r="160" spans="2:22" x14ac:dyDescent="0.3">
      <c r="B160">
        <v>2</v>
      </c>
      <c r="C160">
        <v>2470.9</v>
      </c>
      <c r="D160">
        <v>30238.3</v>
      </c>
      <c r="E160">
        <v>2307.9</v>
      </c>
      <c r="F160">
        <f t="shared" si="192"/>
        <v>3.0238299999999998</v>
      </c>
      <c r="G160">
        <f t="shared" si="193"/>
        <v>0.24709</v>
      </c>
      <c r="H160">
        <f t="shared" si="194"/>
        <v>2.7767399999999998</v>
      </c>
      <c r="I160">
        <f t="shared" ref="I160:I169" si="196">E160/10000</f>
        <v>0.23079000000000002</v>
      </c>
      <c r="K160" s="67"/>
      <c r="L160" s="3">
        <v>-98</v>
      </c>
      <c r="M160" s="5">
        <f>L160+98.2</f>
        <v>0.20000000000000284</v>
      </c>
      <c r="N160" s="5">
        <f t="shared" ref="N160:N169" si="197">20.56036*SQRT(1+((L160-(-98.58903))*1.03*1095.70644/(3.14159*20.56036^2))^2)</f>
        <v>22.992351577801337</v>
      </c>
      <c r="O160" s="5">
        <f t="shared" ref="O160:O169" si="198">2*$Z$1/$Z$2/PI()/(N160*10^-4)^2/$K$159/$Z$7</f>
        <v>0.35163831561970921</v>
      </c>
      <c r="P160" s="4">
        <v>3</v>
      </c>
      <c r="Q160" s="5">
        <f t="shared" ref="Q160:R169" si="199">H160</f>
        <v>2.7767399999999998</v>
      </c>
      <c r="R160" s="5">
        <f t="shared" si="199"/>
        <v>0.23079000000000002</v>
      </c>
      <c r="S160" s="5">
        <f t="shared" ref="S160:S169" si="200">Q160/10^6*$Z$4*$Z$3/P160*10^12</f>
        <v>3.0849581399999999</v>
      </c>
      <c r="T160" s="5">
        <f t="shared" ref="T160:T169" si="201">S160*0.06</f>
        <v>0.18509748839999998</v>
      </c>
      <c r="U160" s="5">
        <f t="shared" ref="U160:U169" si="202">S160/$Z$1</f>
        <v>0.42259700547945206</v>
      </c>
      <c r="V160" s="5">
        <f t="shared" si="195"/>
        <v>0.35163831561970921</v>
      </c>
    </row>
    <row r="161" spans="2:22" x14ac:dyDescent="0.3">
      <c r="B161">
        <v>3</v>
      </c>
      <c r="C161">
        <v>5597.4</v>
      </c>
      <c r="D161">
        <v>32578.9</v>
      </c>
      <c r="E161">
        <v>2718.4</v>
      </c>
      <c r="F161">
        <f t="shared" si="192"/>
        <v>3.2578900000000002</v>
      </c>
      <c r="G161">
        <f t="shared" si="193"/>
        <v>0.55974000000000002</v>
      </c>
      <c r="H161">
        <f t="shared" si="194"/>
        <v>2.69815</v>
      </c>
      <c r="I161">
        <f t="shared" si="196"/>
        <v>0.27184000000000003</v>
      </c>
      <c r="K161" s="67"/>
      <c r="L161" s="3">
        <v>-97.8</v>
      </c>
      <c r="M161" s="5">
        <f t="shared" ref="M161:M169" si="203">L161+98.2</f>
        <v>0.40000000000000568</v>
      </c>
      <c r="N161" s="5">
        <f t="shared" si="197"/>
        <v>24.754552179927092</v>
      </c>
      <c r="O161" s="5">
        <f t="shared" si="198"/>
        <v>0.30335616548294025</v>
      </c>
      <c r="P161" s="4">
        <v>3</v>
      </c>
      <c r="Q161" s="5">
        <f t="shared" si="199"/>
        <v>2.69815</v>
      </c>
      <c r="R161" s="5">
        <f t="shared" si="199"/>
        <v>0.27184000000000003</v>
      </c>
      <c r="S161" s="5">
        <f t="shared" si="200"/>
        <v>2.9976446499999998</v>
      </c>
      <c r="T161" s="5">
        <f t="shared" si="201"/>
        <v>0.17985867899999999</v>
      </c>
      <c r="U161" s="5">
        <f t="shared" si="202"/>
        <v>0.41063625342465754</v>
      </c>
      <c r="V161" s="5">
        <f t="shared" si="195"/>
        <v>0.30335616548294025</v>
      </c>
    </row>
    <row r="162" spans="2:22" x14ac:dyDescent="0.3">
      <c r="B162">
        <v>4</v>
      </c>
      <c r="C162">
        <v>7176.1</v>
      </c>
      <c r="D162">
        <v>32756.5</v>
      </c>
      <c r="E162">
        <v>4158.6000000000004</v>
      </c>
      <c r="F162">
        <f t="shared" si="192"/>
        <v>3.2756500000000002</v>
      </c>
      <c r="G162">
        <f t="shared" si="193"/>
        <v>0.71761000000000008</v>
      </c>
      <c r="H162">
        <f t="shared" si="194"/>
        <v>2.5580400000000001</v>
      </c>
      <c r="I162">
        <f t="shared" si="196"/>
        <v>0.41586000000000006</v>
      </c>
      <c r="K162" s="67"/>
      <c r="L162" s="3">
        <v>-97.2</v>
      </c>
      <c r="M162" s="5">
        <f t="shared" si="203"/>
        <v>1</v>
      </c>
      <c r="N162" s="5">
        <f t="shared" si="197"/>
        <v>31.807899949628325</v>
      </c>
      <c r="O162" s="5">
        <f t="shared" si="198"/>
        <v>0.18373546003780553</v>
      </c>
      <c r="P162" s="4">
        <v>3</v>
      </c>
      <c r="Q162" s="5">
        <f t="shared" si="199"/>
        <v>2.5580400000000001</v>
      </c>
      <c r="R162" s="5">
        <f t="shared" si="199"/>
        <v>0.41586000000000006</v>
      </c>
      <c r="S162" s="5">
        <f t="shared" si="200"/>
        <v>2.8419824400000007</v>
      </c>
      <c r="T162" s="5">
        <f t="shared" si="201"/>
        <v>0.17051894640000004</v>
      </c>
      <c r="U162" s="5">
        <f t="shared" si="202"/>
        <v>0.38931266301369871</v>
      </c>
      <c r="V162" s="5">
        <f t="shared" si="195"/>
        <v>0.18373546003780553</v>
      </c>
    </row>
    <row r="163" spans="2:22" x14ac:dyDescent="0.3">
      <c r="B163">
        <v>5</v>
      </c>
      <c r="C163">
        <v>7921.6</v>
      </c>
      <c r="D163">
        <v>36341.5</v>
      </c>
      <c r="E163">
        <v>4136.1000000000004</v>
      </c>
      <c r="F163">
        <f t="shared" si="192"/>
        <v>3.63415</v>
      </c>
      <c r="G163">
        <f t="shared" si="193"/>
        <v>0.79216000000000009</v>
      </c>
      <c r="H163">
        <f t="shared" si="194"/>
        <v>2.84199</v>
      </c>
      <c r="I163">
        <f t="shared" si="196"/>
        <v>0.41361000000000003</v>
      </c>
      <c r="K163" s="67"/>
      <c r="L163" s="3">
        <v>-96.8</v>
      </c>
      <c r="M163" s="5">
        <f t="shared" si="203"/>
        <v>1.4000000000000057</v>
      </c>
      <c r="N163" s="5">
        <f t="shared" si="197"/>
        <v>37.414240753916886</v>
      </c>
      <c r="O163" s="5">
        <f t="shared" si="198"/>
        <v>0.13279725603283063</v>
      </c>
      <c r="P163" s="4">
        <v>3</v>
      </c>
      <c r="Q163" s="5">
        <f t="shared" si="199"/>
        <v>2.84199</v>
      </c>
      <c r="R163" s="5">
        <f t="shared" si="199"/>
        <v>0.41361000000000003</v>
      </c>
      <c r="S163" s="5">
        <f t="shared" si="200"/>
        <v>3.1574508900000007</v>
      </c>
      <c r="T163" s="5">
        <f t="shared" si="201"/>
        <v>0.18944705340000004</v>
      </c>
      <c r="U163" s="5">
        <f t="shared" si="202"/>
        <v>0.4325275191780823</v>
      </c>
      <c r="V163" s="5">
        <f t="shared" si="195"/>
        <v>0.13279725603283063</v>
      </c>
    </row>
    <row r="164" spans="2:22" x14ac:dyDescent="0.3">
      <c r="B164">
        <v>6</v>
      </c>
      <c r="C164">
        <v>9276</v>
      </c>
      <c r="D164">
        <v>54039.4</v>
      </c>
      <c r="E164">
        <v>1227.9000000000001</v>
      </c>
      <c r="F164">
        <f t="shared" si="192"/>
        <v>5.4039400000000004</v>
      </c>
      <c r="G164">
        <f t="shared" si="193"/>
        <v>0.92759999999999998</v>
      </c>
      <c r="H164">
        <f t="shared" si="194"/>
        <v>4.4763400000000004</v>
      </c>
      <c r="I164">
        <f t="shared" si="196"/>
        <v>0.12279000000000001</v>
      </c>
      <c r="K164" s="67"/>
      <c r="L164" s="3">
        <v>-96.3</v>
      </c>
      <c r="M164" s="5">
        <f t="shared" si="203"/>
        <v>1.9000000000000057</v>
      </c>
      <c r="N164" s="5">
        <f t="shared" si="197"/>
        <v>44.970060517830404</v>
      </c>
      <c r="O164" s="5">
        <f t="shared" si="198"/>
        <v>9.1921273043951326E-2</v>
      </c>
      <c r="P164" s="4">
        <v>4</v>
      </c>
      <c r="Q164" s="5">
        <f t="shared" si="199"/>
        <v>4.4763400000000004</v>
      </c>
      <c r="R164" s="5">
        <f t="shared" si="199"/>
        <v>0.12279000000000001</v>
      </c>
      <c r="S164" s="5">
        <f t="shared" si="200"/>
        <v>3.7299103050000002</v>
      </c>
      <c r="T164" s="5">
        <f t="shared" si="201"/>
        <v>0.2237946183</v>
      </c>
      <c r="U164" s="5">
        <f t="shared" si="202"/>
        <v>0.51094661712328771</v>
      </c>
      <c r="V164" s="5">
        <f t="shared" si="195"/>
        <v>9.1921273043951326E-2</v>
      </c>
    </row>
    <row r="165" spans="2:22" x14ac:dyDescent="0.3">
      <c r="B165">
        <v>7</v>
      </c>
      <c r="C165">
        <v>6162.1</v>
      </c>
      <c r="D165">
        <v>35527.1</v>
      </c>
      <c r="E165">
        <v>1159.2</v>
      </c>
      <c r="F165">
        <f t="shared" si="192"/>
        <v>3.5527099999999998</v>
      </c>
      <c r="G165">
        <f t="shared" si="193"/>
        <v>0.61621000000000004</v>
      </c>
      <c r="H165">
        <f t="shared" si="194"/>
        <v>2.9364999999999997</v>
      </c>
      <c r="I165">
        <f t="shared" si="196"/>
        <v>0.11592000000000001</v>
      </c>
      <c r="K165" s="67"/>
      <c r="L165" s="3">
        <v>-95.8</v>
      </c>
      <c r="M165" s="5">
        <f t="shared" si="203"/>
        <v>2.4000000000000057</v>
      </c>
      <c r="N165" s="5">
        <f t="shared" si="197"/>
        <v>52.890724234957723</v>
      </c>
      <c r="O165" s="5">
        <f t="shared" si="198"/>
        <v>6.645137116820346E-2</v>
      </c>
      <c r="P165" s="4">
        <v>4</v>
      </c>
      <c r="Q165" s="5">
        <f t="shared" si="199"/>
        <v>2.9364999999999997</v>
      </c>
      <c r="R165" s="5">
        <f t="shared" si="199"/>
        <v>0.11592000000000001</v>
      </c>
      <c r="S165" s="5">
        <f t="shared" si="200"/>
        <v>2.4468386249999998</v>
      </c>
      <c r="T165" s="5">
        <f t="shared" si="201"/>
        <v>0.14681031749999998</v>
      </c>
      <c r="U165" s="5">
        <f t="shared" si="202"/>
        <v>0.33518337328767123</v>
      </c>
      <c r="V165" s="5">
        <f t="shared" si="195"/>
        <v>6.645137116820346E-2</v>
      </c>
    </row>
    <row r="166" spans="2:22" x14ac:dyDescent="0.3">
      <c r="B166">
        <v>8</v>
      </c>
      <c r="C166">
        <v>7092.2</v>
      </c>
      <c r="D166">
        <v>30604.5</v>
      </c>
      <c r="E166">
        <v>805.5</v>
      </c>
      <c r="F166">
        <f t="shared" si="192"/>
        <v>3.0604499999999999</v>
      </c>
      <c r="G166">
        <f t="shared" si="193"/>
        <v>0.70921999999999996</v>
      </c>
      <c r="H166">
        <f t="shared" si="194"/>
        <v>2.3512300000000002</v>
      </c>
      <c r="I166">
        <f t="shared" si="196"/>
        <v>8.0549999999999997E-2</v>
      </c>
      <c r="K166" s="67"/>
      <c r="L166" s="3">
        <v>-95.5</v>
      </c>
      <c r="M166" s="5">
        <f t="shared" si="203"/>
        <v>2.7000000000000028</v>
      </c>
      <c r="N166" s="5">
        <f t="shared" si="197"/>
        <v>57.756125383651771</v>
      </c>
      <c r="O166" s="5">
        <f t="shared" si="198"/>
        <v>5.5727155185762378E-2</v>
      </c>
      <c r="P166" s="4">
        <v>5</v>
      </c>
      <c r="Q166" s="5">
        <f t="shared" si="199"/>
        <v>2.3512300000000002</v>
      </c>
      <c r="R166" s="5">
        <f t="shared" si="199"/>
        <v>8.0549999999999997E-2</v>
      </c>
      <c r="S166" s="5">
        <f t="shared" si="200"/>
        <v>1.5673299180000002</v>
      </c>
      <c r="T166" s="5">
        <f t="shared" si="201"/>
        <v>9.4039795080000016E-2</v>
      </c>
      <c r="U166" s="5">
        <f t="shared" si="202"/>
        <v>0.21470272849315072</v>
      </c>
      <c r="V166" s="5">
        <f t="shared" si="195"/>
        <v>5.5727155185762378E-2</v>
      </c>
    </row>
    <row r="167" spans="2:22" x14ac:dyDescent="0.3">
      <c r="B167">
        <v>9</v>
      </c>
      <c r="C167">
        <v>6330.4</v>
      </c>
      <c r="D167">
        <v>8756.2999999999993</v>
      </c>
      <c r="E167">
        <v>1101.0999999999999</v>
      </c>
      <c r="F167">
        <f t="shared" si="192"/>
        <v>0.87562999999999991</v>
      </c>
      <c r="G167">
        <f t="shared" si="193"/>
        <v>0.63303999999999994</v>
      </c>
      <c r="H167">
        <f t="shared" si="194"/>
        <v>0.24258999999999997</v>
      </c>
      <c r="I167">
        <f t="shared" si="196"/>
        <v>0.11010999999999999</v>
      </c>
      <c r="K167" s="67"/>
      <c r="L167" s="5">
        <v>-95.1</v>
      </c>
      <c r="M167" s="5">
        <f t="shared" si="203"/>
        <v>3.1000000000000085</v>
      </c>
      <c r="N167" s="5">
        <f t="shared" si="197"/>
        <v>64.335352920706185</v>
      </c>
      <c r="O167" s="5">
        <f t="shared" si="198"/>
        <v>4.491212448517392E-2</v>
      </c>
      <c r="P167" s="4">
        <v>8</v>
      </c>
      <c r="Q167" s="5">
        <f t="shared" si="199"/>
        <v>0.24258999999999997</v>
      </c>
      <c r="R167" s="5">
        <f t="shared" si="199"/>
        <v>0.11010999999999999</v>
      </c>
      <c r="S167" s="5">
        <f t="shared" si="200"/>
        <v>0.10106905874999997</v>
      </c>
      <c r="T167" s="5">
        <f t="shared" si="201"/>
        <v>6.0641435249999976E-3</v>
      </c>
      <c r="U167" s="5">
        <f t="shared" si="202"/>
        <v>1.3845076541095886E-2</v>
      </c>
      <c r="V167" s="5">
        <f t="shared" si="195"/>
        <v>4.491212448517392E-2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92"/>
        <v>0</v>
      </c>
      <c r="G168">
        <f t="shared" si="193"/>
        <v>0</v>
      </c>
      <c r="H168">
        <f t="shared" si="194"/>
        <v>0</v>
      </c>
      <c r="I168">
        <f t="shared" si="196"/>
        <v>0</v>
      </c>
      <c r="K168" s="67"/>
      <c r="L168" s="5">
        <v>-94.399999999999991</v>
      </c>
      <c r="M168" s="5">
        <f t="shared" si="203"/>
        <v>3.8000000000000114</v>
      </c>
      <c r="N168" s="5">
        <f t="shared" si="197"/>
        <v>76.025152245972833</v>
      </c>
      <c r="O168" s="5">
        <f t="shared" si="198"/>
        <v>3.2162394702552187E-2</v>
      </c>
      <c r="P168" s="4">
        <v>14</v>
      </c>
      <c r="Q168" s="5">
        <f t="shared" si="199"/>
        <v>0</v>
      </c>
      <c r="R168" s="5">
        <f t="shared" si="199"/>
        <v>0</v>
      </c>
      <c r="S168" s="5">
        <f t="shared" si="200"/>
        <v>0</v>
      </c>
      <c r="T168" s="5">
        <f t="shared" si="201"/>
        <v>0</v>
      </c>
      <c r="U168" s="5">
        <f t="shared" si="202"/>
        <v>0</v>
      </c>
      <c r="V168" s="5">
        <f t="shared" si="195"/>
        <v>3.2162394702552187E-2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92"/>
        <v>0</v>
      </c>
      <c r="G169">
        <f t="shared" si="193"/>
        <v>0</v>
      </c>
      <c r="H169">
        <f t="shared" si="194"/>
        <v>0</v>
      </c>
      <c r="I169">
        <f t="shared" si="196"/>
        <v>0</v>
      </c>
      <c r="K169" s="68"/>
      <c r="L169" s="6">
        <v>-93.3</v>
      </c>
      <c r="M169" s="6">
        <f t="shared" si="203"/>
        <v>4.9000000000000057</v>
      </c>
      <c r="N169" s="6">
        <f t="shared" si="197"/>
        <v>94.671337139281746</v>
      </c>
      <c r="O169" s="6">
        <f t="shared" si="198"/>
        <v>2.0740821416721209E-2</v>
      </c>
      <c r="P169" s="7">
        <v>21</v>
      </c>
      <c r="Q169" s="6">
        <f t="shared" si="199"/>
        <v>0</v>
      </c>
      <c r="R169" s="6">
        <f t="shared" si="199"/>
        <v>0</v>
      </c>
      <c r="S169" s="6">
        <f t="shared" si="200"/>
        <v>0</v>
      </c>
      <c r="T169" s="6">
        <f t="shared" si="201"/>
        <v>0</v>
      </c>
      <c r="U169" s="6">
        <f t="shared" si="202"/>
        <v>0</v>
      </c>
      <c r="V169" s="6">
        <f t="shared" si="195"/>
        <v>2.0740821416721209E-2</v>
      </c>
    </row>
    <row r="170" spans="2:22" ht="15" thickTop="1" x14ac:dyDescent="0.3"/>
  </sheetData>
  <mergeCells count="13">
    <mergeCell ref="Y27:AJ27"/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Q170"/>
  <sheetViews>
    <sheetView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-22.2</v>
      </c>
      <c r="D5">
        <v>69456.5</v>
      </c>
      <c r="E5">
        <v>3164.2</v>
      </c>
      <c r="F5">
        <f t="shared" ref="F5:F15" si="0">D5/10000</f>
        <v>6.9456499999999997</v>
      </c>
      <c r="G5">
        <f t="shared" ref="G5:G15" si="1">C5/10000</f>
        <v>-2.2199999999999998E-3</v>
      </c>
      <c r="H5">
        <f t="shared" ref="H5:H15" si="2">F5-G5</f>
        <v>6.94787</v>
      </c>
      <c r="I5">
        <f>E5/10000</f>
        <v>0.31641999999999998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2.477615031750708</v>
      </c>
      <c r="P5" s="2">
        <v>3</v>
      </c>
      <c r="Q5" s="8">
        <f>H5</f>
        <v>6.94787</v>
      </c>
      <c r="R5" s="8">
        <f>I5</f>
        <v>0.31641999999999998</v>
      </c>
      <c r="S5" s="8">
        <f>Q5/10^6*$Z$4*$Z$3/P5*10^12</f>
        <v>7.7190835700000004</v>
      </c>
      <c r="T5" s="8">
        <f>S5*0.06</f>
        <v>0.46314501419999998</v>
      </c>
      <c r="U5" s="8">
        <f>S5/$Z$1</f>
        <v>1.0574087082191781</v>
      </c>
      <c r="V5" s="12">
        <f t="shared" ref="V5:V15" si="4">O5</f>
        <v>2.477615031750708</v>
      </c>
    </row>
    <row r="6" spans="2:95" x14ac:dyDescent="0.3">
      <c r="B6">
        <v>2</v>
      </c>
      <c r="C6">
        <v>1019.1</v>
      </c>
      <c r="D6">
        <v>70650.399999999994</v>
      </c>
      <c r="E6">
        <v>3335.4</v>
      </c>
      <c r="F6">
        <f t="shared" si="0"/>
        <v>7.0650399999999998</v>
      </c>
      <c r="G6">
        <f t="shared" si="1"/>
        <v>0.10191</v>
      </c>
      <c r="H6">
        <f t="shared" si="2"/>
        <v>6.9631299999999996</v>
      </c>
      <c r="I6">
        <f t="shared" ref="I6:I15" si="5">E6/10000</f>
        <v>0.33354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2.1977394726231827</v>
      </c>
      <c r="P6" s="4">
        <v>3</v>
      </c>
      <c r="Q6" s="5">
        <f t="shared" ref="Q6:R15" si="7">H6</f>
        <v>6.9631299999999996</v>
      </c>
      <c r="R6" s="5">
        <f t="shared" si="7"/>
        <v>0.33354</v>
      </c>
      <c r="S6" s="5">
        <f t="shared" ref="S6:S15" si="8">Q6/10^6*$Z$4*$Z$3/P6*10^12</f>
        <v>7.7360374300000014</v>
      </c>
      <c r="T6" s="5">
        <f t="shared" ref="T6:T15" si="9">S6*0.06</f>
        <v>0.4641622458000001</v>
      </c>
      <c r="U6" s="5">
        <f t="shared" ref="U6:U15" si="10">S6/$Z$1</f>
        <v>1.0597311547945207</v>
      </c>
      <c r="V6" s="5">
        <f t="shared" si="4"/>
        <v>2.1977394726231827</v>
      </c>
    </row>
    <row r="7" spans="2:95" x14ac:dyDescent="0.3">
      <c r="B7">
        <v>3</v>
      </c>
      <c r="C7">
        <v>4010.3</v>
      </c>
      <c r="D7">
        <v>70807.600000000006</v>
      </c>
      <c r="E7">
        <v>2555</v>
      </c>
      <c r="F7">
        <f t="shared" si="0"/>
        <v>7.0807600000000006</v>
      </c>
      <c r="G7">
        <f t="shared" si="1"/>
        <v>0.40103</v>
      </c>
      <c r="H7">
        <f t="shared" si="2"/>
        <v>6.6797300000000011</v>
      </c>
      <c r="I7">
        <f t="shared" si="5"/>
        <v>0.2555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1.8959760342683765</v>
      </c>
      <c r="P7" s="4">
        <v>3</v>
      </c>
      <c r="Q7" s="5">
        <f t="shared" si="7"/>
        <v>6.6797300000000011</v>
      </c>
      <c r="R7" s="5">
        <f t="shared" si="7"/>
        <v>0.2555</v>
      </c>
      <c r="S7" s="5">
        <f t="shared" si="8"/>
        <v>7.4211800300000004</v>
      </c>
      <c r="T7" s="5">
        <f t="shared" si="9"/>
        <v>0.4452708018</v>
      </c>
      <c r="U7" s="5">
        <f t="shared" si="10"/>
        <v>1.0166000041095891</v>
      </c>
      <c r="V7" s="5">
        <f t="shared" si="4"/>
        <v>1.8959760342683765</v>
      </c>
      <c r="Y7" t="s">
        <v>41</v>
      </c>
      <c r="Z7">
        <v>2</v>
      </c>
    </row>
    <row r="8" spans="2:95" x14ac:dyDescent="0.3">
      <c r="B8">
        <v>4</v>
      </c>
      <c r="C8">
        <v>11528.5</v>
      </c>
      <c r="D8">
        <v>65993</v>
      </c>
      <c r="E8">
        <v>2241.3000000000002</v>
      </c>
      <c r="F8">
        <f t="shared" si="0"/>
        <v>6.5993000000000004</v>
      </c>
      <c r="G8">
        <f t="shared" si="1"/>
        <v>1.1528499999999999</v>
      </c>
      <c r="H8">
        <f t="shared" si="2"/>
        <v>5.4464500000000005</v>
      </c>
      <c r="I8">
        <f t="shared" si="5"/>
        <v>0.22413000000000002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1.1483466252362846</v>
      </c>
      <c r="P8" s="4">
        <v>3</v>
      </c>
      <c r="Q8" s="5">
        <f t="shared" si="7"/>
        <v>5.4464500000000005</v>
      </c>
      <c r="R8" s="5">
        <f t="shared" si="7"/>
        <v>0.22413000000000002</v>
      </c>
      <c r="S8" s="5">
        <f t="shared" si="8"/>
        <v>6.0510059500000013</v>
      </c>
      <c r="T8" s="5">
        <f t="shared" si="9"/>
        <v>0.36306035700000006</v>
      </c>
      <c r="U8" s="5">
        <f t="shared" si="10"/>
        <v>0.8289049246575344</v>
      </c>
      <c r="V8" s="5">
        <f t="shared" si="4"/>
        <v>1.1483466252362846</v>
      </c>
    </row>
    <row r="9" spans="2:95" x14ac:dyDescent="0.3">
      <c r="B9">
        <v>5</v>
      </c>
      <c r="C9">
        <v>15096.5</v>
      </c>
      <c r="D9">
        <v>60431.1</v>
      </c>
      <c r="E9">
        <v>4443.3</v>
      </c>
      <c r="F9">
        <f t="shared" si="0"/>
        <v>6.0431099999999995</v>
      </c>
      <c r="G9">
        <f t="shared" si="1"/>
        <v>1.5096499999999999</v>
      </c>
      <c r="H9">
        <f t="shared" si="2"/>
        <v>4.5334599999999998</v>
      </c>
      <c r="I9">
        <f t="shared" si="5"/>
        <v>0.44433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0.82998285020519136</v>
      </c>
      <c r="P9" s="4">
        <v>3</v>
      </c>
      <c r="Q9" s="5">
        <f t="shared" si="7"/>
        <v>4.5334599999999998</v>
      </c>
      <c r="R9" s="5">
        <f t="shared" si="7"/>
        <v>0.44433</v>
      </c>
      <c r="S9" s="5">
        <f t="shared" si="8"/>
        <v>5.0366740600000002</v>
      </c>
      <c r="T9" s="5">
        <f t="shared" si="9"/>
        <v>0.30220044359999998</v>
      </c>
      <c r="U9" s="5">
        <f t="shared" si="10"/>
        <v>0.68995535068493152</v>
      </c>
      <c r="V9" s="5">
        <f t="shared" si="4"/>
        <v>0.82998285020519136</v>
      </c>
    </row>
    <row r="10" spans="2:95" ht="15" thickBot="1" x14ac:dyDescent="0.35">
      <c r="B10">
        <v>6</v>
      </c>
      <c r="C10">
        <v>12797.5</v>
      </c>
      <c r="D10">
        <v>69179</v>
      </c>
      <c r="E10">
        <v>868.8</v>
      </c>
      <c r="F10">
        <f t="shared" si="0"/>
        <v>6.9179000000000004</v>
      </c>
      <c r="G10">
        <f t="shared" si="1"/>
        <v>1.2797499999999999</v>
      </c>
      <c r="H10">
        <f t="shared" si="2"/>
        <v>5.6381500000000004</v>
      </c>
      <c r="I10">
        <f t="shared" si="5"/>
        <v>8.6879999999999999E-2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0.57450795652469577</v>
      </c>
      <c r="P10" s="4">
        <v>4</v>
      </c>
      <c r="Q10" s="5">
        <f t="shared" si="7"/>
        <v>5.6381500000000004</v>
      </c>
      <c r="R10" s="5">
        <f t="shared" si="7"/>
        <v>8.6879999999999999E-2</v>
      </c>
      <c r="S10" s="5">
        <f t="shared" si="8"/>
        <v>4.6979884875000009</v>
      </c>
      <c r="T10" s="5">
        <f t="shared" si="9"/>
        <v>0.28187930925000004</v>
      </c>
      <c r="U10" s="5">
        <f t="shared" si="10"/>
        <v>0.643560066780822</v>
      </c>
      <c r="V10" s="5">
        <f t="shared" si="4"/>
        <v>0.57450795652469577</v>
      </c>
    </row>
    <row r="11" spans="2:95" ht="15.6" thickTop="1" thickBot="1" x14ac:dyDescent="0.35">
      <c r="B11">
        <v>7</v>
      </c>
      <c r="C11">
        <v>13440.7</v>
      </c>
      <c r="D11">
        <v>62480.4</v>
      </c>
      <c r="E11">
        <v>1405</v>
      </c>
      <c r="F11">
        <f t="shared" si="0"/>
        <v>6.2480400000000005</v>
      </c>
      <c r="G11">
        <f t="shared" si="1"/>
        <v>1.3440700000000001</v>
      </c>
      <c r="H11">
        <f t="shared" si="2"/>
        <v>4.9039700000000002</v>
      </c>
      <c r="I11">
        <f t="shared" si="5"/>
        <v>0.14050000000000001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0.41532106980127165</v>
      </c>
      <c r="P11" s="4">
        <v>4</v>
      </c>
      <c r="Q11" s="5">
        <f t="shared" si="7"/>
        <v>4.9039700000000002</v>
      </c>
      <c r="R11" s="5">
        <f t="shared" si="7"/>
        <v>0.14050000000000001</v>
      </c>
      <c r="S11" s="5">
        <f t="shared" si="8"/>
        <v>4.0862330025000002</v>
      </c>
      <c r="T11" s="5">
        <f t="shared" si="9"/>
        <v>0.24517398015</v>
      </c>
      <c r="U11" s="5">
        <f t="shared" si="10"/>
        <v>0.55975794554794522</v>
      </c>
      <c r="V11" s="5">
        <f t="shared" si="4"/>
        <v>0.41532106980127165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17456.7</v>
      </c>
      <c r="D12">
        <v>66086.7</v>
      </c>
      <c r="E12">
        <v>1656.4</v>
      </c>
      <c r="F12">
        <f t="shared" si="0"/>
        <v>6.60867</v>
      </c>
      <c r="G12">
        <f t="shared" si="1"/>
        <v>1.7456700000000001</v>
      </c>
      <c r="H12">
        <f t="shared" si="2"/>
        <v>4.8629999999999995</v>
      </c>
      <c r="I12">
        <f t="shared" si="5"/>
        <v>0.16564000000000001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0.34829471991101485</v>
      </c>
      <c r="P12" s="4">
        <v>5</v>
      </c>
      <c r="Q12" s="5">
        <f t="shared" si="7"/>
        <v>4.8629999999999995</v>
      </c>
      <c r="R12" s="5">
        <f t="shared" si="7"/>
        <v>0.16564000000000001</v>
      </c>
      <c r="S12" s="5">
        <f t="shared" si="8"/>
        <v>3.2416757999999999</v>
      </c>
      <c r="T12" s="5">
        <f t="shared" si="9"/>
        <v>0.194500548</v>
      </c>
      <c r="U12" s="5">
        <f t="shared" si="10"/>
        <v>0.44406517808219176</v>
      </c>
      <c r="V12" s="5">
        <f t="shared" si="4"/>
        <v>0.34829471991101485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13744.9</v>
      </c>
      <c r="D13">
        <v>86083.3</v>
      </c>
      <c r="E13">
        <v>2938</v>
      </c>
      <c r="F13">
        <f t="shared" si="0"/>
        <v>8.6083300000000005</v>
      </c>
      <c r="G13">
        <f t="shared" si="1"/>
        <v>1.37449</v>
      </c>
      <c r="H13">
        <f t="shared" si="2"/>
        <v>7.2338400000000007</v>
      </c>
      <c r="I13">
        <f t="shared" si="5"/>
        <v>0.29380000000000001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0.28070077803233701</v>
      </c>
      <c r="P13" s="4">
        <v>8</v>
      </c>
      <c r="Q13" s="5">
        <f t="shared" si="7"/>
        <v>7.2338400000000007</v>
      </c>
      <c r="R13" s="5">
        <f t="shared" si="7"/>
        <v>0.29380000000000001</v>
      </c>
      <c r="S13" s="5">
        <f t="shared" si="8"/>
        <v>3.0137985900000004</v>
      </c>
      <c r="T13" s="5">
        <f t="shared" si="9"/>
        <v>0.18082791540000001</v>
      </c>
      <c r="U13" s="5">
        <f t="shared" si="10"/>
        <v>0.41284912191780826</v>
      </c>
      <c r="V13" s="5">
        <f t="shared" si="4"/>
        <v>0.28070077803233701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8932.9</v>
      </c>
      <c r="D14">
        <v>91495.1</v>
      </c>
      <c r="E14">
        <v>5750.6</v>
      </c>
      <c r="F14">
        <f t="shared" si="0"/>
        <v>9.1495100000000011</v>
      </c>
      <c r="G14">
        <f t="shared" si="1"/>
        <v>0.89328999999999992</v>
      </c>
      <c r="H14">
        <f t="shared" si="2"/>
        <v>8.2562200000000008</v>
      </c>
      <c r="I14">
        <f t="shared" si="5"/>
        <v>0.57506000000000002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0.20101496689095116</v>
      </c>
      <c r="P14" s="4">
        <v>14</v>
      </c>
      <c r="Q14" s="5">
        <f t="shared" si="7"/>
        <v>8.2562200000000008</v>
      </c>
      <c r="R14" s="5">
        <f t="shared" si="7"/>
        <v>0.57506000000000002</v>
      </c>
      <c r="S14" s="5">
        <f t="shared" si="8"/>
        <v>1.9655700900000004</v>
      </c>
      <c r="T14" s="5">
        <f t="shared" si="9"/>
        <v>0.11793420540000002</v>
      </c>
      <c r="U14" s="5">
        <f t="shared" si="10"/>
        <v>0.26925617671232882</v>
      </c>
      <c r="V14" s="5">
        <f t="shared" si="4"/>
        <v>0.20101496689095116</v>
      </c>
      <c r="X14" s="31">
        <f t="shared" ref="X14:X23" si="12">O5</f>
        <v>2.477615031750708</v>
      </c>
      <c r="Y14" s="32">
        <f t="shared" ref="Y14:AA23" si="13">S5</f>
        <v>7.7190835700000004</v>
      </c>
      <c r="Z14" s="32">
        <f t="shared" si="13"/>
        <v>0.46314501419999998</v>
      </c>
      <c r="AA14" s="32">
        <f t="shared" si="13"/>
        <v>1.0574087082191781</v>
      </c>
      <c r="AB14" s="41">
        <f>I5/H5</f>
        <v>4.5542015034823621E-2</v>
      </c>
      <c r="AC14" s="33">
        <f t="shared" ref="AC14:AC23" si="14">R5</f>
        <v>0.31641999999999998</v>
      </c>
      <c r="AD14" s="31">
        <f t="shared" ref="AD14:AD23" si="15">O19</f>
        <v>1.651743354500472</v>
      </c>
      <c r="AE14" s="32">
        <f t="shared" ref="AE14:AG23" si="16">S19</f>
        <v>6.3999488300000005</v>
      </c>
      <c r="AF14" s="32">
        <f t="shared" si="16"/>
        <v>0.3839969298</v>
      </c>
      <c r="AG14" s="32">
        <f t="shared" si="16"/>
        <v>0.87670531917808225</v>
      </c>
      <c r="AH14" s="41">
        <f>I19/H19</f>
        <v>5.292047780325769E-2</v>
      </c>
      <c r="AI14" s="33">
        <f>R19</f>
        <v>0.30485000000000001</v>
      </c>
      <c r="AJ14" s="31">
        <f t="shared" ref="AJ14:AJ23" si="17">O33</f>
        <v>1.238807515875354</v>
      </c>
      <c r="AK14" s="32">
        <f t="shared" ref="AK14:AM23" si="18">S33</f>
        <v>5.1296869800000007</v>
      </c>
      <c r="AL14" s="32">
        <f t="shared" si="18"/>
        <v>0.30778121880000003</v>
      </c>
      <c r="AM14" s="32">
        <f t="shared" si="18"/>
        <v>0.70269684657534259</v>
      </c>
      <c r="AN14" s="41">
        <f>I33/H33</f>
        <v>5.9562330253531366E-2</v>
      </c>
      <c r="AO14" s="33">
        <f>R33</f>
        <v>0.27500999999999998</v>
      </c>
      <c r="AP14" s="31">
        <f t="shared" ref="AP14:AP22" si="19">O47</f>
        <v>0.99104601270028314</v>
      </c>
      <c r="AQ14" s="32">
        <f t="shared" ref="AQ14:AS22" si="20">S47</f>
        <v>5.1903586900000001</v>
      </c>
      <c r="AR14" s="32">
        <f t="shared" si="20"/>
        <v>0.31142152140000001</v>
      </c>
      <c r="AS14" s="32">
        <f t="shared" si="20"/>
        <v>0.71100803972602744</v>
      </c>
      <c r="AT14" s="41">
        <f>I47/H47</f>
        <v>7.4018737999781675E-2</v>
      </c>
      <c r="AU14" s="33">
        <f>R47</f>
        <v>0.3458</v>
      </c>
      <c r="AV14" s="31">
        <f t="shared" ref="AV14:AV22" si="21">O61</f>
        <v>0.82587167725023602</v>
      </c>
      <c r="AW14" s="32">
        <f t="shared" ref="AW14:AY22" si="22">S61</f>
        <v>3.8989767300000002</v>
      </c>
      <c r="AX14" s="32">
        <f t="shared" si="22"/>
        <v>0.23393860380000001</v>
      </c>
      <c r="AY14" s="32">
        <f t="shared" si="22"/>
        <v>0.53410640136986309</v>
      </c>
      <c r="AZ14" s="41">
        <f>I61/H61</f>
        <v>6.7683355986584717E-2</v>
      </c>
      <c r="BA14" s="33">
        <f>R61</f>
        <v>0.23753000000000002</v>
      </c>
      <c r="BB14" s="31">
        <f t="shared" ref="BB14:BB22" si="23">O75</f>
        <v>0.7078900090716308</v>
      </c>
      <c r="BC14" s="32">
        <f t="shared" ref="BC14:BE22" si="24">S75</f>
        <v>3.5061715699999993</v>
      </c>
      <c r="BD14" s="32">
        <f t="shared" si="24"/>
        <v>0.21037029419999995</v>
      </c>
      <c r="BE14" s="32">
        <f t="shared" si="24"/>
        <v>0.4802974753424657</v>
      </c>
      <c r="BF14" s="41">
        <f>I75/H75</f>
        <v>8.461692021534474E-2</v>
      </c>
      <c r="BG14" s="33">
        <f>R75</f>
        <v>0.26704</v>
      </c>
      <c r="BH14" s="31">
        <f t="shared" ref="BH14:BH21" si="25">O89</f>
        <v>0.61940375793767699</v>
      </c>
      <c r="BI14" s="32">
        <f t="shared" ref="BI14:BK21" si="26">S89</f>
        <v>3.1119887700000004</v>
      </c>
      <c r="BJ14" s="32">
        <f t="shared" si="26"/>
        <v>0.18671932620000001</v>
      </c>
      <c r="BK14" s="32">
        <f t="shared" si="26"/>
        <v>0.42629983150684936</v>
      </c>
      <c r="BL14" s="41">
        <f>I89/H89</f>
        <v>9.5231465118686784E-2</v>
      </c>
      <c r="BM14" s="33">
        <f>R89</f>
        <v>0.26674999999999999</v>
      </c>
      <c r="BN14" s="31">
        <f t="shared" ref="BN14:BN21" si="27">O103</f>
        <v>0.55058111816682398</v>
      </c>
      <c r="BO14" s="32">
        <f t="shared" ref="BO14:BQ21" si="28">S103</f>
        <v>3.0063548899999994</v>
      </c>
      <c r="BP14" s="32">
        <f t="shared" si="28"/>
        <v>0.18038129339999995</v>
      </c>
      <c r="BQ14" s="32">
        <f t="shared" si="28"/>
        <v>0.41182943698630131</v>
      </c>
      <c r="BR14" s="41">
        <f>I103/H103</f>
        <v>9.7413515940561496E-2</v>
      </c>
      <c r="BS14" s="33">
        <f>R103</f>
        <v>0.2636</v>
      </c>
      <c r="BT14" s="31">
        <f t="shared" ref="BT14:BT21" si="29">O117</f>
        <v>0.49552300635014157</v>
      </c>
      <c r="BU14" s="32">
        <f t="shared" ref="BU14:BW21" si="30">S117</f>
        <v>3.4346342799999996</v>
      </c>
      <c r="BV14" s="32">
        <f t="shared" si="30"/>
        <v>0.20607805679999996</v>
      </c>
      <c r="BW14" s="32">
        <f t="shared" si="30"/>
        <v>0.47049784657534244</v>
      </c>
      <c r="BX14" s="41">
        <f>I117/H117</f>
        <v>7.9026873859769434E-2</v>
      </c>
      <c r="BY14" s="33">
        <f>R117</f>
        <v>0.24431</v>
      </c>
      <c r="BZ14" s="31">
        <f t="shared" ref="BZ14:BZ20" si="31">O131</f>
        <v>0.3303486709000944</v>
      </c>
      <c r="CA14" s="32">
        <f t="shared" ref="CA14:CC20" si="32">S131</f>
        <v>3.8464042100000007</v>
      </c>
      <c r="CB14" s="32">
        <f t="shared" si="32"/>
        <v>0.23078425260000002</v>
      </c>
      <c r="CC14" s="32">
        <f t="shared" si="32"/>
        <v>0.52690468630137</v>
      </c>
      <c r="CD14" s="41">
        <f>I131/H131</f>
        <v>8.6522380860226844E-2</v>
      </c>
      <c r="CE14" s="33">
        <f>R131</f>
        <v>0.29954999999999998</v>
      </c>
      <c r="CF14" s="31">
        <f t="shared" ref="CF14:CF20" si="33">O145</f>
        <v>0.24776150317507079</v>
      </c>
      <c r="CG14" s="32">
        <f t="shared" ref="CG14:CI20" si="34">S145</f>
        <v>4.2437089200000004</v>
      </c>
      <c r="CH14" s="32">
        <f t="shared" si="34"/>
        <v>0.2546225352</v>
      </c>
      <c r="CI14" s="32">
        <f t="shared" si="34"/>
        <v>0.58132998904109601</v>
      </c>
      <c r="CJ14" s="41">
        <f>I145/H145</f>
        <v>9.5538416428429321E-2</v>
      </c>
      <c r="CK14" s="33">
        <f>R145</f>
        <v>0.36493000000000003</v>
      </c>
      <c r="CL14" s="31">
        <f t="shared" ref="CL14:CL19" si="35">O159</f>
        <v>0.19820920254005664</v>
      </c>
      <c r="CM14" s="32">
        <f t="shared" ref="CM14:CO19" si="36">S159</f>
        <v>4.6379694899999997</v>
      </c>
      <c r="CN14" s="32">
        <f t="shared" si="36"/>
        <v>0.2782781694</v>
      </c>
      <c r="CO14" s="32">
        <f t="shared" si="36"/>
        <v>0.63533828630136979</v>
      </c>
      <c r="CP14" s="41">
        <f>I159/H159</f>
        <v>8.4623879231253835E-2</v>
      </c>
      <c r="CQ14" s="33">
        <f>R159</f>
        <v>0.35326999999999997</v>
      </c>
    </row>
    <row r="15" spans="2:95" ht="15" thickBot="1" x14ac:dyDescent="0.35">
      <c r="B15">
        <v>11</v>
      </c>
      <c r="C15">
        <v>0</v>
      </c>
      <c r="D15">
        <v>0</v>
      </c>
      <c r="E15">
        <v>0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5"/>
        <v>0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0.12963013385450756</v>
      </c>
      <c r="P15" s="7">
        <v>21</v>
      </c>
      <c r="Q15" s="6">
        <f t="shared" si="7"/>
        <v>0</v>
      </c>
      <c r="R15" s="6">
        <f t="shared" si="7"/>
        <v>0</v>
      </c>
      <c r="S15" s="6">
        <f t="shared" si="8"/>
        <v>0</v>
      </c>
      <c r="T15" s="6">
        <f t="shared" si="9"/>
        <v>0</v>
      </c>
      <c r="U15" s="6">
        <f t="shared" si="10"/>
        <v>0</v>
      </c>
      <c r="V15" s="6">
        <f t="shared" si="4"/>
        <v>0.12963013385450756</v>
      </c>
      <c r="X15" s="34">
        <f t="shared" si="12"/>
        <v>2.1977394726231827</v>
      </c>
      <c r="Y15" s="35">
        <f t="shared" si="13"/>
        <v>7.7360374300000014</v>
      </c>
      <c r="Z15" s="35">
        <f t="shared" si="13"/>
        <v>0.4641622458000001</v>
      </c>
      <c r="AA15" s="35">
        <f t="shared" si="13"/>
        <v>1.0597311547945207</v>
      </c>
      <c r="AB15" s="42">
        <f t="shared" ref="AB15:AB23" si="37">I6/H6</f>
        <v>4.7900872165247528E-2</v>
      </c>
      <c r="AC15" s="36">
        <f t="shared" si="14"/>
        <v>0.33354</v>
      </c>
      <c r="AD15" s="34">
        <f t="shared" si="15"/>
        <v>1.4651596484154552</v>
      </c>
      <c r="AE15" s="35">
        <f t="shared" si="16"/>
        <v>5.5114376899999993</v>
      </c>
      <c r="AF15" s="35">
        <f t="shared" si="16"/>
        <v>0.33068626139999996</v>
      </c>
      <c r="AG15" s="35">
        <f t="shared" si="16"/>
        <v>0.75499146438356157</v>
      </c>
      <c r="AH15" s="42">
        <f t="shared" ref="AH15:AH23" si="38">I20/H20</f>
        <v>5.2664998921542742E-2</v>
      </c>
      <c r="AI15" s="36">
        <f t="shared" ref="AI15:AI23" si="39">R20</f>
        <v>0.26125999999999999</v>
      </c>
      <c r="AJ15" s="34">
        <f t="shared" si="17"/>
        <v>1.0988697363115913</v>
      </c>
      <c r="AK15" s="35">
        <f t="shared" si="18"/>
        <v>5.3526091300000012</v>
      </c>
      <c r="AL15" s="35">
        <f t="shared" si="18"/>
        <v>0.32115654780000008</v>
      </c>
      <c r="AM15" s="35">
        <f t="shared" si="18"/>
        <v>0.73323412739726046</v>
      </c>
      <c r="AN15" s="42">
        <f t="shared" ref="AN15:AN23" si="40">I34/H34</f>
        <v>4.6686993937104466E-2</v>
      </c>
      <c r="AO15" s="36">
        <f t="shared" ref="AO15:AO23" si="41">R34</f>
        <v>0.22493000000000002</v>
      </c>
      <c r="AP15" s="34">
        <f t="shared" si="19"/>
        <v>0.8790957890492731</v>
      </c>
      <c r="AQ15" s="35">
        <f t="shared" si="20"/>
        <v>3.99988886</v>
      </c>
      <c r="AR15" s="35">
        <f t="shared" si="20"/>
        <v>0.2399933316</v>
      </c>
      <c r="AS15" s="35">
        <f t="shared" si="20"/>
        <v>0.54792998082191779</v>
      </c>
      <c r="AT15" s="42">
        <f t="shared" ref="AT15:AT22" si="42">I48/H48</f>
        <v>6.3823168326731947E-2</v>
      </c>
      <c r="AU15" s="36">
        <f t="shared" ref="AU15:AU22" si="43">R48</f>
        <v>0.22978000000000001</v>
      </c>
      <c r="AV15" s="34">
        <f t="shared" si="21"/>
        <v>0.7325798242077276</v>
      </c>
      <c r="AW15" s="35">
        <f t="shared" si="22"/>
        <v>3.8648912500000003</v>
      </c>
      <c r="AX15" s="35">
        <f t="shared" si="22"/>
        <v>0.23189347500000002</v>
      </c>
      <c r="AY15" s="35">
        <f t="shared" si="22"/>
        <v>0.52943715753424658</v>
      </c>
      <c r="AZ15" s="42">
        <f t="shared" ref="AZ15:AZ22" si="44">I62/H62</f>
        <v>6.8869565217391307E-2</v>
      </c>
      <c r="BA15" s="36">
        <f t="shared" ref="BA15:BA22" si="45">R62</f>
        <v>0.23958000000000002</v>
      </c>
      <c r="BB15" s="34">
        <f t="shared" si="23"/>
        <v>0.62792556360662366</v>
      </c>
      <c r="BC15" s="35">
        <f t="shared" si="24"/>
        <v>2.9794020300000001</v>
      </c>
      <c r="BD15" s="35">
        <f t="shared" si="24"/>
        <v>0.17876412180000001</v>
      </c>
      <c r="BE15" s="35">
        <f t="shared" si="24"/>
        <v>0.40813726438356168</v>
      </c>
      <c r="BF15" s="42">
        <f t="shared" ref="BF15:BF22" si="46">I76/H76</f>
        <v>0.10671096642838764</v>
      </c>
      <c r="BG15" s="36">
        <f t="shared" ref="BG15:BG22" si="47">R76</f>
        <v>0.28616999999999998</v>
      </c>
      <c r="BH15" s="34">
        <f t="shared" si="25"/>
        <v>0.54943486815579567</v>
      </c>
      <c r="BI15" s="35">
        <f t="shared" si="26"/>
        <v>3.1753602100000005</v>
      </c>
      <c r="BJ15" s="35">
        <f t="shared" si="26"/>
        <v>0.19052161260000003</v>
      </c>
      <c r="BK15" s="35">
        <f t="shared" si="26"/>
        <v>0.43498085068493159</v>
      </c>
      <c r="BL15" s="42">
        <f t="shared" ref="BL15:BL21" si="48">I90/H90</f>
        <v>0.10622054434573897</v>
      </c>
      <c r="BM15" s="36">
        <f t="shared" ref="BM15:BM21" si="49">R90</f>
        <v>0.30359000000000003</v>
      </c>
      <c r="BN15" s="34">
        <f t="shared" si="27"/>
        <v>0.48838654947181837</v>
      </c>
      <c r="BO15" s="35">
        <f t="shared" si="28"/>
        <v>3.1498294300000005</v>
      </c>
      <c r="BP15" s="35">
        <f t="shared" si="28"/>
        <v>0.18898976580000001</v>
      </c>
      <c r="BQ15" s="35">
        <f t="shared" si="28"/>
        <v>0.4314834835616439</v>
      </c>
      <c r="BR15" s="42">
        <f t="shared" ref="BR15:BR21" si="50">I104/H104</f>
        <v>8.3110827369468052E-2</v>
      </c>
      <c r="BS15" s="36">
        <f t="shared" ref="BS15:BS21" si="51">R104</f>
        <v>0.23563000000000001</v>
      </c>
      <c r="BT15" s="34">
        <f t="shared" si="29"/>
        <v>0.43954789452463655</v>
      </c>
      <c r="BU15" s="35">
        <f t="shared" si="30"/>
        <v>2.9315290400000005</v>
      </c>
      <c r="BV15" s="35">
        <f t="shared" si="30"/>
        <v>0.17589174240000002</v>
      </c>
      <c r="BW15" s="35">
        <f t="shared" si="30"/>
        <v>0.40157932054794526</v>
      </c>
      <c r="BX15" s="42">
        <f t="shared" ref="BX15:BX21" si="52">I118/H118</f>
        <v>8.9023133129187762E-2</v>
      </c>
      <c r="BY15" s="36">
        <f t="shared" ref="BY15:BY21" si="53">R118</f>
        <v>0.2349</v>
      </c>
      <c r="BZ15" s="34">
        <f t="shared" si="31"/>
        <v>0.29303192968309105</v>
      </c>
      <c r="CA15" s="35">
        <f t="shared" si="32"/>
        <v>3.3283560200000006</v>
      </c>
      <c r="CB15" s="35">
        <f t="shared" si="32"/>
        <v>0.19970136120000004</v>
      </c>
      <c r="CC15" s="35">
        <f t="shared" si="32"/>
        <v>0.45593918082191792</v>
      </c>
      <c r="CD15" s="42">
        <f t="shared" ref="CD15:CD20" si="54">I132/H132</f>
        <v>8.5205386171398806E-2</v>
      </c>
      <c r="CE15" s="36">
        <f t="shared" ref="CE15:CE20" si="55">R132</f>
        <v>0.25525999999999999</v>
      </c>
      <c r="CF15" s="34">
        <f t="shared" si="33"/>
        <v>0.21977394726231828</v>
      </c>
      <c r="CG15" s="35">
        <f t="shared" si="34"/>
        <v>3.85969177</v>
      </c>
      <c r="CH15" s="35">
        <f t="shared" si="34"/>
        <v>0.23158150619999998</v>
      </c>
      <c r="CI15" s="35">
        <f t="shared" si="34"/>
        <v>0.52872490000000005</v>
      </c>
      <c r="CJ15" s="42">
        <f t="shared" ref="CJ15:CJ19" si="56">I146/H146</f>
        <v>0.12437285374215259</v>
      </c>
      <c r="CK15" s="36">
        <f t="shared" ref="CK15:CK19" si="57">R146</f>
        <v>0.43208000000000002</v>
      </c>
      <c r="CL15" s="34">
        <f t="shared" si="35"/>
        <v>0.1758191578098546</v>
      </c>
      <c r="CM15" s="35">
        <f t="shared" si="36"/>
        <v>3.6318923300000008</v>
      </c>
      <c r="CN15" s="35">
        <f t="shared" si="36"/>
        <v>0.21791353980000003</v>
      </c>
      <c r="CO15" s="35">
        <f t="shared" si="36"/>
        <v>0.49751949726027411</v>
      </c>
      <c r="CP15" s="42">
        <f t="shared" ref="CP15:CP19" si="58">I160/H160</f>
        <v>8.8393193087857841E-2</v>
      </c>
      <c r="CQ15" s="36">
        <f t="shared" ref="CQ15:CQ19" si="59">R160</f>
        <v>0.28895999999999999</v>
      </c>
    </row>
    <row r="16" spans="2:95" ht="15" thickTop="1" x14ac:dyDescent="0.3">
      <c r="X16" s="34">
        <f t="shared" si="12"/>
        <v>1.8959760342683765</v>
      </c>
      <c r="Y16" s="35">
        <f t="shared" si="13"/>
        <v>7.4211800300000004</v>
      </c>
      <c r="Z16" s="35">
        <f t="shared" si="13"/>
        <v>0.4452708018</v>
      </c>
      <c r="AA16" s="35">
        <f t="shared" si="13"/>
        <v>1.0166000041095891</v>
      </c>
      <c r="AB16" s="42">
        <f t="shared" si="37"/>
        <v>3.8250049028927813E-2</v>
      </c>
      <c r="AC16" s="36">
        <f t="shared" si="14"/>
        <v>0.2555</v>
      </c>
      <c r="AD16" s="34">
        <f t="shared" si="15"/>
        <v>1.2639840228455843</v>
      </c>
      <c r="AE16" s="35">
        <f t="shared" si="16"/>
        <v>5.70948455</v>
      </c>
      <c r="AF16" s="35">
        <f t="shared" si="16"/>
        <v>0.342569073</v>
      </c>
      <c r="AG16" s="35">
        <f t="shared" si="16"/>
        <v>0.78212117123287672</v>
      </c>
      <c r="AH16" s="42">
        <f t="shared" si="38"/>
        <v>4.0546404491102445E-2</v>
      </c>
      <c r="AI16" s="36">
        <f t="shared" si="39"/>
        <v>0.20836999999999997</v>
      </c>
      <c r="AJ16" s="34">
        <f t="shared" si="17"/>
        <v>0.94798801713418823</v>
      </c>
      <c r="AK16" s="35">
        <f t="shared" si="18"/>
        <v>4.3604083600000001</v>
      </c>
      <c r="AL16" s="35">
        <f t="shared" si="18"/>
        <v>0.2616245016</v>
      </c>
      <c r="AM16" s="35">
        <f t="shared" si="18"/>
        <v>0.59731621369863019</v>
      </c>
      <c r="AN16" s="42">
        <f t="shared" si="40"/>
        <v>5.5914246985802954E-2</v>
      </c>
      <c r="AO16" s="36">
        <f t="shared" si="41"/>
        <v>0.21945000000000001</v>
      </c>
      <c r="AP16" s="34">
        <f t="shared" si="19"/>
        <v>0.75839041370735061</v>
      </c>
      <c r="AQ16" s="35">
        <f t="shared" si="20"/>
        <v>3.2236887100000007</v>
      </c>
      <c r="AR16" s="35">
        <f t="shared" si="20"/>
        <v>0.19342132260000003</v>
      </c>
      <c r="AS16" s="35">
        <f t="shared" si="20"/>
        <v>0.44160119315068502</v>
      </c>
      <c r="AT16" s="42">
        <f t="shared" si="42"/>
        <v>6.9630308690692408E-2</v>
      </c>
      <c r="AU16" s="36">
        <f t="shared" si="43"/>
        <v>0.20204</v>
      </c>
      <c r="AV16" s="34">
        <f t="shared" si="21"/>
        <v>0.63199201142279215</v>
      </c>
      <c r="AW16" s="35">
        <f t="shared" si="22"/>
        <v>2.8998322099999996</v>
      </c>
      <c r="AX16" s="35">
        <f t="shared" si="22"/>
        <v>0.17398993259999998</v>
      </c>
      <c r="AY16" s="35">
        <f t="shared" si="22"/>
        <v>0.39723728904109584</v>
      </c>
      <c r="AZ16" s="42">
        <f t="shared" si="44"/>
        <v>8.7509721812490671E-2</v>
      </c>
      <c r="BA16" s="36">
        <f t="shared" si="45"/>
        <v>0.22841</v>
      </c>
      <c r="BB16" s="34">
        <f t="shared" si="23"/>
        <v>0.54170743836239332</v>
      </c>
      <c r="BC16" s="35">
        <f t="shared" si="24"/>
        <v>3.0180092799999998</v>
      </c>
      <c r="BD16" s="35">
        <f t="shared" si="24"/>
        <v>0.18108055679999999</v>
      </c>
      <c r="BE16" s="35">
        <f t="shared" si="24"/>
        <v>0.41342592876712325</v>
      </c>
      <c r="BF16" s="42">
        <f t="shared" si="46"/>
        <v>7.4346212745906456E-2</v>
      </c>
      <c r="BG16" s="36">
        <f t="shared" si="47"/>
        <v>0.20196</v>
      </c>
      <c r="BH16" s="34">
        <f t="shared" si="25"/>
        <v>0.47399400856709412</v>
      </c>
      <c r="BI16" s="35">
        <f t="shared" si="26"/>
        <v>2.72844935</v>
      </c>
      <c r="BJ16" s="35">
        <f t="shared" si="26"/>
        <v>0.16370696099999998</v>
      </c>
      <c r="BK16" s="35">
        <f t="shared" si="26"/>
        <v>0.37376018493150687</v>
      </c>
      <c r="BL16" s="42">
        <f t="shared" si="48"/>
        <v>7.5309974143371969E-2</v>
      </c>
      <c r="BM16" s="36">
        <f t="shared" si="49"/>
        <v>0.18495</v>
      </c>
      <c r="BN16" s="34">
        <f t="shared" si="27"/>
        <v>0.42132800761519479</v>
      </c>
      <c r="BO16" s="35">
        <f t="shared" si="28"/>
        <v>2.7017853499999998</v>
      </c>
      <c r="BP16" s="35">
        <f t="shared" si="28"/>
        <v>0.16210712099999999</v>
      </c>
      <c r="BQ16" s="35">
        <f t="shared" si="28"/>
        <v>0.3701075821917808</v>
      </c>
      <c r="BR16" s="42">
        <f t="shared" si="50"/>
        <v>0.10364948496000988</v>
      </c>
      <c r="BS16" s="36">
        <f t="shared" si="51"/>
        <v>0.25206000000000001</v>
      </c>
      <c r="BT16" s="34">
        <f t="shared" si="29"/>
        <v>0.3791952068536753</v>
      </c>
      <c r="BU16" s="35">
        <f t="shared" si="30"/>
        <v>3.2196668900000005</v>
      </c>
      <c r="BV16" s="35">
        <f t="shared" si="30"/>
        <v>0.19318001340000002</v>
      </c>
      <c r="BW16" s="35">
        <f t="shared" si="30"/>
        <v>0.44105025890410965</v>
      </c>
      <c r="BX16" s="42">
        <f t="shared" si="52"/>
        <v>6.9610316115652562E-2</v>
      </c>
      <c r="BY16" s="36">
        <f t="shared" si="53"/>
        <v>0.20172999999999999</v>
      </c>
      <c r="BZ16" s="34">
        <f t="shared" si="31"/>
        <v>0.25279680456911685</v>
      </c>
      <c r="CA16" s="35">
        <f t="shared" si="32"/>
        <v>3.7878989500000002</v>
      </c>
      <c r="CB16" s="35">
        <f t="shared" si="32"/>
        <v>0.22727393700000001</v>
      </c>
      <c r="CC16" s="35">
        <f t="shared" si="32"/>
        <v>0.51889026712328767</v>
      </c>
      <c r="CD16" s="42">
        <f t="shared" si="54"/>
        <v>9.46252328088108E-2</v>
      </c>
      <c r="CE16" s="36">
        <f t="shared" si="55"/>
        <v>0.32261999999999996</v>
      </c>
      <c r="CF16" s="34">
        <f t="shared" si="33"/>
        <v>0.18959760342683765</v>
      </c>
      <c r="CG16" s="35">
        <f t="shared" si="34"/>
        <v>4.1419079900000009</v>
      </c>
      <c r="CH16" s="35">
        <f t="shared" si="34"/>
        <v>0.24851447940000004</v>
      </c>
      <c r="CI16" s="35">
        <f t="shared" si="34"/>
        <v>0.56738465616438372</v>
      </c>
      <c r="CJ16" s="42">
        <f t="shared" si="56"/>
        <v>8.6135259610148882E-2</v>
      </c>
      <c r="CK16" s="36">
        <f t="shared" si="57"/>
        <v>0.32111999999999996</v>
      </c>
      <c r="CL16" s="34">
        <f t="shared" si="35"/>
        <v>0.15167808274147013</v>
      </c>
      <c r="CM16" s="35">
        <f t="shared" si="36"/>
        <v>3.7179170600000004</v>
      </c>
      <c r="CN16" s="35">
        <f t="shared" si="36"/>
        <v>0.22307502360000001</v>
      </c>
      <c r="CO16" s="35">
        <f t="shared" si="36"/>
        <v>0.50930370684931514</v>
      </c>
      <c r="CP16" s="42">
        <f t="shared" si="58"/>
        <v>0.10371855632519139</v>
      </c>
      <c r="CQ16" s="36">
        <f t="shared" si="59"/>
        <v>0.34709000000000001</v>
      </c>
    </row>
    <row r="17" spans="2:95" ht="15" thickBot="1" x14ac:dyDescent="0.35">
      <c r="X17" s="34">
        <f t="shared" si="12"/>
        <v>1.1483466252362846</v>
      </c>
      <c r="Y17" s="35">
        <f t="shared" si="13"/>
        <v>6.0510059500000013</v>
      </c>
      <c r="Z17" s="35">
        <f t="shared" si="13"/>
        <v>0.36306035700000006</v>
      </c>
      <c r="AA17" s="35">
        <f t="shared" si="13"/>
        <v>0.8289049246575344</v>
      </c>
      <c r="AB17" s="42">
        <f t="shared" si="37"/>
        <v>4.1151575797078829E-2</v>
      </c>
      <c r="AC17" s="36">
        <f t="shared" si="14"/>
        <v>0.22413000000000002</v>
      </c>
      <c r="AD17" s="34">
        <f t="shared" si="15"/>
        <v>0.76556441682418974</v>
      </c>
      <c r="AE17" s="35">
        <f t="shared" si="16"/>
        <v>4.0128986699999993</v>
      </c>
      <c r="AF17" s="35">
        <f t="shared" si="16"/>
        <v>0.24077392019999996</v>
      </c>
      <c r="AG17" s="35">
        <f t="shared" si="16"/>
        <v>0.5497121465753424</v>
      </c>
      <c r="AH17" s="42">
        <f t="shared" si="38"/>
        <v>5.2553038923357623E-2</v>
      </c>
      <c r="AI17" s="36">
        <f t="shared" si="39"/>
        <v>0.18982000000000002</v>
      </c>
      <c r="AJ17" s="34">
        <f t="shared" si="17"/>
        <v>0.57417331261814231</v>
      </c>
      <c r="AK17" s="35">
        <f t="shared" si="18"/>
        <v>4.3290892699999999</v>
      </c>
      <c r="AL17" s="35">
        <f t="shared" si="18"/>
        <v>0.2597453562</v>
      </c>
      <c r="AM17" s="35">
        <f t="shared" si="18"/>
        <v>0.59302592739726023</v>
      </c>
      <c r="AN17" s="42">
        <f t="shared" si="40"/>
        <v>3.6193370066494382E-2</v>
      </c>
      <c r="AO17" s="36">
        <f t="shared" si="41"/>
        <v>0.14102999999999999</v>
      </c>
      <c r="AP17" s="34">
        <f t="shared" si="19"/>
        <v>0.45933865009451386</v>
      </c>
      <c r="AQ17" s="35">
        <f t="shared" si="20"/>
        <v>3.4842293200000003</v>
      </c>
      <c r="AR17" s="35">
        <f t="shared" si="20"/>
        <v>0.20905375920000002</v>
      </c>
      <c r="AS17" s="35">
        <f t="shared" si="20"/>
        <v>0.47729168767123292</v>
      </c>
      <c r="AT17" s="42">
        <f t="shared" si="42"/>
        <v>4.4679412777572286E-2</v>
      </c>
      <c r="AU17" s="36">
        <f t="shared" si="43"/>
        <v>0.14011999999999999</v>
      </c>
      <c r="AV17" s="34">
        <f t="shared" si="21"/>
        <v>0.38278220841209487</v>
      </c>
      <c r="AW17" s="35">
        <f t="shared" si="22"/>
        <v>3.0832360900000002</v>
      </c>
      <c r="AX17" s="35">
        <f t="shared" si="22"/>
        <v>0.18499416539999999</v>
      </c>
      <c r="AY17" s="35">
        <f t="shared" si="22"/>
        <v>0.42236110821917811</v>
      </c>
      <c r="AZ17" s="42">
        <f t="shared" si="44"/>
        <v>4.8767832112395909E-2</v>
      </c>
      <c r="BA17" s="36">
        <f t="shared" si="45"/>
        <v>0.13534000000000002</v>
      </c>
      <c r="BB17" s="34">
        <f t="shared" si="23"/>
        <v>0.32809903578179561</v>
      </c>
      <c r="BC17" s="35">
        <f t="shared" si="24"/>
        <v>3.2768722800000001</v>
      </c>
      <c r="BD17" s="35">
        <f t="shared" si="24"/>
        <v>0.19661233680000001</v>
      </c>
      <c r="BE17" s="35">
        <f t="shared" si="24"/>
        <v>0.44888661369863014</v>
      </c>
      <c r="BF17" s="42">
        <f t="shared" si="46"/>
        <v>7.1599061529489957E-2</v>
      </c>
      <c r="BG17" s="36">
        <f t="shared" si="47"/>
        <v>0.21118000000000001</v>
      </c>
      <c r="BH17" s="34">
        <f t="shared" si="25"/>
        <v>0.28708665630907115</v>
      </c>
      <c r="BI17" s="35">
        <f t="shared" si="26"/>
        <v>3.2055905199999999</v>
      </c>
      <c r="BJ17" s="35">
        <f t="shared" si="26"/>
        <v>0.19233543119999999</v>
      </c>
      <c r="BK17" s="35">
        <f t="shared" si="26"/>
        <v>0.43912198904109589</v>
      </c>
      <c r="BL17" s="42">
        <f t="shared" si="48"/>
        <v>6.2918497774943516E-2</v>
      </c>
      <c r="BM17" s="36">
        <f t="shared" si="49"/>
        <v>0.18154000000000001</v>
      </c>
      <c r="BN17" s="34">
        <f t="shared" si="27"/>
        <v>0.25518813894139658</v>
      </c>
      <c r="BO17" s="35">
        <f t="shared" si="28"/>
        <v>3.1413302799999996</v>
      </c>
      <c r="BP17" s="35">
        <f t="shared" si="28"/>
        <v>0.18847981679999998</v>
      </c>
      <c r="BQ17" s="35">
        <f t="shared" si="28"/>
        <v>0.43031921643835613</v>
      </c>
      <c r="BR17" s="42">
        <f t="shared" si="50"/>
        <v>7.5508933750194532E-2</v>
      </c>
      <c r="BS17" s="36">
        <f t="shared" si="51"/>
        <v>0.2135</v>
      </c>
      <c r="BT17" s="34">
        <f t="shared" si="29"/>
        <v>0.22966932504725693</v>
      </c>
      <c r="BU17" s="35">
        <f t="shared" si="30"/>
        <v>3.2010465300000011</v>
      </c>
      <c r="BV17" s="35">
        <f t="shared" si="30"/>
        <v>0.19206279180000005</v>
      </c>
      <c r="BW17" s="35">
        <f t="shared" si="30"/>
        <v>0.43849952465753439</v>
      </c>
      <c r="BX17" s="42">
        <f t="shared" si="52"/>
        <v>8.1794927860670608E-2</v>
      </c>
      <c r="BY17" s="36">
        <f t="shared" si="53"/>
        <v>0.23566999999999999</v>
      </c>
      <c r="BZ17" s="34">
        <f t="shared" si="31"/>
        <v>0.15311288336483794</v>
      </c>
      <c r="CA17" s="35">
        <f t="shared" si="32"/>
        <v>3.5443899700000001</v>
      </c>
      <c r="CB17" s="35">
        <f t="shared" si="32"/>
        <v>0.21266339819999999</v>
      </c>
      <c r="CC17" s="35">
        <f t="shared" si="32"/>
        <v>0.48553287260273975</v>
      </c>
      <c r="CD17" s="42">
        <f t="shared" si="54"/>
        <v>5.6471709291063127E-2</v>
      </c>
      <c r="CE17" s="36">
        <f t="shared" si="55"/>
        <v>0.18015999999999999</v>
      </c>
      <c r="CF17" s="34">
        <f t="shared" si="33"/>
        <v>0.11483466252362846</v>
      </c>
      <c r="CG17" s="35">
        <f t="shared" si="34"/>
        <v>3.8244841799999998</v>
      </c>
      <c r="CH17" s="35">
        <f t="shared" si="34"/>
        <v>0.22946905079999999</v>
      </c>
      <c r="CI17" s="35">
        <f t="shared" si="34"/>
        <v>0.52390194246575339</v>
      </c>
      <c r="CJ17" s="42">
        <f t="shared" si="56"/>
        <v>9.7034609775794672E-2</v>
      </c>
      <c r="CK17" s="36">
        <f t="shared" si="57"/>
        <v>0.33402999999999999</v>
      </c>
      <c r="CL17" s="34">
        <f t="shared" si="35"/>
        <v>9.1867730018902763E-2</v>
      </c>
      <c r="CM17" s="35">
        <f t="shared" si="36"/>
        <v>3.1373417900000007</v>
      </c>
      <c r="CN17" s="35">
        <f t="shared" si="36"/>
        <v>0.18824050740000003</v>
      </c>
      <c r="CO17" s="35">
        <f t="shared" si="36"/>
        <v>0.42977284794520559</v>
      </c>
      <c r="CP17" s="42">
        <f t="shared" si="58"/>
        <v>0.1596344050228585</v>
      </c>
      <c r="CQ17" s="36">
        <f t="shared" si="59"/>
        <v>0.45078999999999997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0.82998285020519136</v>
      </c>
      <c r="Y18" s="35">
        <f t="shared" si="13"/>
        <v>5.0366740600000002</v>
      </c>
      <c r="Z18" s="35">
        <f t="shared" si="13"/>
        <v>0.30220044359999998</v>
      </c>
      <c r="AA18" s="35">
        <f t="shared" si="13"/>
        <v>0.68995535068493152</v>
      </c>
      <c r="AB18" s="42">
        <f t="shared" si="37"/>
        <v>9.8011232039104793E-2</v>
      </c>
      <c r="AC18" s="36">
        <f t="shared" si="14"/>
        <v>0.44433</v>
      </c>
      <c r="AD18" s="34">
        <f t="shared" si="15"/>
        <v>0.55332190013679428</v>
      </c>
      <c r="AE18" s="35">
        <f t="shared" si="16"/>
        <v>4.1636169300000017</v>
      </c>
      <c r="AF18" s="35">
        <f t="shared" si="16"/>
        <v>0.2498170158000001</v>
      </c>
      <c r="AG18" s="35">
        <f t="shared" si="16"/>
        <v>0.57035848356164409</v>
      </c>
      <c r="AH18" s="42">
        <f t="shared" si="38"/>
        <v>4.8337215787044072E-2</v>
      </c>
      <c r="AI18" s="36">
        <f t="shared" si="39"/>
        <v>0.18115000000000001</v>
      </c>
      <c r="AJ18" s="34">
        <f t="shared" si="17"/>
        <v>0.41499142510259568</v>
      </c>
      <c r="AK18" s="35">
        <f t="shared" si="18"/>
        <v>3.3913163900000001</v>
      </c>
      <c r="AL18" s="35">
        <f t="shared" si="18"/>
        <v>0.20347898340000001</v>
      </c>
      <c r="AM18" s="35">
        <f t="shared" si="18"/>
        <v>0.46456388904109591</v>
      </c>
      <c r="AN18" s="42">
        <f t="shared" si="40"/>
        <v>5.8807727461842631E-2</v>
      </c>
      <c r="AO18" s="36">
        <f t="shared" si="41"/>
        <v>0.17951</v>
      </c>
      <c r="AP18" s="34">
        <f t="shared" si="19"/>
        <v>0.33199314008207653</v>
      </c>
      <c r="AQ18" s="35">
        <f t="shared" si="20"/>
        <v>3.6339254600000004</v>
      </c>
      <c r="AR18" s="35">
        <f t="shared" si="20"/>
        <v>0.21803552760000003</v>
      </c>
      <c r="AS18" s="35">
        <f t="shared" si="20"/>
        <v>0.49779800821917813</v>
      </c>
      <c r="AT18" s="42">
        <f t="shared" si="42"/>
        <v>2.73597769393982E-2</v>
      </c>
      <c r="AU18" s="36">
        <f t="shared" si="43"/>
        <v>8.949E-2</v>
      </c>
      <c r="AV18" s="34">
        <f t="shared" si="21"/>
        <v>0.27666095006839714</v>
      </c>
      <c r="AW18" s="35">
        <f t="shared" si="22"/>
        <v>3.5054827500000005</v>
      </c>
      <c r="AX18" s="35">
        <f t="shared" si="22"/>
        <v>0.21032896500000003</v>
      </c>
      <c r="AY18" s="35">
        <f t="shared" si="22"/>
        <v>0.48020311643835623</v>
      </c>
      <c r="AZ18" s="42">
        <f t="shared" si="44"/>
        <v>3.5670707550907219E-2</v>
      </c>
      <c r="BA18" s="36">
        <f t="shared" si="45"/>
        <v>0.11255</v>
      </c>
      <c r="BB18" s="34">
        <f t="shared" si="23"/>
        <v>0.23713795720148326</v>
      </c>
      <c r="BC18" s="35">
        <f t="shared" si="24"/>
        <v>3.2504749200000003</v>
      </c>
      <c r="BD18" s="35">
        <f t="shared" si="24"/>
        <v>0.19502849520000001</v>
      </c>
      <c r="BE18" s="35">
        <f t="shared" si="24"/>
        <v>0.44527053698630142</v>
      </c>
      <c r="BF18" s="42">
        <f t="shared" si="46"/>
        <v>3.7484790068769397E-2</v>
      </c>
      <c r="BG18" s="36">
        <f t="shared" si="47"/>
        <v>0.10967</v>
      </c>
      <c r="BH18" s="34">
        <f t="shared" si="25"/>
        <v>0.20749571255129784</v>
      </c>
      <c r="BI18" s="35">
        <f t="shared" si="26"/>
        <v>3.4750524600000001</v>
      </c>
      <c r="BJ18" s="35">
        <f t="shared" si="26"/>
        <v>0.20850314759999999</v>
      </c>
      <c r="BK18" s="35">
        <f t="shared" si="26"/>
        <v>0.47603458356164385</v>
      </c>
      <c r="BL18" s="42">
        <f t="shared" si="48"/>
        <v>2.2373124116808297E-2</v>
      </c>
      <c r="BM18" s="36">
        <f t="shared" si="49"/>
        <v>6.9980000000000001E-2</v>
      </c>
      <c r="BN18" s="34">
        <f t="shared" si="27"/>
        <v>0.18444063337893141</v>
      </c>
      <c r="BO18" s="35">
        <f t="shared" si="28"/>
        <v>2.8074303400000007</v>
      </c>
      <c r="BP18" s="35">
        <f t="shared" si="28"/>
        <v>0.16844582040000003</v>
      </c>
      <c r="BQ18" s="35">
        <f t="shared" si="28"/>
        <v>0.38457949863013707</v>
      </c>
      <c r="BR18" s="42">
        <f t="shared" si="50"/>
        <v>5.2609084505370121E-2</v>
      </c>
      <c r="BS18" s="36">
        <f t="shared" si="51"/>
        <v>0.13294</v>
      </c>
      <c r="BT18" s="34">
        <f t="shared" si="29"/>
        <v>0.16599657004103827</v>
      </c>
      <c r="BU18" s="35">
        <f t="shared" si="30"/>
        <v>2.986256899999999</v>
      </c>
      <c r="BV18" s="35">
        <f t="shared" si="30"/>
        <v>0.17917541399999992</v>
      </c>
      <c r="BW18" s="35">
        <f t="shared" si="30"/>
        <v>0.40907628767123277</v>
      </c>
      <c r="BX18" s="42">
        <f t="shared" si="52"/>
        <v>5.0094869600803615E-2</v>
      </c>
      <c r="BY18" s="36">
        <f t="shared" si="53"/>
        <v>0.13464999999999999</v>
      </c>
      <c r="BZ18" s="34">
        <f t="shared" si="31"/>
        <v>0.11066438002735884</v>
      </c>
      <c r="CA18" s="35">
        <f t="shared" si="32"/>
        <v>3.3863835500000006</v>
      </c>
      <c r="CB18" s="35">
        <f t="shared" si="32"/>
        <v>0.20318301300000002</v>
      </c>
      <c r="CC18" s="35">
        <f t="shared" si="32"/>
        <v>0.46388815753424667</v>
      </c>
      <c r="CD18" s="42">
        <f t="shared" si="54"/>
        <v>4.2984859172257674E-2</v>
      </c>
      <c r="CE18" s="36">
        <f t="shared" si="55"/>
        <v>0.13102</v>
      </c>
      <c r="CF18" s="34">
        <f t="shared" si="33"/>
        <v>8.2998285020519133E-2</v>
      </c>
      <c r="CG18" s="35">
        <f t="shared" si="34"/>
        <v>2.6868423999999993</v>
      </c>
      <c r="CH18" s="35">
        <f t="shared" si="34"/>
        <v>0.16121054399999996</v>
      </c>
      <c r="CI18" s="35">
        <f t="shared" si="34"/>
        <v>0.36806060273972596</v>
      </c>
      <c r="CJ18" s="42">
        <f t="shared" si="56"/>
        <v>8.4646873966258696E-2</v>
      </c>
      <c r="CK18" s="36">
        <f t="shared" si="57"/>
        <v>0.20471</v>
      </c>
      <c r="CL18" s="34">
        <f t="shared" si="35"/>
        <v>6.6398628016415315E-2</v>
      </c>
      <c r="CM18" s="35">
        <f t="shared" si="36"/>
        <v>3.184126</v>
      </c>
      <c r="CN18" s="35">
        <f t="shared" si="36"/>
        <v>0.19104756000000001</v>
      </c>
      <c r="CO18" s="35">
        <f t="shared" si="36"/>
        <v>0.43618164383561647</v>
      </c>
      <c r="CP18" s="42">
        <f t="shared" si="58"/>
        <v>5.956036287508723E-2</v>
      </c>
      <c r="CQ18" s="36">
        <f t="shared" si="59"/>
        <v>0.17069999999999999</v>
      </c>
    </row>
    <row r="19" spans="2:95" ht="15" thickTop="1" x14ac:dyDescent="0.3">
      <c r="B19">
        <v>1</v>
      </c>
      <c r="C19">
        <v>-1309.9000000000001</v>
      </c>
      <c r="D19">
        <v>56295.4</v>
      </c>
      <c r="E19">
        <v>3048.5</v>
      </c>
      <c r="F19">
        <f t="shared" ref="F19:F29" si="60">D19/10000</f>
        <v>5.6295400000000004</v>
      </c>
      <c r="G19">
        <f t="shared" ref="G19:G29" si="61">C19/10000</f>
        <v>-0.13099</v>
      </c>
      <c r="H19">
        <f t="shared" ref="H19:H29" si="62">F19-G19</f>
        <v>5.7605300000000002</v>
      </c>
      <c r="I19">
        <f>E19/10000</f>
        <v>0.30485000000000001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1.651743354500472</v>
      </c>
      <c r="P19" s="2">
        <v>3</v>
      </c>
      <c r="Q19" s="8">
        <f>H19</f>
        <v>5.7605300000000002</v>
      </c>
      <c r="R19" s="8">
        <f>I19</f>
        <v>0.30485000000000001</v>
      </c>
      <c r="S19" s="8">
        <f>Q19/10^6*$Z$4*$Z$3/P19*10^12</f>
        <v>6.3999488300000005</v>
      </c>
      <c r="T19" s="8">
        <f>S19*0.06</f>
        <v>0.3839969298</v>
      </c>
      <c r="U19" s="8">
        <f>S19/$Z$1</f>
        <v>0.87670531917808225</v>
      </c>
      <c r="V19" s="12">
        <f t="shared" ref="V19:V29" si="63">O19</f>
        <v>1.651743354500472</v>
      </c>
      <c r="W19" s="19"/>
      <c r="X19" s="34">
        <f t="shared" si="12"/>
        <v>0.57450795652469577</v>
      </c>
      <c r="Y19" s="35">
        <f t="shared" si="13"/>
        <v>4.6979884875000009</v>
      </c>
      <c r="Z19" s="35">
        <f t="shared" si="13"/>
        <v>0.28187930925000004</v>
      </c>
      <c r="AA19" s="35">
        <f t="shared" si="13"/>
        <v>0.643560066780822</v>
      </c>
      <c r="AB19" s="42">
        <f t="shared" si="37"/>
        <v>1.5409309791332261E-2</v>
      </c>
      <c r="AC19" s="36">
        <f t="shared" si="14"/>
        <v>8.6879999999999999E-2</v>
      </c>
      <c r="AD19" s="34">
        <f t="shared" si="15"/>
        <v>0.38300530434979718</v>
      </c>
      <c r="AE19" s="35">
        <f t="shared" si="16"/>
        <v>3.5330966550000005</v>
      </c>
      <c r="AF19" s="35">
        <f t="shared" si="16"/>
        <v>0.21198579930000003</v>
      </c>
      <c r="AG19" s="35">
        <f t="shared" si="16"/>
        <v>0.48398584315068499</v>
      </c>
      <c r="AH19" s="42">
        <f t="shared" si="38"/>
        <v>2.3121878051196421E-2</v>
      </c>
      <c r="AI19" s="36">
        <f t="shared" si="39"/>
        <v>9.8040000000000002E-2</v>
      </c>
      <c r="AJ19" s="34">
        <f t="shared" si="17"/>
        <v>0.28725397826234789</v>
      </c>
      <c r="AK19" s="35">
        <f t="shared" si="18"/>
        <v>2.8938939150000005</v>
      </c>
      <c r="AL19" s="35">
        <f t="shared" si="18"/>
        <v>0.17363363490000003</v>
      </c>
      <c r="AM19" s="35">
        <f t="shared" si="18"/>
        <v>0.39642382397260284</v>
      </c>
      <c r="AN19" s="42">
        <f t="shared" si="40"/>
        <v>5.3227450460982081E-2</v>
      </c>
      <c r="AO19" s="36">
        <f t="shared" si="41"/>
        <v>0.18486</v>
      </c>
      <c r="AP19" s="34">
        <f t="shared" si="19"/>
        <v>0.22980318260987831</v>
      </c>
      <c r="AQ19" s="35">
        <f t="shared" si="20"/>
        <v>3.1979385075</v>
      </c>
      <c r="AR19" s="35">
        <f t="shared" si="20"/>
        <v>0.19187631045</v>
      </c>
      <c r="AS19" s="35">
        <f t="shared" si="20"/>
        <v>0.43807376815068494</v>
      </c>
      <c r="AT19" s="42">
        <f t="shared" si="42"/>
        <v>2.3033369724667851E-2</v>
      </c>
      <c r="AU19" s="36">
        <f t="shared" si="43"/>
        <v>8.8400000000000006E-2</v>
      </c>
      <c r="AV19" s="34">
        <f t="shared" si="21"/>
        <v>0.19150265217489859</v>
      </c>
      <c r="AW19" s="35">
        <f t="shared" si="22"/>
        <v>3.4645618424999998</v>
      </c>
      <c r="AX19" s="35">
        <f t="shared" si="22"/>
        <v>0.20787371054999998</v>
      </c>
      <c r="AY19" s="35">
        <f t="shared" si="22"/>
        <v>0.47459751267123285</v>
      </c>
      <c r="AZ19" s="42">
        <f t="shared" si="44"/>
        <v>1.7725336649117702E-2</v>
      </c>
      <c r="BA19" s="36">
        <f t="shared" si="45"/>
        <v>7.3700000000000002E-2</v>
      </c>
      <c r="BB19" s="34">
        <f t="shared" si="23"/>
        <v>0.16414513043562737</v>
      </c>
      <c r="BC19" s="35">
        <f t="shared" si="24"/>
        <v>3.1303202700000003</v>
      </c>
      <c r="BD19" s="35">
        <f t="shared" si="24"/>
        <v>0.18781921620000003</v>
      </c>
      <c r="BE19" s="35">
        <f t="shared" si="24"/>
        <v>0.428810995890411</v>
      </c>
      <c r="BF19" s="42">
        <f t="shared" si="46"/>
        <v>2.3009188769045667E-2</v>
      </c>
      <c r="BG19" s="36">
        <f t="shared" si="47"/>
        <v>8.6440000000000003E-2</v>
      </c>
      <c r="BH19" s="34">
        <f t="shared" si="25"/>
        <v>0.14362698913117394</v>
      </c>
      <c r="BI19" s="35">
        <f t="shared" si="26"/>
        <v>3.2069876025000008</v>
      </c>
      <c r="BJ19" s="35">
        <f t="shared" si="26"/>
        <v>0.19241925615000005</v>
      </c>
      <c r="BK19" s="35">
        <f t="shared" si="26"/>
        <v>0.43931337020547956</v>
      </c>
      <c r="BL19" s="42">
        <f t="shared" si="48"/>
        <v>2.4571486474899769E-2</v>
      </c>
      <c r="BM19" s="36">
        <f t="shared" si="49"/>
        <v>9.4570000000000001E-2</v>
      </c>
      <c r="BN19" s="34">
        <f t="shared" si="27"/>
        <v>0.12766843478326573</v>
      </c>
      <c r="BO19" s="35">
        <f t="shared" si="28"/>
        <v>3.2276272050000001</v>
      </c>
      <c r="BP19" s="35">
        <f t="shared" si="28"/>
        <v>0.19365763229999999</v>
      </c>
      <c r="BQ19" s="35">
        <f t="shared" si="28"/>
        <v>0.44214071301369867</v>
      </c>
      <c r="BR19" s="42">
        <f t="shared" si="50"/>
        <v>1.5771103435100707E-2</v>
      </c>
      <c r="BS19" s="36">
        <f t="shared" si="51"/>
        <v>6.1089999999999998E-2</v>
      </c>
      <c r="BT19" s="34">
        <f t="shared" si="29"/>
        <v>0.11490159130493915</v>
      </c>
      <c r="BU19" s="35">
        <f t="shared" si="30"/>
        <v>2.8555477500000004</v>
      </c>
      <c r="BV19" s="35">
        <f t="shared" si="30"/>
        <v>0.17133286500000003</v>
      </c>
      <c r="BW19" s="35">
        <f t="shared" si="30"/>
        <v>0.39117092465753434</v>
      </c>
      <c r="BX19" s="42">
        <f t="shared" si="52"/>
        <v>2.4403268164575425E-2</v>
      </c>
      <c r="BY19" s="36">
        <f t="shared" si="53"/>
        <v>8.3629999999999996E-2</v>
      </c>
      <c r="BZ19" s="34">
        <f t="shared" si="31"/>
        <v>7.6601060869959436E-2</v>
      </c>
      <c r="CA19" s="35">
        <f t="shared" si="32"/>
        <v>3.0595690125000012</v>
      </c>
      <c r="CB19" s="35">
        <f t="shared" si="32"/>
        <v>0.18357414075000006</v>
      </c>
      <c r="CC19" s="35">
        <f t="shared" si="32"/>
        <v>0.41911904280821938</v>
      </c>
      <c r="CD19" s="42">
        <f t="shared" si="54"/>
        <v>2.2332066941732363E-2</v>
      </c>
      <c r="CE19" s="36">
        <f t="shared" si="55"/>
        <v>8.2000000000000003E-2</v>
      </c>
      <c r="CF19" s="34">
        <f t="shared" si="33"/>
        <v>5.7450795652469577E-2</v>
      </c>
      <c r="CG19" s="35">
        <f t="shared" si="34"/>
        <v>2.2345265249999993</v>
      </c>
      <c r="CH19" s="35">
        <f t="shared" si="34"/>
        <v>0.13407159149999995</v>
      </c>
      <c r="CI19" s="35">
        <f t="shared" si="34"/>
        <v>0.30609952397260265</v>
      </c>
      <c r="CJ19" s="42">
        <f t="shared" si="56"/>
        <v>8.1843606667412486E-2</v>
      </c>
      <c r="CK19" s="36">
        <f t="shared" si="57"/>
        <v>0.21948000000000001</v>
      </c>
      <c r="CL19" s="34">
        <f t="shared" si="35"/>
        <v>4.5960636521975663E-2</v>
      </c>
      <c r="CM19" s="35">
        <f t="shared" si="36"/>
        <v>0.94017263999999989</v>
      </c>
      <c r="CN19" s="35">
        <f t="shared" si="36"/>
        <v>5.6410358399999992E-2</v>
      </c>
      <c r="CO19" s="35">
        <f t="shared" si="36"/>
        <v>0.12879077260273972</v>
      </c>
      <c r="CP19" s="42">
        <f t="shared" si="58"/>
        <v>0.12461003970504825</v>
      </c>
      <c r="CQ19" s="36">
        <f t="shared" si="59"/>
        <v>0.1406</v>
      </c>
    </row>
    <row r="20" spans="2:95" x14ac:dyDescent="0.3">
      <c r="B20">
        <v>2</v>
      </c>
      <c r="C20">
        <v>10685.2</v>
      </c>
      <c r="D20">
        <v>60293.1</v>
      </c>
      <c r="E20">
        <v>2612.6</v>
      </c>
      <c r="F20">
        <f t="shared" si="60"/>
        <v>6.0293099999999997</v>
      </c>
      <c r="G20">
        <f t="shared" si="61"/>
        <v>1.0685200000000001</v>
      </c>
      <c r="H20">
        <f t="shared" si="62"/>
        <v>4.9607899999999994</v>
      </c>
      <c r="I20">
        <f t="shared" ref="I20:I29" si="64">E20/10000</f>
        <v>0.26125999999999999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1.4651596484154552</v>
      </c>
      <c r="P20" s="4">
        <v>3</v>
      </c>
      <c r="Q20" s="5">
        <f t="shared" ref="Q20:R29" si="67">H20</f>
        <v>4.9607899999999994</v>
      </c>
      <c r="R20" s="5">
        <f t="shared" si="67"/>
        <v>0.26125999999999999</v>
      </c>
      <c r="S20" s="5">
        <f t="shared" ref="S20:S29" si="68">Q20/10^6*$Z$4*$Z$3/P20*10^12</f>
        <v>5.5114376899999993</v>
      </c>
      <c r="T20" s="5">
        <f t="shared" ref="T20:T29" si="69">S20*0.06</f>
        <v>0.33068626139999996</v>
      </c>
      <c r="U20" s="5">
        <f t="shared" ref="U20:U29" si="70">S20/$Z$1</f>
        <v>0.75499146438356157</v>
      </c>
      <c r="V20" s="5">
        <f t="shared" si="63"/>
        <v>1.4651596484154552</v>
      </c>
      <c r="W20" s="19"/>
      <c r="X20" s="34">
        <f t="shared" si="12"/>
        <v>0.41532106980127165</v>
      </c>
      <c r="Y20" s="35">
        <f t="shared" si="13"/>
        <v>4.0862330025000002</v>
      </c>
      <c r="Z20" s="35">
        <f t="shared" si="13"/>
        <v>0.24517398015</v>
      </c>
      <c r="AA20" s="35">
        <f t="shared" si="13"/>
        <v>0.55975794554794522</v>
      </c>
      <c r="AB20" s="42">
        <f t="shared" si="37"/>
        <v>2.8650256832729402E-2</v>
      </c>
      <c r="AC20" s="36">
        <f t="shared" si="14"/>
        <v>0.14050000000000001</v>
      </c>
      <c r="AD20" s="34">
        <f t="shared" si="15"/>
        <v>0.27688071320084778</v>
      </c>
      <c r="AE20" s="35">
        <f t="shared" si="16"/>
        <v>3.2076292050000008</v>
      </c>
      <c r="AF20" s="35">
        <f t="shared" si="16"/>
        <v>0.19245775230000003</v>
      </c>
      <c r="AG20" s="35">
        <f t="shared" si="16"/>
        <v>0.43940126095890425</v>
      </c>
      <c r="AH20" s="42">
        <f t="shared" si="38"/>
        <v>2.0563495898211215E-2</v>
      </c>
      <c r="AI20" s="36">
        <f t="shared" si="39"/>
        <v>7.9160000000000008E-2</v>
      </c>
      <c r="AJ20" s="34">
        <f t="shared" si="17"/>
        <v>0.20766053490063582</v>
      </c>
      <c r="AK20" s="35">
        <f t="shared" si="18"/>
        <v>3.1827483600000006</v>
      </c>
      <c r="AL20" s="35">
        <f t="shared" si="18"/>
        <v>0.19096490160000004</v>
      </c>
      <c r="AM20" s="35">
        <f t="shared" si="18"/>
        <v>0.43599292602739737</v>
      </c>
      <c r="AN20" s="42">
        <f t="shared" si="40"/>
        <v>1.5666233820634187E-2</v>
      </c>
      <c r="AO20" s="36">
        <f t="shared" si="41"/>
        <v>5.9839999999999997E-2</v>
      </c>
      <c r="AP20" s="34">
        <f t="shared" si="19"/>
        <v>0.16612842792050866</v>
      </c>
      <c r="AQ20" s="35">
        <f t="shared" si="20"/>
        <v>3.10858911</v>
      </c>
      <c r="AR20" s="35">
        <f t="shared" si="20"/>
        <v>0.18651534659999999</v>
      </c>
      <c r="AS20" s="35">
        <f t="shared" si="20"/>
        <v>0.42583412465753429</v>
      </c>
      <c r="AT20" s="42">
        <f t="shared" si="42"/>
        <v>2.0929160367546933E-2</v>
      </c>
      <c r="AU20" s="36">
        <f t="shared" si="43"/>
        <v>7.8079999999999997E-2</v>
      </c>
      <c r="AV20" s="34">
        <f t="shared" si="21"/>
        <v>0.13844035660042389</v>
      </c>
      <c r="AW20" s="35">
        <f t="shared" si="22"/>
        <v>3.0869662725000007</v>
      </c>
      <c r="AX20" s="35">
        <f t="shared" si="22"/>
        <v>0.18521797635000004</v>
      </c>
      <c r="AY20" s="35">
        <f t="shared" si="22"/>
        <v>0.42287209212328775</v>
      </c>
      <c r="AZ20" s="42">
        <f t="shared" si="44"/>
        <v>1.5185991961627432E-2</v>
      </c>
      <c r="BA20" s="36">
        <f t="shared" si="45"/>
        <v>5.6260000000000004E-2</v>
      </c>
      <c r="BB20" s="34">
        <f t="shared" si="23"/>
        <v>0.11866316280036333</v>
      </c>
      <c r="BC20" s="35">
        <f t="shared" si="24"/>
        <v>2.6777072024999997</v>
      </c>
      <c r="BD20" s="35">
        <f t="shared" si="24"/>
        <v>0.16066243214999998</v>
      </c>
      <c r="BE20" s="35">
        <f t="shared" si="24"/>
        <v>0.36680920582191778</v>
      </c>
      <c r="BF20" s="42">
        <f t="shared" si="46"/>
        <v>2.2990007997336297E-2</v>
      </c>
      <c r="BG20" s="36">
        <f t="shared" si="47"/>
        <v>7.3880000000000001E-2</v>
      </c>
      <c r="BH20" s="34">
        <f t="shared" si="25"/>
        <v>0.10383026745031791</v>
      </c>
      <c r="BI20" s="35">
        <f t="shared" si="26"/>
        <v>2.8119854399999999</v>
      </c>
      <c r="BJ20" s="35">
        <f t="shared" si="26"/>
        <v>0.1687191264</v>
      </c>
      <c r="BK20" s="35">
        <f t="shared" si="26"/>
        <v>0.38520348493150686</v>
      </c>
      <c r="BL20" s="42">
        <f t="shared" si="48"/>
        <v>3.633782950881851E-2</v>
      </c>
      <c r="BM20" s="36">
        <f t="shared" si="49"/>
        <v>0.12262999999999999</v>
      </c>
      <c r="BN20" s="34">
        <f t="shared" si="27"/>
        <v>9.2293571066949256E-2</v>
      </c>
      <c r="BO20" s="35">
        <f t="shared" si="28"/>
        <v>2.2471919250000001</v>
      </c>
      <c r="BP20" s="35">
        <f t="shared" si="28"/>
        <v>0.1348315155</v>
      </c>
      <c r="BQ20" s="35">
        <f t="shared" si="28"/>
        <v>0.30783451027397263</v>
      </c>
      <c r="BR20" s="42">
        <f t="shared" si="50"/>
        <v>2.3653083169565058E-2</v>
      </c>
      <c r="BS20" s="36">
        <f t="shared" si="51"/>
        <v>6.3789999999999999E-2</v>
      </c>
      <c r="BT20" s="34">
        <f t="shared" si="29"/>
        <v>8.3064213960254332E-2</v>
      </c>
      <c r="BU20" s="35">
        <f t="shared" si="30"/>
        <v>2.6090890650000005</v>
      </c>
      <c r="BV20" s="35">
        <f t="shared" si="30"/>
        <v>0.15654534390000002</v>
      </c>
      <c r="BW20" s="35">
        <f t="shared" si="30"/>
        <v>0.35740946095890419</v>
      </c>
      <c r="BX20" s="42">
        <f t="shared" si="52"/>
        <v>1.9985820223427288E-2</v>
      </c>
      <c r="BY20" s="36">
        <f t="shared" si="53"/>
        <v>6.2579999999999997E-2</v>
      </c>
      <c r="BZ20" s="34">
        <f t="shared" si="31"/>
        <v>5.5376142640169553E-2</v>
      </c>
      <c r="CA20" s="35">
        <f t="shared" si="32"/>
        <v>1.8780371775000002</v>
      </c>
      <c r="CB20" s="35">
        <f t="shared" si="32"/>
        <v>0.11268223065000001</v>
      </c>
      <c r="CC20" s="35">
        <f t="shared" si="32"/>
        <v>0.25726536678082196</v>
      </c>
      <c r="CD20" s="42">
        <f t="shared" si="54"/>
        <v>1.3838420139582138E-2</v>
      </c>
      <c r="CE20" s="36">
        <f t="shared" si="55"/>
        <v>3.1189999999999999E-2</v>
      </c>
      <c r="CF20" s="34">
        <f t="shared" si="33"/>
        <v>4.1532106980127166E-2</v>
      </c>
      <c r="CG20" s="35">
        <f t="shared" si="34"/>
        <v>0</v>
      </c>
      <c r="CH20" s="35">
        <f t="shared" si="34"/>
        <v>0</v>
      </c>
      <c r="CI20" s="35">
        <f t="shared" si="34"/>
        <v>0</v>
      </c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12707.5</v>
      </c>
      <c r="D21">
        <v>64098</v>
      </c>
      <c r="E21">
        <v>2083.6999999999998</v>
      </c>
      <c r="F21">
        <f t="shared" si="60"/>
        <v>6.4097999999999997</v>
      </c>
      <c r="G21">
        <f t="shared" si="61"/>
        <v>1.27075</v>
      </c>
      <c r="H21">
        <f t="shared" si="62"/>
        <v>5.1390499999999992</v>
      </c>
      <c r="I21">
        <f t="shared" si="64"/>
        <v>0.20836999999999997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1.2639840228455843</v>
      </c>
      <c r="P21" s="4">
        <v>3</v>
      </c>
      <c r="Q21" s="5">
        <f t="shared" si="67"/>
        <v>5.1390499999999992</v>
      </c>
      <c r="R21" s="5">
        <f t="shared" si="67"/>
        <v>0.20836999999999997</v>
      </c>
      <c r="S21" s="5">
        <f t="shared" si="68"/>
        <v>5.70948455</v>
      </c>
      <c r="T21" s="5">
        <f t="shared" si="69"/>
        <v>0.342569073</v>
      </c>
      <c r="U21" s="5">
        <f t="shared" si="70"/>
        <v>0.78212117123287672</v>
      </c>
      <c r="V21" s="5">
        <f t="shared" si="63"/>
        <v>1.2639840228455843</v>
      </c>
      <c r="W21" s="19"/>
      <c r="X21" s="34">
        <f t="shared" si="12"/>
        <v>0.34829471991101485</v>
      </c>
      <c r="Y21" s="35">
        <f t="shared" si="13"/>
        <v>3.2416757999999999</v>
      </c>
      <c r="Z21" s="35">
        <f t="shared" si="13"/>
        <v>0.194500548</v>
      </c>
      <c r="AA21" s="35">
        <f t="shared" si="13"/>
        <v>0.44406517808219176</v>
      </c>
      <c r="AB21" s="42">
        <f t="shared" si="37"/>
        <v>3.4061279045856471E-2</v>
      </c>
      <c r="AC21" s="36">
        <f t="shared" si="14"/>
        <v>0.16564000000000001</v>
      </c>
      <c r="AD21" s="34">
        <f t="shared" si="15"/>
        <v>0.23219647994067658</v>
      </c>
      <c r="AE21" s="35">
        <f t="shared" si="16"/>
        <v>3.3306469020000007</v>
      </c>
      <c r="AF21" s="35">
        <f t="shared" si="16"/>
        <v>0.19983881412000004</v>
      </c>
      <c r="AG21" s="35">
        <f t="shared" si="16"/>
        <v>0.4562530002739727</v>
      </c>
      <c r="AH21" s="42">
        <f t="shared" si="38"/>
        <v>1.3947847180109156E-2</v>
      </c>
      <c r="AI21" s="36">
        <f t="shared" si="39"/>
        <v>6.9690000000000002E-2</v>
      </c>
      <c r="AJ21" s="34">
        <f t="shared" si="17"/>
        <v>0.17414735995550742</v>
      </c>
      <c r="AK21" s="35">
        <f t="shared" si="18"/>
        <v>2.8240042380000001</v>
      </c>
      <c r="AL21" s="35">
        <f t="shared" si="18"/>
        <v>0.16944025428000001</v>
      </c>
      <c r="AM21" s="35">
        <f t="shared" si="18"/>
        <v>0.3868498956164384</v>
      </c>
      <c r="AN21" s="42">
        <f t="shared" si="40"/>
        <v>2.0526717070741163E-2</v>
      </c>
      <c r="AO21" s="36">
        <f t="shared" si="41"/>
        <v>8.6959999999999996E-2</v>
      </c>
      <c r="AP21" s="34">
        <f t="shared" si="19"/>
        <v>0.13931788796440595</v>
      </c>
      <c r="AQ21" s="35">
        <f t="shared" si="20"/>
        <v>2.0947505039999998</v>
      </c>
      <c r="AR21" s="35">
        <f t="shared" si="20"/>
        <v>0.12568503024</v>
      </c>
      <c r="AS21" s="35">
        <f t="shared" si="20"/>
        <v>0.28695212383561641</v>
      </c>
      <c r="AT21" s="42">
        <f t="shared" si="42"/>
        <v>2.4121383383612739E-2</v>
      </c>
      <c r="AU21" s="36">
        <f t="shared" si="43"/>
        <v>7.5800000000000006E-2</v>
      </c>
      <c r="AV21" s="34">
        <f t="shared" si="21"/>
        <v>0.11609823997033829</v>
      </c>
      <c r="AW21" s="35">
        <f t="shared" si="22"/>
        <v>2.6109122159999996</v>
      </c>
      <c r="AX21" s="35">
        <f t="shared" si="22"/>
        <v>0.15665473295999996</v>
      </c>
      <c r="AY21" s="35">
        <f t="shared" si="22"/>
        <v>0.35765920767123283</v>
      </c>
      <c r="AZ21" s="42">
        <f t="shared" si="44"/>
        <v>2.4234316118424411E-2</v>
      </c>
      <c r="BA21" s="36">
        <f t="shared" si="45"/>
        <v>9.4920000000000004E-2</v>
      </c>
      <c r="BB21" s="34">
        <f t="shared" si="23"/>
        <v>9.951277711743281E-2</v>
      </c>
      <c r="BC21" s="35">
        <f t="shared" si="24"/>
        <v>2.2414491660000002</v>
      </c>
      <c r="BD21" s="35">
        <f t="shared" si="24"/>
        <v>0.13448694996000002</v>
      </c>
      <c r="BE21" s="35">
        <f t="shared" si="24"/>
        <v>0.30704783095890414</v>
      </c>
      <c r="BF21" s="42">
        <f t="shared" si="46"/>
        <v>1.918209908669417E-2</v>
      </c>
      <c r="BG21" s="36">
        <f t="shared" si="47"/>
        <v>6.4500000000000002E-2</v>
      </c>
      <c r="BH21" s="34">
        <f t="shared" si="25"/>
        <v>8.7073679977753712E-2</v>
      </c>
      <c r="BI21" s="35">
        <f t="shared" si="26"/>
        <v>2.0254241039999994</v>
      </c>
      <c r="BJ21" s="35">
        <f t="shared" si="26"/>
        <v>0.12152544623999996</v>
      </c>
      <c r="BK21" s="35">
        <f t="shared" si="26"/>
        <v>0.27745535671232868</v>
      </c>
      <c r="BL21" s="42">
        <f t="shared" si="48"/>
        <v>7.2336462131883481E-2</v>
      </c>
      <c r="BM21" s="36">
        <f t="shared" si="49"/>
        <v>0.21979000000000001</v>
      </c>
      <c r="BN21" s="34">
        <f t="shared" si="27"/>
        <v>7.7398826646892183E-2</v>
      </c>
      <c r="BO21" s="35">
        <f t="shared" si="28"/>
        <v>1.7784154740000002</v>
      </c>
      <c r="BP21" s="35">
        <f t="shared" si="28"/>
        <v>0.10670492844000001</v>
      </c>
      <c r="BQ21" s="35">
        <f t="shared" si="28"/>
        <v>0.24361855808219182</v>
      </c>
      <c r="BR21" s="42">
        <f t="shared" si="50"/>
        <v>6.8994598727833617E-2</v>
      </c>
      <c r="BS21" s="36">
        <f t="shared" si="51"/>
        <v>0.18407000000000001</v>
      </c>
      <c r="BT21" s="34">
        <f t="shared" si="29"/>
        <v>6.9658943982202973E-2</v>
      </c>
      <c r="BU21" s="35">
        <f t="shared" si="30"/>
        <v>1.0313901839999999</v>
      </c>
      <c r="BV21" s="35">
        <f t="shared" si="30"/>
        <v>6.1883411039999996E-2</v>
      </c>
      <c r="BW21" s="35">
        <f t="shared" si="30"/>
        <v>0.14128632657534246</v>
      </c>
      <c r="BX21" s="42">
        <f t="shared" si="52"/>
        <v>0.19377730668803805</v>
      </c>
      <c r="BY21" s="36">
        <f t="shared" si="53"/>
        <v>0.29981999999999998</v>
      </c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19497.400000000001</v>
      </c>
      <c r="D22">
        <v>55617.1</v>
      </c>
      <c r="E22">
        <v>1898.2</v>
      </c>
      <c r="F22">
        <f t="shared" si="60"/>
        <v>5.5617099999999997</v>
      </c>
      <c r="G22">
        <f t="shared" si="61"/>
        <v>1.9497400000000003</v>
      </c>
      <c r="H22">
        <f t="shared" si="62"/>
        <v>3.6119699999999995</v>
      </c>
      <c r="I22">
        <f t="shared" si="64"/>
        <v>0.18982000000000002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0.76556441682418974</v>
      </c>
      <c r="P22" s="4">
        <v>3</v>
      </c>
      <c r="Q22" s="5">
        <f t="shared" si="67"/>
        <v>3.6119699999999995</v>
      </c>
      <c r="R22" s="5">
        <f t="shared" si="67"/>
        <v>0.18982000000000002</v>
      </c>
      <c r="S22" s="5">
        <f t="shared" si="68"/>
        <v>4.0128986699999993</v>
      </c>
      <c r="T22" s="5">
        <f t="shared" si="69"/>
        <v>0.24077392019999996</v>
      </c>
      <c r="U22" s="5">
        <f t="shared" si="70"/>
        <v>0.5497121465753424</v>
      </c>
      <c r="V22" s="5">
        <f t="shared" si="63"/>
        <v>0.76556441682418974</v>
      </c>
      <c r="W22" s="19"/>
      <c r="X22" s="34">
        <f t="shared" si="12"/>
        <v>0.28070077803233701</v>
      </c>
      <c r="Y22" s="35">
        <f t="shared" si="13"/>
        <v>3.0137985900000004</v>
      </c>
      <c r="Z22" s="35">
        <f t="shared" si="13"/>
        <v>0.18082791540000001</v>
      </c>
      <c r="AA22" s="35">
        <f t="shared" si="13"/>
        <v>0.41284912191780826</v>
      </c>
      <c r="AB22" s="42">
        <f t="shared" si="37"/>
        <v>4.0614666622430129E-2</v>
      </c>
      <c r="AC22" s="36">
        <f t="shared" si="14"/>
        <v>0.29380000000000001</v>
      </c>
      <c r="AD22" s="34">
        <f t="shared" si="15"/>
        <v>0.18713385202155799</v>
      </c>
      <c r="AE22" s="35">
        <f t="shared" si="16"/>
        <v>2.7135702825000001</v>
      </c>
      <c r="AF22" s="35">
        <f t="shared" si="16"/>
        <v>0.16281421695000001</v>
      </c>
      <c r="AG22" s="35">
        <f t="shared" si="16"/>
        <v>0.37172195650684936</v>
      </c>
      <c r="AH22" s="42">
        <f t="shared" si="38"/>
        <v>6.4975542051397009E-2</v>
      </c>
      <c r="AI22" s="36">
        <f t="shared" si="39"/>
        <v>0.42320000000000002</v>
      </c>
      <c r="AJ22" s="34">
        <f t="shared" si="17"/>
        <v>0.1403503890161685</v>
      </c>
      <c r="AK22" s="35">
        <f t="shared" si="18"/>
        <v>2.3640177412500005</v>
      </c>
      <c r="AL22" s="35">
        <f t="shared" si="18"/>
        <v>0.14184106447500003</v>
      </c>
      <c r="AM22" s="35">
        <f t="shared" si="18"/>
        <v>0.3238380467465754</v>
      </c>
      <c r="AN22" s="42">
        <f t="shared" si="40"/>
        <v>1.7676469499718902E-2</v>
      </c>
      <c r="AO22" s="36">
        <f t="shared" si="41"/>
        <v>0.1003</v>
      </c>
      <c r="AP22" s="34">
        <f t="shared" si="19"/>
        <v>0.1122803112129348</v>
      </c>
      <c r="AQ22" s="35">
        <f t="shared" si="20"/>
        <v>1.3364371762499998</v>
      </c>
      <c r="AR22" s="35">
        <f t="shared" si="20"/>
        <v>8.0186230574999989E-2</v>
      </c>
      <c r="AS22" s="35">
        <f t="shared" si="20"/>
        <v>0.18307358578767122</v>
      </c>
      <c r="AT22" s="42">
        <f t="shared" si="42"/>
        <v>5.9708146157611067E-2</v>
      </c>
      <c r="AU22" s="36">
        <f t="shared" si="43"/>
        <v>0.19153000000000001</v>
      </c>
      <c r="AV22" s="34">
        <f t="shared" si="21"/>
        <v>9.3566926010778997E-2</v>
      </c>
      <c r="AW22" s="35">
        <f t="shared" si="22"/>
        <v>1.2074292449999997</v>
      </c>
      <c r="AX22" s="35">
        <f t="shared" si="22"/>
        <v>7.2445754699999976E-2</v>
      </c>
      <c r="AY22" s="35">
        <f t="shared" si="22"/>
        <v>0.16540126643835612</v>
      </c>
      <c r="AZ22" s="42">
        <f t="shared" si="44"/>
        <v>0.11362538473217121</v>
      </c>
      <c r="BA22" s="36">
        <f t="shared" si="45"/>
        <v>0.32929999999999998</v>
      </c>
      <c r="BB22" s="34">
        <f t="shared" si="23"/>
        <v>8.0200222294953424E-2</v>
      </c>
      <c r="BC22" s="35">
        <f t="shared" si="24"/>
        <v>0.72511081499999996</v>
      </c>
      <c r="BD22" s="35">
        <f t="shared" si="24"/>
        <v>4.3506648899999993E-2</v>
      </c>
      <c r="BE22" s="35">
        <f t="shared" si="24"/>
        <v>9.933024863013698E-2</v>
      </c>
      <c r="BF22" s="42">
        <f t="shared" si="46"/>
        <v>0.27347682195306933</v>
      </c>
      <c r="BG22" s="36">
        <f t="shared" si="47"/>
        <v>0.47597</v>
      </c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16669.099999999999</v>
      </c>
      <c r="D23">
        <v>54145.4</v>
      </c>
      <c r="E23">
        <v>1811.5</v>
      </c>
      <c r="F23">
        <f t="shared" si="60"/>
        <v>5.4145400000000006</v>
      </c>
      <c r="G23">
        <f t="shared" si="61"/>
        <v>1.6669099999999999</v>
      </c>
      <c r="H23">
        <f t="shared" si="62"/>
        <v>3.7476300000000009</v>
      </c>
      <c r="I23">
        <f t="shared" si="64"/>
        <v>0.18115000000000001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0.55332190013679428</v>
      </c>
      <c r="P23" s="4">
        <v>3</v>
      </c>
      <c r="Q23" s="5">
        <f t="shared" si="67"/>
        <v>3.7476300000000009</v>
      </c>
      <c r="R23" s="5">
        <f t="shared" si="67"/>
        <v>0.18115000000000001</v>
      </c>
      <c r="S23" s="5">
        <f t="shared" si="68"/>
        <v>4.1636169300000017</v>
      </c>
      <c r="T23" s="5">
        <f t="shared" si="69"/>
        <v>0.2498170158000001</v>
      </c>
      <c r="U23" s="5">
        <f t="shared" si="70"/>
        <v>0.57035848356164409</v>
      </c>
      <c r="V23" s="5">
        <f t="shared" si="63"/>
        <v>0.55332190013679428</v>
      </c>
      <c r="W23" s="19"/>
      <c r="X23" s="34">
        <f t="shared" si="12"/>
        <v>0.20101496689095116</v>
      </c>
      <c r="Y23" s="35">
        <f t="shared" si="13"/>
        <v>1.9655700900000004</v>
      </c>
      <c r="Z23" s="35">
        <f t="shared" si="13"/>
        <v>0.11793420540000002</v>
      </c>
      <c r="AA23" s="35">
        <f t="shared" si="13"/>
        <v>0.26925617671232882</v>
      </c>
      <c r="AB23" s="42">
        <f t="shared" si="37"/>
        <v>6.9651729241711091E-2</v>
      </c>
      <c r="AC23" s="36">
        <f t="shared" si="14"/>
        <v>0.57506000000000002</v>
      </c>
      <c r="AD23" s="34">
        <f t="shared" si="15"/>
        <v>0.13400997792730077</v>
      </c>
      <c r="AE23" s="35">
        <f t="shared" si="16"/>
        <v>1.0793777657142856</v>
      </c>
      <c r="AF23" s="35">
        <f t="shared" si="16"/>
        <v>6.4762665942857137E-2</v>
      </c>
      <c r="AG23" s="35">
        <f t="shared" si="16"/>
        <v>0.14785996790606651</v>
      </c>
      <c r="AH23" s="42">
        <f t="shared" si="38"/>
        <v>0.23139105041201277</v>
      </c>
      <c r="AI23" s="36">
        <f t="shared" si="39"/>
        <v>1.0490899999999999</v>
      </c>
      <c r="AJ23" s="34">
        <f t="shared" si="17"/>
        <v>0.10050748344547558</v>
      </c>
      <c r="AK23" s="35">
        <f t="shared" si="18"/>
        <v>0.12641592857142853</v>
      </c>
      <c r="AL23" s="35">
        <f t="shared" si="18"/>
        <v>7.5849557142857113E-3</v>
      </c>
      <c r="AM23" s="35">
        <f t="shared" si="18"/>
        <v>1.7317250489236786E-2</v>
      </c>
      <c r="AN23" s="42">
        <f t="shared" si="40"/>
        <v>1.6530131826741998</v>
      </c>
      <c r="AO23" s="36">
        <f t="shared" si="41"/>
        <v>0.87775000000000003</v>
      </c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19650.2</v>
      </c>
      <c r="D24">
        <v>62051.6</v>
      </c>
      <c r="E24">
        <v>980.4</v>
      </c>
      <c r="F24">
        <f t="shared" si="60"/>
        <v>6.2051600000000002</v>
      </c>
      <c r="G24">
        <f t="shared" si="61"/>
        <v>1.96502</v>
      </c>
      <c r="H24">
        <f t="shared" si="62"/>
        <v>4.2401400000000002</v>
      </c>
      <c r="I24">
        <f t="shared" si="64"/>
        <v>9.8040000000000002E-2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0.38300530434979718</v>
      </c>
      <c r="P24" s="4">
        <v>4</v>
      </c>
      <c r="Q24" s="5">
        <f t="shared" si="67"/>
        <v>4.2401400000000002</v>
      </c>
      <c r="R24" s="5">
        <f t="shared" si="67"/>
        <v>9.8040000000000002E-2</v>
      </c>
      <c r="S24" s="5">
        <f t="shared" si="68"/>
        <v>3.5330966550000005</v>
      </c>
      <c r="T24" s="5">
        <f t="shared" si="69"/>
        <v>0.21198579930000003</v>
      </c>
      <c r="U24" s="5">
        <f t="shared" si="70"/>
        <v>0.48398584315068499</v>
      </c>
      <c r="V24" s="5">
        <f t="shared" si="63"/>
        <v>0.38300530434979718</v>
      </c>
      <c r="W24" s="19"/>
      <c r="X24" s="37"/>
      <c r="Y24" s="38"/>
      <c r="Z24" s="38"/>
      <c r="AA24" s="38"/>
      <c r="AB24" s="43"/>
      <c r="AC24" s="39"/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16007</v>
      </c>
      <c r="D25">
        <v>54502.400000000001</v>
      </c>
      <c r="E25">
        <v>791.6</v>
      </c>
      <c r="F25">
        <f t="shared" si="60"/>
        <v>5.45024</v>
      </c>
      <c r="G25">
        <f t="shared" si="61"/>
        <v>1.6007</v>
      </c>
      <c r="H25">
        <f t="shared" si="62"/>
        <v>3.8495400000000002</v>
      </c>
      <c r="I25">
        <f t="shared" si="64"/>
        <v>7.9160000000000008E-2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0.27688071320084778</v>
      </c>
      <c r="P25" s="4">
        <v>4</v>
      </c>
      <c r="Q25" s="5">
        <f t="shared" si="67"/>
        <v>3.8495400000000002</v>
      </c>
      <c r="R25" s="5">
        <f t="shared" si="67"/>
        <v>7.9160000000000008E-2</v>
      </c>
      <c r="S25" s="5">
        <f t="shared" si="68"/>
        <v>3.2076292050000008</v>
      </c>
      <c r="T25" s="5">
        <f t="shared" si="69"/>
        <v>0.19245775230000003</v>
      </c>
      <c r="U25" s="5">
        <f t="shared" si="70"/>
        <v>0.43940126095890425</v>
      </c>
      <c r="V25" s="5">
        <f t="shared" si="63"/>
        <v>0.27688071320084778</v>
      </c>
      <c r="W25" s="19"/>
      <c r="X25" s="26"/>
      <c r="Y25" s="21"/>
      <c r="Z25" s="18"/>
    </row>
    <row r="26" spans="2:95" x14ac:dyDescent="0.3">
      <c r="B26">
        <v>8</v>
      </c>
      <c r="C26">
        <v>14941.2</v>
      </c>
      <c r="D26">
        <v>64905.9</v>
      </c>
      <c r="E26">
        <v>696.9</v>
      </c>
      <c r="F26">
        <f t="shared" si="60"/>
        <v>6.4905900000000001</v>
      </c>
      <c r="G26">
        <f t="shared" si="61"/>
        <v>1.4941200000000001</v>
      </c>
      <c r="H26">
        <f t="shared" si="62"/>
        <v>4.9964700000000004</v>
      </c>
      <c r="I26">
        <f t="shared" si="64"/>
        <v>6.9690000000000002E-2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0.23219647994067658</v>
      </c>
      <c r="P26" s="4">
        <v>5</v>
      </c>
      <c r="Q26" s="5">
        <f t="shared" si="67"/>
        <v>4.9964700000000004</v>
      </c>
      <c r="R26" s="5">
        <f t="shared" si="67"/>
        <v>6.9690000000000002E-2</v>
      </c>
      <c r="S26" s="5">
        <f t="shared" si="68"/>
        <v>3.3306469020000007</v>
      </c>
      <c r="T26" s="5">
        <f t="shared" si="69"/>
        <v>0.19983881412000004</v>
      </c>
      <c r="U26" s="5">
        <f t="shared" si="70"/>
        <v>0.4562530002739727</v>
      </c>
      <c r="V26" s="5">
        <f t="shared" si="63"/>
        <v>0.23219647994067658</v>
      </c>
      <c r="W26" s="19"/>
      <c r="X26" s="26"/>
      <c r="Y26" s="21"/>
      <c r="Z26" s="18"/>
    </row>
    <row r="27" spans="2:95" x14ac:dyDescent="0.3">
      <c r="B27">
        <v>9</v>
      </c>
      <c r="C27">
        <v>16947.400000000001</v>
      </c>
      <c r="D27">
        <v>82079.600000000006</v>
      </c>
      <c r="E27">
        <v>4232</v>
      </c>
      <c r="F27">
        <f t="shared" si="60"/>
        <v>8.2079599999999999</v>
      </c>
      <c r="G27">
        <f t="shared" si="61"/>
        <v>1.6947400000000001</v>
      </c>
      <c r="H27">
        <f t="shared" si="62"/>
        <v>6.5132199999999996</v>
      </c>
      <c r="I27">
        <f t="shared" si="64"/>
        <v>0.42320000000000002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0.18713385202155799</v>
      </c>
      <c r="P27" s="4">
        <v>8</v>
      </c>
      <c r="Q27" s="5">
        <f t="shared" si="67"/>
        <v>6.5132199999999996</v>
      </c>
      <c r="R27" s="5">
        <f t="shared" si="67"/>
        <v>0.42320000000000002</v>
      </c>
      <c r="S27" s="5">
        <f t="shared" si="68"/>
        <v>2.7135702825000001</v>
      </c>
      <c r="T27" s="5">
        <f t="shared" si="69"/>
        <v>0.16281421695000001</v>
      </c>
      <c r="U27" s="5">
        <f t="shared" si="70"/>
        <v>0.37172195650684936</v>
      </c>
      <c r="V27" s="5">
        <f t="shared" si="63"/>
        <v>0.18713385202155799</v>
      </c>
      <c r="W27" s="19"/>
      <c r="X27" s="26"/>
      <c r="Y27" s="69" t="s">
        <v>6</v>
      </c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</row>
    <row r="28" spans="2:95" x14ac:dyDescent="0.3">
      <c r="B28">
        <v>10</v>
      </c>
      <c r="C28">
        <v>9063.1</v>
      </c>
      <c r="D28">
        <v>54401.5</v>
      </c>
      <c r="E28">
        <v>10490.9</v>
      </c>
      <c r="F28">
        <f t="shared" si="60"/>
        <v>5.44015</v>
      </c>
      <c r="G28">
        <f t="shared" si="61"/>
        <v>0.90631000000000006</v>
      </c>
      <c r="H28">
        <f t="shared" si="62"/>
        <v>4.5338399999999996</v>
      </c>
      <c r="I28">
        <f t="shared" si="64"/>
        <v>1.0490899999999999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0.13400997792730077</v>
      </c>
      <c r="P28" s="4">
        <v>14</v>
      </c>
      <c r="Q28" s="5">
        <f t="shared" si="67"/>
        <v>4.5338399999999996</v>
      </c>
      <c r="R28" s="5">
        <f t="shared" si="67"/>
        <v>1.0490899999999999</v>
      </c>
      <c r="S28" s="5">
        <f t="shared" si="68"/>
        <v>1.0793777657142856</v>
      </c>
      <c r="T28" s="5">
        <f t="shared" si="69"/>
        <v>6.4762665942857137E-2</v>
      </c>
      <c r="U28" s="5">
        <f t="shared" si="70"/>
        <v>0.14785996790606651</v>
      </c>
      <c r="V28" s="5">
        <f t="shared" si="63"/>
        <v>0.13400997792730077</v>
      </c>
      <c r="W28" s="19"/>
      <c r="X28" s="52" t="s">
        <v>65</v>
      </c>
      <c r="Y28" s="50">
        <f>AC13</f>
        <v>2</v>
      </c>
      <c r="Z28" s="50">
        <f>AI13</f>
        <v>3</v>
      </c>
      <c r="AA28" s="50">
        <f>AO13</f>
        <v>4</v>
      </c>
      <c r="AB28" s="50">
        <f>AU13</f>
        <v>5</v>
      </c>
      <c r="AC28" s="50">
        <f>BA13</f>
        <v>6</v>
      </c>
      <c r="AD28" s="50">
        <f>BE13</f>
        <v>7</v>
      </c>
      <c r="AE28" s="50">
        <f>BM13</f>
        <v>8</v>
      </c>
      <c r="AF28" s="50">
        <f>BS13</f>
        <v>9</v>
      </c>
      <c r="AG28" s="50">
        <f>BY13</f>
        <v>10</v>
      </c>
      <c r="AH28" s="50">
        <f>CE13</f>
        <v>15</v>
      </c>
      <c r="AI28" s="50">
        <f>CK13</f>
        <v>20</v>
      </c>
      <c r="AJ28" s="50">
        <f>CQ13</f>
        <v>25</v>
      </c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8.6420089236338371E-2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8.6420089236338371E-2</v>
      </c>
      <c r="W29" s="19"/>
      <c r="X29" s="53">
        <v>9.9104601270028319</v>
      </c>
      <c r="Y29" s="51">
        <f>AC14</f>
        <v>0.31641999999999998</v>
      </c>
      <c r="Z29" s="51">
        <f>AI14</f>
        <v>0.30485000000000001</v>
      </c>
      <c r="AA29" s="51">
        <f>AO14</f>
        <v>0.27500999999999998</v>
      </c>
      <c r="AB29" s="51">
        <f>AU14</f>
        <v>0.3458</v>
      </c>
      <c r="AC29" s="51">
        <f>BA14</f>
        <v>0.23753000000000002</v>
      </c>
      <c r="AD29" s="51">
        <f>BG14</f>
        <v>0.26704</v>
      </c>
      <c r="AE29" s="51">
        <f>BM14</f>
        <v>0.26674999999999999</v>
      </c>
      <c r="AF29" s="51">
        <f>BS14</f>
        <v>0.2636</v>
      </c>
      <c r="AG29" s="51">
        <f>BY14</f>
        <v>0.24431</v>
      </c>
      <c r="AH29" s="51">
        <f t="shared" ref="AH29:AH39" si="72">CE14</f>
        <v>0.29954999999999998</v>
      </c>
      <c r="AI29" s="51">
        <f t="shared" ref="AI29:AI39" si="73">CK14</f>
        <v>0.36493000000000003</v>
      </c>
      <c r="AJ29" s="51">
        <f t="shared" ref="AJ29:AJ39" si="74">CQ14</f>
        <v>0.35326999999999997</v>
      </c>
    </row>
    <row r="30" spans="2:95" ht="15" thickTop="1" x14ac:dyDescent="0.3">
      <c r="X30" s="54">
        <v>8.7909578904927308</v>
      </c>
      <c r="Y30" s="51">
        <f t="shared" ref="Y30:Y39" si="75">AC15</f>
        <v>0.33354</v>
      </c>
      <c r="Z30" s="51">
        <f t="shared" ref="Z30:Z39" si="76">AI15</f>
        <v>0.26125999999999999</v>
      </c>
      <c r="AA30" s="51">
        <f t="shared" ref="AA30:AA39" si="77">AO15</f>
        <v>0.22493000000000002</v>
      </c>
      <c r="AB30" s="51">
        <f t="shared" ref="AB30:AB39" si="78">AU15</f>
        <v>0.22978000000000001</v>
      </c>
      <c r="AC30" s="51">
        <f t="shared" ref="AC30:AC39" si="79">BA15</f>
        <v>0.23958000000000002</v>
      </c>
      <c r="AD30" s="51">
        <f t="shared" ref="AD30:AD39" si="80">BG15</f>
        <v>0.28616999999999998</v>
      </c>
      <c r="AE30" s="51">
        <f t="shared" ref="AE30:AE39" si="81">BM15</f>
        <v>0.30359000000000003</v>
      </c>
      <c r="AF30" s="51">
        <f t="shared" ref="AF30:AF39" si="82">BS15</f>
        <v>0.23563000000000001</v>
      </c>
      <c r="AG30" s="51">
        <f t="shared" ref="AG30:AG39" si="83">BY15</f>
        <v>0.2349</v>
      </c>
      <c r="AH30" s="51">
        <f t="shared" si="72"/>
        <v>0.25525999999999999</v>
      </c>
      <c r="AI30" s="51">
        <f t="shared" si="73"/>
        <v>0.43208000000000002</v>
      </c>
      <c r="AJ30" s="51">
        <f t="shared" si="74"/>
        <v>0.28895999999999999</v>
      </c>
    </row>
    <row r="31" spans="2:95" ht="15" thickBot="1" x14ac:dyDescent="0.35">
      <c r="X31" s="54">
        <v>7.5839041370735059</v>
      </c>
      <c r="Y31" s="51">
        <f t="shared" si="75"/>
        <v>0.2555</v>
      </c>
      <c r="Z31" s="51">
        <f t="shared" si="76"/>
        <v>0.20836999999999997</v>
      </c>
      <c r="AA31" s="51">
        <f t="shared" si="77"/>
        <v>0.21945000000000001</v>
      </c>
      <c r="AB31" s="51">
        <f t="shared" si="78"/>
        <v>0.20204</v>
      </c>
      <c r="AC31" s="51">
        <f t="shared" si="79"/>
        <v>0.22841</v>
      </c>
      <c r="AD31" s="51">
        <f t="shared" si="80"/>
        <v>0.20196</v>
      </c>
      <c r="AE31" s="51">
        <f t="shared" si="81"/>
        <v>0.18495</v>
      </c>
      <c r="AF31" s="51">
        <f t="shared" si="82"/>
        <v>0.25206000000000001</v>
      </c>
      <c r="AG31" s="51">
        <f t="shared" si="83"/>
        <v>0.20172999999999999</v>
      </c>
      <c r="AH31" s="51">
        <f t="shared" si="72"/>
        <v>0.32261999999999996</v>
      </c>
      <c r="AI31" s="51">
        <f t="shared" si="73"/>
        <v>0.32111999999999996</v>
      </c>
      <c r="AJ31" s="51">
        <f t="shared" si="74"/>
        <v>0.34709000000000001</v>
      </c>
    </row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  <c r="X32" s="54">
        <v>4.5933865009451385</v>
      </c>
      <c r="Y32" s="51">
        <f t="shared" si="75"/>
        <v>0.22413000000000002</v>
      </c>
      <c r="Z32" s="51">
        <f t="shared" si="76"/>
        <v>0.18982000000000002</v>
      </c>
      <c r="AA32" s="51">
        <f t="shared" si="77"/>
        <v>0.14102999999999999</v>
      </c>
      <c r="AB32" s="51">
        <f t="shared" si="78"/>
        <v>0.14011999999999999</v>
      </c>
      <c r="AC32" s="51">
        <f t="shared" si="79"/>
        <v>0.13534000000000002</v>
      </c>
      <c r="AD32" s="51">
        <f t="shared" si="80"/>
        <v>0.21118000000000001</v>
      </c>
      <c r="AE32" s="51">
        <f t="shared" si="81"/>
        <v>0.18154000000000001</v>
      </c>
      <c r="AF32" s="51">
        <f t="shared" si="82"/>
        <v>0.2135</v>
      </c>
      <c r="AG32" s="51">
        <f t="shared" si="83"/>
        <v>0.23566999999999999</v>
      </c>
      <c r="AH32" s="51">
        <f t="shared" si="72"/>
        <v>0.18015999999999999</v>
      </c>
      <c r="AI32" s="51">
        <f t="shared" si="73"/>
        <v>0.33402999999999999</v>
      </c>
      <c r="AJ32" s="51">
        <f t="shared" si="74"/>
        <v>0.45078999999999997</v>
      </c>
    </row>
    <row r="33" spans="2:36" ht="15" thickTop="1" x14ac:dyDescent="0.3">
      <c r="B33">
        <v>1</v>
      </c>
      <c r="C33">
        <v>1895.7</v>
      </c>
      <c r="D33">
        <v>48067.5</v>
      </c>
      <c r="E33">
        <v>2750.1</v>
      </c>
      <c r="F33">
        <f t="shared" ref="F33:F43" si="84">D33/10000</f>
        <v>4.8067500000000001</v>
      </c>
      <c r="G33">
        <f t="shared" ref="G33:G43" si="85">C33/10000</f>
        <v>0.18957000000000002</v>
      </c>
      <c r="H33">
        <f t="shared" ref="H33:H43" si="86">F33-G33</f>
        <v>4.6171800000000003</v>
      </c>
      <c r="I33">
        <f>E33/10000</f>
        <v>0.27500999999999998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1.238807515875354</v>
      </c>
      <c r="P33" s="2">
        <v>3</v>
      </c>
      <c r="Q33" s="8">
        <f>H33</f>
        <v>4.6171800000000003</v>
      </c>
      <c r="R33" s="8">
        <f>I33</f>
        <v>0.27500999999999998</v>
      </c>
      <c r="S33" s="8">
        <f>Q33/10^6*$Z$4*$Z$3/P33*10^12</f>
        <v>5.1296869800000007</v>
      </c>
      <c r="T33" s="8">
        <f>S33*0.06</f>
        <v>0.30778121880000003</v>
      </c>
      <c r="U33" s="8">
        <f>S33/$Z$1</f>
        <v>0.70269684657534259</v>
      </c>
      <c r="V33" s="12">
        <f t="shared" ref="V33:V43" si="87">O33</f>
        <v>1.238807515875354</v>
      </c>
      <c r="X33" s="54">
        <v>3.3199314008207654</v>
      </c>
      <c r="Y33" s="51">
        <f t="shared" si="75"/>
        <v>0.44433</v>
      </c>
      <c r="Z33" s="51">
        <f t="shared" si="76"/>
        <v>0.18115000000000001</v>
      </c>
      <c r="AA33" s="51">
        <f t="shared" si="77"/>
        <v>0.17951</v>
      </c>
      <c r="AB33" s="51">
        <f t="shared" si="78"/>
        <v>8.949E-2</v>
      </c>
      <c r="AC33" s="51">
        <f t="shared" si="79"/>
        <v>0.11255</v>
      </c>
      <c r="AD33" s="51">
        <f t="shared" si="80"/>
        <v>0.10967</v>
      </c>
      <c r="AE33" s="51">
        <f t="shared" si="81"/>
        <v>6.9980000000000001E-2</v>
      </c>
      <c r="AF33" s="51">
        <f t="shared" si="82"/>
        <v>0.13294</v>
      </c>
      <c r="AG33" s="51">
        <f t="shared" si="83"/>
        <v>0.13464999999999999</v>
      </c>
      <c r="AH33" s="51">
        <f t="shared" si="72"/>
        <v>0.13102</v>
      </c>
      <c r="AI33" s="51">
        <f t="shared" si="73"/>
        <v>0.20471</v>
      </c>
      <c r="AJ33" s="51">
        <f t="shared" si="74"/>
        <v>0.17069999999999999</v>
      </c>
    </row>
    <row r="34" spans="2:36" x14ac:dyDescent="0.3">
      <c r="B34">
        <v>2</v>
      </c>
      <c r="C34">
        <v>4096.5</v>
      </c>
      <c r="D34">
        <v>52274.8</v>
      </c>
      <c r="E34">
        <v>2249.3000000000002</v>
      </c>
      <c r="F34">
        <f t="shared" si="84"/>
        <v>5.2274799999999999</v>
      </c>
      <c r="G34">
        <f t="shared" si="85"/>
        <v>0.40965000000000001</v>
      </c>
      <c r="H34">
        <f t="shared" si="86"/>
        <v>4.8178299999999998</v>
      </c>
      <c r="I34">
        <f t="shared" ref="I34:I43" si="88">E34/10000</f>
        <v>0.22493000000000002</v>
      </c>
      <c r="K34" s="67"/>
      <c r="L34" s="3">
        <v>-98</v>
      </c>
      <c r="M34" s="5">
        <f>L34+98.2</f>
        <v>0.20000000000000284</v>
      </c>
      <c r="N34" s="5">
        <f t="shared" ref="N34:N43" si="89">20.56036*SQRT(1+((L34-(-98.58903))*1.03*1095.70644/(3.14159*20.56036^2))^2)</f>
        <v>22.992351577801337</v>
      </c>
      <c r="O34" s="5">
        <f t="shared" ref="O34:O43" si="90">2*$Z$1/$Z$2/PI()/(N34*10^-4)^2/$K$33/$Z$7</f>
        <v>1.0988697363115913</v>
      </c>
      <c r="P34" s="4">
        <v>3</v>
      </c>
      <c r="Q34" s="5">
        <f t="shared" ref="Q34:R43" si="91">H34</f>
        <v>4.8178299999999998</v>
      </c>
      <c r="R34" s="5">
        <f t="shared" si="91"/>
        <v>0.22493000000000002</v>
      </c>
      <c r="S34" s="5">
        <f t="shared" ref="S34:S43" si="92">Q34/10^6*$Z$4*$Z$3/P34*10^12</f>
        <v>5.3526091300000012</v>
      </c>
      <c r="T34" s="5">
        <f t="shared" ref="T34:T43" si="93">S34*0.06</f>
        <v>0.32115654780000008</v>
      </c>
      <c r="U34" s="5">
        <f t="shared" ref="U34:U43" si="94">S34/$Z$1</f>
        <v>0.73323412739726046</v>
      </c>
      <c r="V34" s="5">
        <f t="shared" si="87"/>
        <v>1.0988697363115913</v>
      </c>
      <c r="X34" s="54">
        <v>2.2980318260987831</v>
      </c>
      <c r="Y34" s="51">
        <f t="shared" si="75"/>
        <v>8.6879999999999999E-2</v>
      </c>
      <c r="Z34" s="51">
        <f t="shared" si="76"/>
        <v>9.8040000000000002E-2</v>
      </c>
      <c r="AA34" s="51">
        <f t="shared" si="77"/>
        <v>0.18486</v>
      </c>
      <c r="AB34" s="51">
        <f t="shared" si="78"/>
        <v>8.8400000000000006E-2</v>
      </c>
      <c r="AC34" s="51">
        <f t="shared" si="79"/>
        <v>7.3700000000000002E-2</v>
      </c>
      <c r="AD34" s="51">
        <f t="shared" si="80"/>
        <v>8.6440000000000003E-2</v>
      </c>
      <c r="AE34" s="51">
        <f t="shared" si="81"/>
        <v>9.4570000000000001E-2</v>
      </c>
      <c r="AF34" s="51">
        <f t="shared" si="82"/>
        <v>6.1089999999999998E-2</v>
      </c>
      <c r="AG34" s="51">
        <f t="shared" si="83"/>
        <v>8.3629999999999996E-2</v>
      </c>
      <c r="AH34" s="51">
        <f t="shared" si="72"/>
        <v>8.2000000000000003E-2</v>
      </c>
      <c r="AI34" s="51">
        <f t="shared" si="73"/>
        <v>0.21948000000000001</v>
      </c>
      <c r="AJ34" s="51">
        <f t="shared" si="74"/>
        <v>0.1406</v>
      </c>
    </row>
    <row r="35" spans="2:36" x14ac:dyDescent="0.3">
      <c r="B35">
        <v>3</v>
      </c>
      <c r="C35">
        <v>12488.1</v>
      </c>
      <c r="D35">
        <v>51735.7</v>
      </c>
      <c r="E35">
        <v>2194.5</v>
      </c>
      <c r="F35">
        <f t="shared" si="84"/>
        <v>5.1735699999999998</v>
      </c>
      <c r="G35">
        <f t="shared" si="85"/>
        <v>1.24881</v>
      </c>
      <c r="H35">
        <f t="shared" si="86"/>
        <v>3.92476</v>
      </c>
      <c r="I35">
        <f t="shared" si="88"/>
        <v>0.21945000000000001</v>
      </c>
      <c r="K35" s="67"/>
      <c r="L35" s="3">
        <v>-97.8</v>
      </c>
      <c r="M35" s="5">
        <f t="shared" ref="M35:M43" si="95">L35+98.2</f>
        <v>0.40000000000000568</v>
      </c>
      <c r="N35" s="5">
        <f t="shared" si="89"/>
        <v>24.754552179927092</v>
      </c>
      <c r="O35" s="5">
        <f t="shared" si="90"/>
        <v>0.94798801713418823</v>
      </c>
      <c r="P35" s="4">
        <v>3</v>
      </c>
      <c r="Q35" s="5">
        <f t="shared" si="91"/>
        <v>3.92476</v>
      </c>
      <c r="R35" s="5">
        <f t="shared" si="91"/>
        <v>0.21945000000000001</v>
      </c>
      <c r="S35" s="5">
        <f t="shared" si="92"/>
        <v>4.3604083600000001</v>
      </c>
      <c r="T35" s="5">
        <f t="shared" si="93"/>
        <v>0.2616245016</v>
      </c>
      <c r="U35" s="5">
        <f t="shared" si="94"/>
        <v>0.59731621369863019</v>
      </c>
      <c r="V35" s="5">
        <f t="shared" si="87"/>
        <v>0.94798801713418823</v>
      </c>
      <c r="X35" s="54">
        <v>1.6612842792050866</v>
      </c>
      <c r="Y35" s="51">
        <f t="shared" si="75"/>
        <v>0.14050000000000001</v>
      </c>
      <c r="Z35" s="51">
        <f t="shared" si="76"/>
        <v>7.9160000000000008E-2</v>
      </c>
      <c r="AA35" s="51">
        <f t="shared" si="77"/>
        <v>5.9839999999999997E-2</v>
      </c>
      <c r="AB35" s="51">
        <f t="shared" si="78"/>
        <v>7.8079999999999997E-2</v>
      </c>
      <c r="AC35" s="51">
        <f t="shared" si="79"/>
        <v>5.6260000000000004E-2</v>
      </c>
      <c r="AD35" s="51">
        <f t="shared" si="80"/>
        <v>7.3880000000000001E-2</v>
      </c>
      <c r="AE35" s="51">
        <f t="shared" si="81"/>
        <v>0.12262999999999999</v>
      </c>
      <c r="AF35" s="51">
        <f t="shared" si="82"/>
        <v>6.3789999999999999E-2</v>
      </c>
      <c r="AG35" s="51">
        <f t="shared" si="83"/>
        <v>6.2579999999999997E-2</v>
      </c>
      <c r="AH35" s="51">
        <f t="shared" si="72"/>
        <v>3.1189999999999999E-2</v>
      </c>
      <c r="AI35" s="51">
        <f t="shared" si="73"/>
        <v>0</v>
      </c>
      <c r="AJ35" s="51">
        <f t="shared" si="74"/>
        <v>0</v>
      </c>
    </row>
    <row r="36" spans="2:36" x14ac:dyDescent="0.3">
      <c r="B36">
        <v>4</v>
      </c>
      <c r="C36">
        <v>15690.6</v>
      </c>
      <c r="D36">
        <v>54656.3</v>
      </c>
      <c r="E36">
        <v>1410.3</v>
      </c>
      <c r="F36">
        <f t="shared" si="84"/>
        <v>5.46563</v>
      </c>
      <c r="G36">
        <f t="shared" si="85"/>
        <v>1.5690600000000001</v>
      </c>
      <c r="H36">
        <f t="shared" si="86"/>
        <v>3.8965699999999996</v>
      </c>
      <c r="I36">
        <f t="shared" si="88"/>
        <v>0.14102999999999999</v>
      </c>
      <c r="K36" s="67"/>
      <c r="L36" s="3">
        <v>-97.2</v>
      </c>
      <c r="M36" s="5">
        <f t="shared" si="95"/>
        <v>1</v>
      </c>
      <c r="N36" s="5">
        <f t="shared" si="89"/>
        <v>31.807899949628325</v>
      </c>
      <c r="O36" s="5">
        <f t="shared" si="90"/>
        <v>0.57417331261814231</v>
      </c>
      <c r="P36" s="4">
        <v>3</v>
      </c>
      <c r="Q36" s="5">
        <f t="shared" si="91"/>
        <v>3.8965699999999996</v>
      </c>
      <c r="R36" s="5">
        <f t="shared" si="91"/>
        <v>0.14102999999999999</v>
      </c>
      <c r="S36" s="5">
        <f t="shared" si="92"/>
        <v>4.3290892699999999</v>
      </c>
      <c r="T36" s="5">
        <f t="shared" si="93"/>
        <v>0.2597453562</v>
      </c>
      <c r="U36" s="5">
        <f t="shared" si="94"/>
        <v>0.59302592739726023</v>
      </c>
      <c r="V36" s="5">
        <f t="shared" si="87"/>
        <v>0.57417331261814231</v>
      </c>
      <c r="X36" s="54">
        <v>1.3931788796440594</v>
      </c>
      <c r="Y36" s="51">
        <f t="shared" si="75"/>
        <v>0.16564000000000001</v>
      </c>
      <c r="Z36" s="51">
        <f t="shared" si="76"/>
        <v>6.9690000000000002E-2</v>
      </c>
      <c r="AA36" s="51">
        <f t="shared" si="77"/>
        <v>8.6959999999999996E-2</v>
      </c>
      <c r="AB36" s="51">
        <f t="shared" si="78"/>
        <v>7.5800000000000006E-2</v>
      </c>
      <c r="AC36" s="51">
        <f t="shared" si="79"/>
        <v>9.4920000000000004E-2</v>
      </c>
      <c r="AD36" s="51">
        <f t="shared" si="80"/>
        <v>6.4500000000000002E-2</v>
      </c>
      <c r="AE36" s="51">
        <f t="shared" si="81"/>
        <v>0.21979000000000001</v>
      </c>
      <c r="AF36" s="51">
        <f t="shared" si="82"/>
        <v>0.18407000000000001</v>
      </c>
      <c r="AG36" s="51">
        <f t="shared" si="83"/>
        <v>0.29981999999999998</v>
      </c>
      <c r="AH36" s="51">
        <f t="shared" si="72"/>
        <v>0</v>
      </c>
      <c r="AI36" s="51">
        <f t="shared" si="73"/>
        <v>0</v>
      </c>
      <c r="AJ36" s="51">
        <f t="shared" si="74"/>
        <v>0</v>
      </c>
    </row>
    <row r="37" spans="2:36" x14ac:dyDescent="0.3">
      <c r="B37">
        <v>5</v>
      </c>
      <c r="C37">
        <v>22683.3</v>
      </c>
      <c r="D37">
        <v>53208.2</v>
      </c>
      <c r="E37">
        <v>1795.1</v>
      </c>
      <c r="F37">
        <f t="shared" si="84"/>
        <v>5.3208199999999994</v>
      </c>
      <c r="G37">
        <f t="shared" si="85"/>
        <v>2.2683299999999997</v>
      </c>
      <c r="H37">
        <f t="shared" si="86"/>
        <v>3.0524899999999997</v>
      </c>
      <c r="I37">
        <f t="shared" si="88"/>
        <v>0.17951</v>
      </c>
      <c r="K37" s="67"/>
      <c r="L37" s="3">
        <v>-96.8</v>
      </c>
      <c r="M37" s="5">
        <f t="shared" si="95"/>
        <v>1.4000000000000057</v>
      </c>
      <c r="N37" s="5">
        <f t="shared" si="89"/>
        <v>37.414240753916886</v>
      </c>
      <c r="O37" s="5">
        <f t="shared" si="90"/>
        <v>0.41499142510259568</v>
      </c>
      <c r="P37" s="4">
        <v>3</v>
      </c>
      <c r="Q37" s="5">
        <f t="shared" si="91"/>
        <v>3.0524899999999997</v>
      </c>
      <c r="R37" s="5">
        <f t="shared" si="91"/>
        <v>0.17951</v>
      </c>
      <c r="S37" s="5">
        <f t="shared" si="92"/>
        <v>3.3913163900000001</v>
      </c>
      <c r="T37" s="5">
        <f t="shared" si="93"/>
        <v>0.20347898340000001</v>
      </c>
      <c r="U37" s="5">
        <f t="shared" si="94"/>
        <v>0.46456388904109591</v>
      </c>
      <c r="V37" s="5">
        <f t="shared" si="87"/>
        <v>0.41499142510259568</v>
      </c>
      <c r="X37" s="54">
        <v>1.122803112129348</v>
      </c>
      <c r="Y37" s="51">
        <f t="shared" si="75"/>
        <v>0.29380000000000001</v>
      </c>
      <c r="Z37" s="51">
        <f t="shared" si="76"/>
        <v>0.42320000000000002</v>
      </c>
      <c r="AA37" s="51">
        <f t="shared" si="77"/>
        <v>0.1003</v>
      </c>
      <c r="AB37" s="51">
        <f t="shared" si="78"/>
        <v>0.19153000000000001</v>
      </c>
      <c r="AC37" s="51">
        <f t="shared" si="79"/>
        <v>0.32929999999999998</v>
      </c>
      <c r="AD37" s="51">
        <f t="shared" si="80"/>
        <v>0.47597</v>
      </c>
      <c r="AE37" s="51">
        <f t="shared" si="81"/>
        <v>0</v>
      </c>
      <c r="AF37" s="51">
        <f t="shared" si="82"/>
        <v>0</v>
      </c>
      <c r="AG37" s="51">
        <f t="shared" si="83"/>
        <v>0</v>
      </c>
      <c r="AH37" s="51">
        <f t="shared" si="72"/>
        <v>0</v>
      </c>
      <c r="AI37" s="51">
        <f t="shared" si="73"/>
        <v>0</v>
      </c>
      <c r="AJ37" s="51">
        <f t="shared" si="74"/>
        <v>0</v>
      </c>
    </row>
    <row r="38" spans="2:36" x14ac:dyDescent="0.3">
      <c r="B38">
        <v>6</v>
      </c>
      <c r="C38">
        <v>21501.9</v>
      </c>
      <c r="D38">
        <v>56232.1</v>
      </c>
      <c r="E38">
        <v>1848.6</v>
      </c>
      <c r="F38">
        <f t="shared" si="84"/>
        <v>5.6232100000000003</v>
      </c>
      <c r="G38">
        <f t="shared" si="85"/>
        <v>2.1501900000000003</v>
      </c>
      <c r="H38">
        <f t="shared" si="86"/>
        <v>3.47302</v>
      </c>
      <c r="I38">
        <f t="shared" si="88"/>
        <v>0.18486</v>
      </c>
      <c r="K38" s="67"/>
      <c r="L38" s="3">
        <v>-96.3</v>
      </c>
      <c r="M38" s="5">
        <f t="shared" si="95"/>
        <v>1.9000000000000057</v>
      </c>
      <c r="N38" s="5">
        <f t="shared" si="89"/>
        <v>44.970060517830404</v>
      </c>
      <c r="O38" s="5">
        <f t="shared" si="90"/>
        <v>0.28725397826234789</v>
      </c>
      <c r="P38" s="4">
        <v>4</v>
      </c>
      <c r="Q38" s="5">
        <f t="shared" si="91"/>
        <v>3.47302</v>
      </c>
      <c r="R38" s="5">
        <f t="shared" si="91"/>
        <v>0.18486</v>
      </c>
      <c r="S38" s="5">
        <f t="shared" si="92"/>
        <v>2.8938939150000005</v>
      </c>
      <c r="T38" s="5">
        <f t="shared" si="93"/>
        <v>0.17363363490000003</v>
      </c>
      <c r="U38" s="5">
        <f t="shared" si="94"/>
        <v>0.39642382397260284</v>
      </c>
      <c r="V38" s="5">
        <f t="shared" si="87"/>
        <v>0.28725397826234789</v>
      </c>
      <c r="X38" s="54">
        <v>0.80405986756380465</v>
      </c>
      <c r="Y38" s="51">
        <f t="shared" si="75"/>
        <v>0.57506000000000002</v>
      </c>
      <c r="Z38" s="51">
        <f t="shared" si="76"/>
        <v>1.0490899999999999</v>
      </c>
      <c r="AA38" s="51">
        <f t="shared" si="77"/>
        <v>0.87775000000000003</v>
      </c>
      <c r="AB38" s="51">
        <f t="shared" si="78"/>
        <v>0</v>
      </c>
      <c r="AC38" s="51">
        <f t="shared" si="79"/>
        <v>0</v>
      </c>
      <c r="AD38" s="51">
        <f t="shared" si="80"/>
        <v>0</v>
      </c>
      <c r="AE38" s="51">
        <f t="shared" si="81"/>
        <v>0</v>
      </c>
      <c r="AF38" s="51">
        <f t="shared" si="82"/>
        <v>0</v>
      </c>
      <c r="AG38" s="51">
        <f t="shared" si="83"/>
        <v>0</v>
      </c>
      <c r="AH38" s="51">
        <f t="shared" si="72"/>
        <v>0</v>
      </c>
      <c r="AI38" s="51">
        <f t="shared" si="73"/>
        <v>0</v>
      </c>
      <c r="AJ38" s="51">
        <f t="shared" si="74"/>
        <v>0</v>
      </c>
    </row>
    <row r="39" spans="2:36" x14ac:dyDescent="0.3">
      <c r="B39">
        <v>7</v>
      </c>
      <c r="C39">
        <v>13916.8</v>
      </c>
      <c r="D39">
        <v>52113.599999999999</v>
      </c>
      <c r="E39">
        <v>598.4</v>
      </c>
      <c r="F39">
        <f t="shared" si="84"/>
        <v>5.21136</v>
      </c>
      <c r="G39">
        <f t="shared" si="85"/>
        <v>1.39168</v>
      </c>
      <c r="H39">
        <f t="shared" si="86"/>
        <v>3.81968</v>
      </c>
      <c r="I39">
        <f t="shared" si="88"/>
        <v>5.9839999999999997E-2</v>
      </c>
      <c r="K39" s="67"/>
      <c r="L39" s="3">
        <v>-95.8</v>
      </c>
      <c r="M39" s="5">
        <f t="shared" si="95"/>
        <v>2.4000000000000057</v>
      </c>
      <c r="N39" s="5">
        <f t="shared" si="89"/>
        <v>52.890724234957723</v>
      </c>
      <c r="O39" s="5">
        <f t="shared" si="90"/>
        <v>0.20766053490063582</v>
      </c>
      <c r="P39" s="4">
        <v>4</v>
      </c>
      <c r="Q39" s="5">
        <f t="shared" si="91"/>
        <v>3.81968</v>
      </c>
      <c r="R39" s="5">
        <f t="shared" si="91"/>
        <v>5.9839999999999997E-2</v>
      </c>
      <c r="S39" s="5">
        <f t="shared" si="92"/>
        <v>3.1827483600000006</v>
      </c>
      <c r="T39" s="5">
        <f t="shared" si="93"/>
        <v>0.19096490160000004</v>
      </c>
      <c r="U39" s="5">
        <f t="shared" si="94"/>
        <v>0.43599292602739737</v>
      </c>
      <c r="V39" s="5">
        <f t="shared" si="87"/>
        <v>0.20766053490063582</v>
      </c>
      <c r="X39" s="54">
        <v>0.51852053541803023</v>
      </c>
      <c r="Y39" s="51">
        <f t="shared" si="75"/>
        <v>0</v>
      </c>
      <c r="Z39" s="51">
        <f t="shared" si="76"/>
        <v>0</v>
      </c>
      <c r="AA39" s="51">
        <f t="shared" si="77"/>
        <v>0</v>
      </c>
      <c r="AB39" s="51">
        <f t="shared" si="78"/>
        <v>0</v>
      </c>
      <c r="AC39" s="51">
        <f t="shared" si="79"/>
        <v>0</v>
      </c>
      <c r="AD39" s="51">
        <f t="shared" si="80"/>
        <v>0</v>
      </c>
      <c r="AE39" s="51">
        <f t="shared" si="81"/>
        <v>0</v>
      </c>
      <c r="AF39" s="51">
        <f t="shared" si="82"/>
        <v>0</v>
      </c>
      <c r="AG39" s="51">
        <f t="shared" si="83"/>
        <v>0</v>
      </c>
      <c r="AH39" s="51">
        <f t="shared" si="72"/>
        <v>0</v>
      </c>
      <c r="AI39" s="51">
        <f t="shared" si="73"/>
        <v>0</v>
      </c>
      <c r="AJ39" s="51">
        <f t="shared" si="74"/>
        <v>0</v>
      </c>
    </row>
    <row r="40" spans="2:36" x14ac:dyDescent="0.3">
      <c r="B40">
        <v>8</v>
      </c>
      <c r="C40">
        <v>13791.1</v>
      </c>
      <c r="D40">
        <v>56155.4</v>
      </c>
      <c r="E40">
        <v>869.6</v>
      </c>
      <c r="F40">
        <f t="shared" si="84"/>
        <v>5.6155400000000002</v>
      </c>
      <c r="G40">
        <f t="shared" si="85"/>
        <v>1.3791100000000001</v>
      </c>
      <c r="H40">
        <f t="shared" si="86"/>
        <v>4.2364300000000004</v>
      </c>
      <c r="I40">
        <f t="shared" si="88"/>
        <v>8.6959999999999996E-2</v>
      </c>
      <c r="K40" s="67"/>
      <c r="L40" s="3">
        <v>-95.5</v>
      </c>
      <c r="M40" s="5">
        <f t="shared" si="95"/>
        <v>2.7000000000000028</v>
      </c>
      <c r="N40" s="5">
        <f t="shared" si="89"/>
        <v>57.756125383651771</v>
      </c>
      <c r="O40" s="5">
        <f t="shared" si="90"/>
        <v>0.17414735995550742</v>
      </c>
      <c r="P40" s="4">
        <v>5</v>
      </c>
      <c r="Q40" s="5">
        <f t="shared" si="91"/>
        <v>4.2364300000000004</v>
      </c>
      <c r="R40" s="5">
        <f t="shared" si="91"/>
        <v>8.6959999999999996E-2</v>
      </c>
      <c r="S40" s="5">
        <f t="shared" si="92"/>
        <v>2.8240042380000001</v>
      </c>
      <c r="T40" s="5">
        <f t="shared" si="93"/>
        <v>0.16944025428000001</v>
      </c>
      <c r="U40" s="5">
        <f t="shared" si="94"/>
        <v>0.3868498956164384</v>
      </c>
      <c r="V40" s="5">
        <f t="shared" si="87"/>
        <v>0.17414735995550742</v>
      </c>
    </row>
    <row r="41" spans="2:36" x14ac:dyDescent="0.3">
      <c r="B41">
        <v>9</v>
      </c>
      <c r="C41">
        <v>12527.5</v>
      </c>
      <c r="D41">
        <v>69269.600000000006</v>
      </c>
      <c r="E41">
        <v>1003</v>
      </c>
      <c r="F41">
        <f t="shared" si="84"/>
        <v>6.9269600000000002</v>
      </c>
      <c r="G41">
        <f t="shared" si="85"/>
        <v>1.25275</v>
      </c>
      <c r="H41">
        <f t="shared" si="86"/>
        <v>5.6742100000000004</v>
      </c>
      <c r="I41">
        <f t="shared" si="88"/>
        <v>0.1003</v>
      </c>
      <c r="K41" s="67"/>
      <c r="L41" s="5">
        <v>-95.1</v>
      </c>
      <c r="M41" s="5">
        <f t="shared" si="95"/>
        <v>3.1000000000000085</v>
      </c>
      <c r="N41" s="5">
        <f t="shared" si="89"/>
        <v>64.335352920706185</v>
      </c>
      <c r="O41" s="5">
        <f t="shared" si="90"/>
        <v>0.1403503890161685</v>
      </c>
      <c r="P41" s="4">
        <v>8</v>
      </c>
      <c r="Q41" s="5">
        <f t="shared" si="91"/>
        <v>5.6742100000000004</v>
      </c>
      <c r="R41" s="5">
        <f t="shared" si="91"/>
        <v>0.1003</v>
      </c>
      <c r="S41" s="5">
        <f t="shared" si="92"/>
        <v>2.3640177412500005</v>
      </c>
      <c r="T41" s="5">
        <f t="shared" si="93"/>
        <v>0.14184106447500003</v>
      </c>
      <c r="U41" s="5">
        <f t="shared" si="94"/>
        <v>0.3238380467465754</v>
      </c>
      <c r="V41" s="5">
        <f t="shared" si="87"/>
        <v>0.1403503890161685</v>
      </c>
    </row>
    <row r="42" spans="2:36" x14ac:dyDescent="0.3">
      <c r="B42">
        <v>10</v>
      </c>
      <c r="C42">
        <v>9738.2999999999993</v>
      </c>
      <c r="D42">
        <v>15048.3</v>
      </c>
      <c r="E42">
        <v>8777.5</v>
      </c>
      <c r="F42">
        <f t="shared" si="84"/>
        <v>1.5048299999999999</v>
      </c>
      <c r="G42">
        <f t="shared" si="85"/>
        <v>0.97382999999999997</v>
      </c>
      <c r="H42">
        <f t="shared" si="86"/>
        <v>0.53099999999999992</v>
      </c>
      <c r="I42">
        <f t="shared" si="88"/>
        <v>0.87775000000000003</v>
      </c>
      <c r="K42" s="67"/>
      <c r="L42" s="5">
        <v>-94.399999999999991</v>
      </c>
      <c r="M42" s="5">
        <f t="shared" si="95"/>
        <v>3.8000000000000114</v>
      </c>
      <c r="N42" s="5">
        <f t="shared" si="89"/>
        <v>76.025152245972833</v>
      </c>
      <c r="O42" s="5">
        <f t="shared" si="90"/>
        <v>0.10050748344547558</v>
      </c>
      <c r="P42" s="4">
        <v>14</v>
      </c>
      <c r="Q42" s="5">
        <f t="shared" si="91"/>
        <v>0.53099999999999992</v>
      </c>
      <c r="R42" s="5">
        <f t="shared" si="91"/>
        <v>0.87775000000000003</v>
      </c>
      <c r="S42" s="5">
        <f t="shared" si="92"/>
        <v>0.12641592857142853</v>
      </c>
      <c r="T42" s="5">
        <f t="shared" si="93"/>
        <v>7.5849557142857113E-3</v>
      </c>
      <c r="U42" s="5">
        <f t="shared" si="94"/>
        <v>1.7317250489236786E-2</v>
      </c>
      <c r="V42" s="5">
        <f t="shared" si="87"/>
        <v>0.10050748344547558</v>
      </c>
    </row>
    <row r="43" spans="2:36" ht="15" thickBot="1" x14ac:dyDescent="0.35">
      <c r="B43">
        <v>11</v>
      </c>
      <c r="C43">
        <v>0</v>
      </c>
      <c r="D43">
        <v>0</v>
      </c>
      <c r="E43">
        <v>0</v>
      </c>
      <c r="F43">
        <f t="shared" si="84"/>
        <v>0</v>
      </c>
      <c r="G43">
        <f t="shared" si="85"/>
        <v>0</v>
      </c>
      <c r="H43">
        <f t="shared" si="86"/>
        <v>0</v>
      </c>
      <c r="I43">
        <f t="shared" si="88"/>
        <v>0</v>
      </c>
      <c r="K43" s="68"/>
      <c r="L43" s="6">
        <v>-93.3</v>
      </c>
      <c r="M43" s="6">
        <f t="shared" si="95"/>
        <v>4.9000000000000057</v>
      </c>
      <c r="N43" s="6">
        <f t="shared" si="89"/>
        <v>94.671337139281746</v>
      </c>
      <c r="O43" s="6">
        <f t="shared" si="90"/>
        <v>6.4815066927253778E-2</v>
      </c>
      <c r="P43" s="7">
        <v>21</v>
      </c>
      <c r="Q43" s="6">
        <f t="shared" si="91"/>
        <v>0</v>
      </c>
      <c r="R43" s="6">
        <f t="shared" si="91"/>
        <v>0</v>
      </c>
      <c r="S43" s="6">
        <f t="shared" si="92"/>
        <v>0</v>
      </c>
      <c r="T43" s="6">
        <f t="shared" si="93"/>
        <v>0</v>
      </c>
      <c r="U43" s="6">
        <f t="shared" si="94"/>
        <v>0</v>
      </c>
      <c r="V43" s="6">
        <f t="shared" si="87"/>
        <v>6.4815066927253778E-2</v>
      </c>
    </row>
    <row r="44" spans="2:36" ht="15" thickTop="1" x14ac:dyDescent="0.3"/>
    <row r="45" spans="2:36" ht="15" thickBot="1" x14ac:dyDescent="0.35"/>
    <row r="46" spans="2:36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36" ht="15" thickTop="1" x14ac:dyDescent="0.3">
      <c r="B47">
        <v>1</v>
      </c>
      <c r="C47">
        <v>419.7</v>
      </c>
      <c r="D47">
        <v>47137.599999999999</v>
      </c>
      <c r="E47">
        <v>3458</v>
      </c>
      <c r="F47">
        <f t="shared" ref="F47:F57" si="96">D47/10000</f>
        <v>4.7137599999999997</v>
      </c>
      <c r="G47">
        <f t="shared" ref="G47:G57" si="97">C47/10000</f>
        <v>4.197E-2</v>
      </c>
      <c r="H47">
        <f t="shared" ref="H47:H57" si="98">F47-G47</f>
        <v>4.6717899999999997</v>
      </c>
      <c r="I47">
        <f>E47/10000</f>
        <v>0.3458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0.99104601270028314</v>
      </c>
      <c r="P47" s="2">
        <v>3</v>
      </c>
      <c r="Q47" s="8">
        <f>H47</f>
        <v>4.6717899999999997</v>
      </c>
      <c r="R47" s="8">
        <f>I47</f>
        <v>0.3458</v>
      </c>
      <c r="S47" s="8">
        <f>Q47/10^6*$Z$4*$Z$3/P47*10^12</f>
        <v>5.1903586900000001</v>
      </c>
      <c r="T47" s="8">
        <f>S47*0.06</f>
        <v>0.31142152140000001</v>
      </c>
      <c r="U47" s="8">
        <f>S47/$Z$1</f>
        <v>0.71100803972602744</v>
      </c>
      <c r="V47" s="12">
        <f t="shared" ref="V47:V57" si="99">O47</f>
        <v>0.99104601270028314</v>
      </c>
    </row>
    <row r="48" spans="2:36" x14ac:dyDescent="0.3">
      <c r="B48">
        <v>2</v>
      </c>
      <c r="C48">
        <v>16266.7</v>
      </c>
      <c r="D48">
        <v>52269.3</v>
      </c>
      <c r="E48">
        <v>2297.8000000000002</v>
      </c>
      <c r="F48">
        <f t="shared" si="96"/>
        <v>5.2269300000000003</v>
      </c>
      <c r="G48">
        <f t="shared" si="97"/>
        <v>1.6266700000000001</v>
      </c>
      <c r="H48">
        <f t="shared" si="98"/>
        <v>3.6002600000000005</v>
      </c>
      <c r="I48">
        <f t="shared" ref="I48:I57" si="100">E48/10000</f>
        <v>0.22978000000000001</v>
      </c>
      <c r="K48" s="67"/>
      <c r="L48" s="3">
        <v>-98</v>
      </c>
      <c r="M48" s="5">
        <f>L48+98.2</f>
        <v>0.20000000000000284</v>
      </c>
      <c r="N48" s="5">
        <f t="shared" ref="N48:N57" si="101">20.56036*SQRT(1+((L48-(-98.58903))*1.03*1095.70644/(3.14159*20.56036^2))^2)</f>
        <v>22.992351577801337</v>
      </c>
      <c r="O48" s="5">
        <f t="shared" ref="O48:O57" si="102">2*$Z$1/$Z$2/PI()/(N48*10^-4)^2/$K$47/$Z$7</f>
        <v>0.8790957890492731</v>
      </c>
      <c r="P48" s="4">
        <v>3</v>
      </c>
      <c r="Q48" s="5">
        <f t="shared" ref="Q48:R57" si="103">H48</f>
        <v>3.6002600000000005</v>
      </c>
      <c r="R48" s="5">
        <f t="shared" si="103"/>
        <v>0.22978000000000001</v>
      </c>
      <c r="S48" s="5">
        <f t="shared" ref="S48:S57" si="104">Q48/10^6*$Z$4*$Z$3/P48*10^12</f>
        <v>3.99988886</v>
      </c>
      <c r="T48" s="5">
        <f t="shared" ref="T48:T57" si="105">S48*0.06</f>
        <v>0.2399933316</v>
      </c>
      <c r="U48" s="5">
        <f t="shared" ref="U48:U57" si="106">S48/$Z$1</f>
        <v>0.54792998082191779</v>
      </c>
      <c r="V48" s="5">
        <f t="shared" si="99"/>
        <v>0.8790957890492731</v>
      </c>
    </row>
    <row r="49" spans="2:22" x14ac:dyDescent="0.3">
      <c r="B49">
        <v>3</v>
      </c>
      <c r="C49">
        <v>17943.8</v>
      </c>
      <c r="D49">
        <v>46959.9</v>
      </c>
      <c r="E49">
        <v>2020.4</v>
      </c>
      <c r="F49">
        <f t="shared" si="96"/>
        <v>4.6959900000000001</v>
      </c>
      <c r="G49">
        <f t="shared" si="97"/>
        <v>1.7943799999999999</v>
      </c>
      <c r="H49">
        <f t="shared" si="98"/>
        <v>2.9016100000000002</v>
      </c>
      <c r="I49">
        <f t="shared" si="100"/>
        <v>0.20204</v>
      </c>
      <c r="K49" s="67"/>
      <c r="L49" s="3">
        <v>-97.8</v>
      </c>
      <c r="M49" s="5">
        <f t="shared" ref="M49:M57" si="107">L49+98.2</f>
        <v>0.40000000000000568</v>
      </c>
      <c r="N49" s="5">
        <f t="shared" si="101"/>
        <v>24.754552179927092</v>
      </c>
      <c r="O49" s="5">
        <f t="shared" si="102"/>
        <v>0.75839041370735061</v>
      </c>
      <c r="P49" s="4">
        <v>3</v>
      </c>
      <c r="Q49" s="5">
        <f t="shared" si="103"/>
        <v>2.9016100000000002</v>
      </c>
      <c r="R49" s="5">
        <f t="shared" si="103"/>
        <v>0.20204</v>
      </c>
      <c r="S49" s="5">
        <f t="shared" si="104"/>
        <v>3.2236887100000007</v>
      </c>
      <c r="T49" s="5">
        <f t="shared" si="105"/>
        <v>0.19342132260000003</v>
      </c>
      <c r="U49" s="5">
        <f t="shared" si="106"/>
        <v>0.44160119315068502</v>
      </c>
      <c r="V49" s="5">
        <f t="shared" si="99"/>
        <v>0.75839041370735061</v>
      </c>
    </row>
    <row r="50" spans="2:22" x14ac:dyDescent="0.3">
      <c r="B50">
        <v>4</v>
      </c>
      <c r="C50">
        <v>19721.2</v>
      </c>
      <c r="D50">
        <v>51082.400000000001</v>
      </c>
      <c r="E50">
        <v>1401.2</v>
      </c>
      <c r="F50">
        <f t="shared" si="96"/>
        <v>5.1082400000000003</v>
      </c>
      <c r="G50">
        <f t="shared" si="97"/>
        <v>1.9721200000000001</v>
      </c>
      <c r="H50">
        <f t="shared" si="98"/>
        <v>3.13612</v>
      </c>
      <c r="I50">
        <f t="shared" si="100"/>
        <v>0.14011999999999999</v>
      </c>
      <c r="K50" s="67"/>
      <c r="L50" s="3">
        <v>-97.2</v>
      </c>
      <c r="M50" s="5">
        <f t="shared" si="107"/>
        <v>1</v>
      </c>
      <c r="N50" s="5">
        <f t="shared" si="101"/>
        <v>31.807899949628325</v>
      </c>
      <c r="O50" s="5">
        <f t="shared" si="102"/>
        <v>0.45933865009451386</v>
      </c>
      <c r="P50" s="4">
        <v>3</v>
      </c>
      <c r="Q50" s="5">
        <f t="shared" si="103"/>
        <v>3.13612</v>
      </c>
      <c r="R50" s="5">
        <f t="shared" si="103"/>
        <v>0.14011999999999999</v>
      </c>
      <c r="S50" s="5">
        <f t="shared" si="104"/>
        <v>3.4842293200000003</v>
      </c>
      <c r="T50" s="5">
        <f t="shared" si="105"/>
        <v>0.20905375920000002</v>
      </c>
      <c r="U50" s="5">
        <f t="shared" si="106"/>
        <v>0.47729168767123292</v>
      </c>
      <c r="V50" s="5">
        <f t="shared" si="99"/>
        <v>0.45933865009451386</v>
      </c>
    </row>
    <row r="51" spans="2:22" x14ac:dyDescent="0.3">
      <c r="B51">
        <v>5</v>
      </c>
      <c r="C51">
        <v>25439.9</v>
      </c>
      <c r="D51">
        <v>58148.5</v>
      </c>
      <c r="E51">
        <v>894.9</v>
      </c>
      <c r="F51">
        <f t="shared" si="96"/>
        <v>5.8148499999999999</v>
      </c>
      <c r="G51">
        <f t="shared" si="97"/>
        <v>2.54399</v>
      </c>
      <c r="H51">
        <f t="shared" si="98"/>
        <v>3.2708599999999999</v>
      </c>
      <c r="I51">
        <f t="shared" si="100"/>
        <v>8.949E-2</v>
      </c>
      <c r="K51" s="67"/>
      <c r="L51" s="3">
        <v>-96.8</v>
      </c>
      <c r="M51" s="5">
        <f t="shared" si="107"/>
        <v>1.4000000000000057</v>
      </c>
      <c r="N51" s="5">
        <f t="shared" si="101"/>
        <v>37.414240753916886</v>
      </c>
      <c r="O51" s="5">
        <f t="shared" si="102"/>
        <v>0.33199314008207653</v>
      </c>
      <c r="P51" s="4">
        <v>3</v>
      </c>
      <c r="Q51" s="5">
        <f t="shared" si="103"/>
        <v>3.2708599999999999</v>
      </c>
      <c r="R51" s="5">
        <f t="shared" si="103"/>
        <v>8.949E-2</v>
      </c>
      <c r="S51" s="5">
        <f t="shared" si="104"/>
        <v>3.6339254600000004</v>
      </c>
      <c r="T51" s="5">
        <f t="shared" si="105"/>
        <v>0.21803552760000003</v>
      </c>
      <c r="U51" s="5">
        <f t="shared" si="106"/>
        <v>0.49779800821917813</v>
      </c>
      <c r="V51" s="5">
        <f t="shared" si="99"/>
        <v>0.33199314008207653</v>
      </c>
    </row>
    <row r="52" spans="2:22" x14ac:dyDescent="0.3">
      <c r="B52">
        <v>6</v>
      </c>
      <c r="C52">
        <v>25101.5</v>
      </c>
      <c r="D52">
        <v>63480.6</v>
      </c>
      <c r="E52">
        <v>884</v>
      </c>
      <c r="F52">
        <f t="shared" si="96"/>
        <v>6.3480600000000003</v>
      </c>
      <c r="G52">
        <f t="shared" si="97"/>
        <v>2.5101499999999999</v>
      </c>
      <c r="H52">
        <f t="shared" si="98"/>
        <v>3.8379100000000004</v>
      </c>
      <c r="I52">
        <f t="shared" si="100"/>
        <v>8.8400000000000006E-2</v>
      </c>
      <c r="K52" s="67"/>
      <c r="L52" s="3">
        <v>-96.3</v>
      </c>
      <c r="M52" s="5">
        <f t="shared" si="107"/>
        <v>1.9000000000000057</v>
      </c>
      <c r="N52" s="5">
        <f t="shared" si="101"/>
        <v>44.970060517830404</v>
      </c>
      <c r="O52" s="5">
        <f t="shared" si="102"/>
        <v>0.22980318260987831</v>
      </c>
      <c r="P52" s="4">
        <v>4</v>
      </c>
      <c r="Q52" s="5">
        <f t="shared" si="103"/>
        <v>3.8379100000000004</v>
      </c>
      <c r="R52" s="5">
        <f t="shared" si="103"/>
        <v>8.8400000000000006E-2</v>
      </c>
      <c r="S52" s="5">
        <f t="shared" si="104"/>
        <v>3.1979385075</v>
      </c>
      <c r="T52" s="5">
        <f t="shared" si="105"/>
        <v>0.19187631045</v>
      </c>
      <c r="U52" s="5">
        <f t="shared" si="106"/>
        <v>0.43807376815068494</v>
      </c>
      <c r="V52" s="5">
        <f t="shared" si="99"/>
        <v>0.22980318260987831</v>
      </c>
    </row>
    <row r="53" spans="2:22" x14ac:dyDescent="0.3">
      <c r="B53">
        <v>7</v>
      </c>
      <c r="C53">
        <v>20767</v>
      </c>
      <c r="D53">
        <v>58073.8</v>
      </c>
      <c r="E53">
        <v>780.8</v>
      </c>
      <c r="F53">
        <f t="shared" si="96"/>
        <v>5.8073800000000002</v>
      </c>
      <c r="G53">
        <f t="shared" si="97"/>
        <v>2.0767000000000002</v>
      </c>
      <c r="H53">
        <f t="shared" si="98"/>
        <v>3.73068</v>
      </c>
      <c r="I53">
        <f t="shared" si="100"/>
        <v>7.8079999999999997E-2</v>
      </c>
      <c r="K53" s="67"/>
      <c r="L53" s="3">
        <v>-95.8</v>
      </c>
      <c r="M53" s="5">
        <f t="shared" si="107"/>
        <v>2.4000000000000057</v>
      </c>
      <c r="N53" s="5">
        <f t="shared" si="101"/>
        <v>52.890724234957723</v>
      </c>
      <c r="O53" s="5">
        <f t="shared" si="102"/>
        <v>0.16612842792050866</v>
      </c>
      <c r="P53" s="4">
        <v>4</v>
      </c>
      <c r="Q53" s="5">
        <f t="shared" si="103"/>
        <v>3.73068</v>
      </c>
      <c r="R53" s="5">
        <f t="shared" si="103"/>
        <v>7.8079999999999997E-2</v>
      </c>
      <c r="S53" s="5">
        <f t="shared" si="104"/>
        <v>3.10858911</v>
      </c>
      <c r="T53" s="5">
        <f t="shared" si="105"/>
        <v>0.18651534659999999</v>
      </c>
      <c r="U53" s="5">
        <f t="shared" si="106"/>
        <v>0.42583412465753429</v>
      </c>
      <c r="V53" s="5">
        <f t="shared" si="99"/>
        <v>0.16612842792050866</v>
      </c>
    </row>
    <row r="54" spans="2:22" x14ac:dyDescent="0.3">
      <c r="B54">
        <v>8</v>
      </c>
      <c r="C54">
        <v>23231.8</v>
      </c>
      <c r="D54">
        <v>54656.2</v>
      </c>
      <c r="E54">
        <v>758</v>
      </c>
      <c r="F54">
        <f t="shared" si="96"/>
        <v>5.4656199999999995</v>
      </c>
      <c r="G54">
        <f t="shared" si="97"/>
        <v>2.3231799999999998</v>
      </c>
      <c r="H54">
        <f t="shared" si="98"/>
        <v>3.1424399999999997</v>
      </c>
      <c r="I54">
        <f t="shared" si="100"/>
        <v>7.5800000000000006E-2</v>
      </c>
      <c r="K54" s="67"/>
      <c r="L54" s="3">
        <v>-95.5</v>
      </c>
      <c r="M54" s="5">
        <f t="shared" si="107"/>
        <v>2.7000000000000028</v>
      </c>
      <c r="N54" s="5">
        <f t="shared" si="101"/>
        <v>57.756125383651771</v>
      </c>
      <c r="O54" s="5">
        <f t="shared" si="102"/>
        <v>0.13931788796440595</v>
      </c>
      <c r="P54" s="4">
        <v>5</v>
      </c>
      <c r="Q54" s="5">
        <f t="shared" si="103"/>
        <v>3.1424399999999997</v>
      </c>
      <c r="R54" s="5">
        <f t="shared" si="103"/>
        <v>7.5800000000000006E-2</v>
      </c>
      <c r="S54" s="5">
        <f t="shared" si="104"/>
        <v>2.0947505039999998</v>
      </c>
      <c r="T54" s="5">
        <f t="shared" si="105"/>
        <v>0.12568503024</v>
      </c>
      <c r="U54" s="5">
        <f t="shared" si="106"/>
        <v>0.28695212383561641</v>
      </c>
      <c r="V54" s="5">
        <f t="shared" si="99"/>
        <v>0.13931788796440595</v>
      </c>
    </row>
    <row r="55" spans="2:22" x14ac:dyDescent="0.3">
      <c r="B55">
        <v>9</v>
      </c>
      <c r="C55">
        <v>14115</v>
      </c>
      <c r="D55">
        <v>46192.7</v>
      </c>
      <c r="E55">
        <v>1915.3</v>
      </c>
      <c r="F55">
        <f t="shared" si="96"/>
        <v>4.6192699999999993</v>
      </c>
      <c r="G55">
        <f t="shared" si="97"/>
        <v>1.4115</v>
      </c>
      <c r="H55">
        <f t="shared" si="98"/>
        <v>3.2077699999999991</v>
      </c>
      <c r="I55">
        <f t="shared" si="100"/>
        <v>0.19153000000000001</v>
      </c>
      <c r="K55" s="67"/>
      <c r="L55" s="5">
        <v>-95.1</v>
      </c>
      <c r="M55" s="5">
        <f t="shared" si="107"/>
        <v>3.1000000000000085</v>
      </c>
      <c r="N55" s="5">
        <f t="shared" si="101"/>
        <v>64.335352920706185</v>
      </c>
      <c r="O55" s="5">
        <f t="shared" si="102"/>
        <v>0.1122803112129348</v>
      </c>
      <c r="P55" s="4">
        <v>8</v>
      </c>
      <c r="Q55" s="5">
        <f t="shared" si="103"/>
        <v>3.2077699999999991</v>
      </c>
      <c r="R55" s="5">
        <f t="shared" si="103"/>
        <v>0.19153000000000001</v>
      </c>
      <c r="S55" s="5">
        <f t="shared" si="104"/>
        <v>1.3364371762499998</v>
      </c>
      <c r="T55" s="5">
        <f t="shared" si="105"/>
        <v>8.0186230574999989E-2</v>
      </c>
      <c r="U55" s="5">
        <f t="shared" si="106"/>
        <v>0.18307358578767122</v>
      </c>
      <c r="V55" s="5">
        <f t="shared" si="99"/>
        <v>0.1122803112129348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96"/>
        <v>0</v>
      </c>
      <c r="G56">
        <f t="shared" si="97"/>
        <v>0</v>
      </c>
      <c r="H56">
        <f t="shared" si="98"/>
        <v>0</v>
      </c>
      <c r="I56">
        <f t="shared" si="100"/>
        <v>0</v>
      </c>
      <c r="K56" s="67"/>
      <c r="L56" s="5">
        <v>-94.399999999999991</v>
      </c>
      <c r="M56" s="5">
        <f t="shared" si="107"/>
        <v>3.8000000000000114</v>
      </c>
      <c r="N56" s="5">
        <f t="shared" si="101"/>
        <v>76.025152245972833</v>
      </c>
      <c r="O56" s="5">
        <f t="shared" si="102"/>
        <v>8.0405986756380471E-2</v>
      </c>
      <c r="P56" s="4">
        <v>14</v>
      </c>
      <c r="Q56" s="5">
        <f t="shared" si="103"/>
        <v>0</v>
      </c>
      <c r="R56" s="5">
        <f t="shared" si="103"/>
        <v>0</v>
      </c>
      <c r="S56" s="5">
        <f t="shared" si="104"/>
        <v>0</v>
      </c>
      <c r="T56" s="5">
        <f t="shared" si="105"/>
        <v>0</v>
      </c>
      <c r="U56" s="5">
        <f t="shared" si="106"/>
        <v>0</v>
      </c>
      <c r="V56" s="5">
        <f t="shared" si="99"/>
        <v>8.0405986756380471E-2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96"/>
        <v>0</v>
      </c>
      <c r="G57">
        <f t="shared" si="97"/>
        <v>0</v>
      </c>
      <c r="H57">
        <f t="shared" si="98"/>
        <v>0</v>
      </c>
      <c r="I57">
        <f t="shared" si="100"/>
        <v>0</v>
      </c>
      <c r="K57" s="68"/>
      <c r="L57" s="6">
        <v>-93.3</v>
      </c>
      <c r="M57" s="6">
        <f t="shared" si="107"/>
        <v>4.9000000000000057</v>
      </c>
      <c r="N57" s="6">
        <f t="shared" si="101"/>
        <v>94.671337139281746</v>
      </c>
      <c r="O57" s="6">
        <f t="shared" si="102"/>
        <v>5.1852053541803021E-2</v>
      </c>
      <c r="P57" s="7">
        <v>21</v>
      </c>
      <c r="Q57" s="6">
        <f t="shared" si="103"/>
        <v>0</v>
      </c>
      <c r="R57" s="6">
        <f t="shared" si="103"/>
        <v>0</v>
      </c>
      <c r="S57" s="6">
        <f t="shared" si="104"/>
        <v>0</v>
      </c>
      <c r="T57" s="6">
        <f t="shared" si="105"/>
        <v>0</v>
      </c>
      <c r="U57" s="6">
        <f t="shared" si="106"/>
        <v>0</v>
      </c>
      <c r="V57" s="6">
        <f t="shared" si="99"/>
        <v>5.1852053541803021E-2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2125.6999999999998</v>
      </c>
      <c r="D61">
        <v>37220</v>
      </c>
      <c r="E61">
        <v>2375.3000000000002</v>
      </c>
      <c r="F61">
        <f t="shared" ref="F61:F71" si="108">D61/10000</f>
        <v>3.722</v>
      </c>
      <c r="G61">
        <f t="shared" ref="G61:G71" si="109">C61/10000</f>
        <v>0.21256999999999998</v>
      </c>
      <c r="H61">
        <f t="shared" ref="H61:H71" si="110">F61-G61</f>
        <v>3.50943</v>
      </c>
      <c r="I61">
        <f>E61/10000</f>
        <v>0.23753000000000002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0.82587167725023602</v>
      </c>
      <c r="P61" s="2">
        <v>3</v>
      </c>
      <c r="Q61" s="8">
        <f>H61</f>
        <v>3.50943</v>
      </c>
      <c r="R61" s="8">
        <f>I61</f>
        <v>0.23753000000000002</v>
      </c>
      <c r="S61" s="8">
        <f>Q61/10^6*$Z$4*$Z$3/P61*10^12</f>
        <v>3.8989767300000002</v>
      </c>
      <c r="T61" s="8">
        <f>S61*0.06</f>
        <v>0.23393860380000001</v>
      </c>
      <c r="U61" s="8">
        <f>S61/$Z$1</f>
        <v>0.53410640136986309</v>
      </c>
      <c r="V61" s="12">
        <f t="shared" ref="V61:V71" si="111">O61</f>
        <v>0.82587167725023602</v>
      </c>
    </row>
    <row r="62" spans="2:22" x14ac:dyDescent="0.3">
      <c r="B62">
        <v>2</v>
      </c>
      <c r="C62">
        <v>13608</v>
      </c>
      <c r="D62">
        <v>48395.5</v>
      </c>
      <c r="E62">
        <v>2395.8000000000002</v>
      </c>
      <c r="F62">
        <f t="shared" si="108"/>
        <v>4.83955</v>
      </c>
      <c r="G62">
        <f t="shared" si="109"/>
        <v>1.3608</v>
      </c>
      <c r="H62">
        <f t="shared" si="110"/>
        <v>3.4787499999999998</v>
      </c>
      <c r="I62">
        <f t="shared" ref="I62:I71" si="112">E62/10000</f>
        <v>0.23958000000000002</v>
      </c>
      <c r="K62" s="67"/>
      <c r="L62" s="3">
        <v>-98</v>
      </c>
      <c r="M62" s="5">
        <f>L62+98.2</f>
        <v>0.20000000000000284</v>
      </c>
      <c r="N62" s="5">
        <f t="shared" ref="N62:N71" si="113">20.56036*SQRT(1+((L62-(-98.58903))*1.03*1095.70644/(3.14159*20.56036^2))^2)</f>
        <v>22.992351577801337</v>
      </c>
      <c r="O62" s="5">
        <f t="shared" ref="O62:O71" si="114">2*$Z$1/$Z$2/PI()/(N62*10^-4)^2/$K$61/$Z$7</f>
        <v>0.7325798242077276</v>
      </c>
      <c r="P62" s="4">
        <v>3</v>
      </c>
      <c r="Q62" s="5">
        <f t="shared" ref="Q62:R71" si="115">H62</f>
        <v>3.4787499999999998</v>
      </c>
      <c r="R62" s="5">
        <f t="shared" si="115"/>
        <v>0.23958000000000002</v>
      </c>
      <c r="S62" s="5">
        <f t="shared" ref="S62:S71" si="116">Q62/10^6*$Z$4*$Z$3/P62*10^12</f>
        <v>3.8648912500000003</v>
      </c>
      <c r="T62" s="5">
        <f t="shared" ref="T62:T71" si="117">S62*0.06</f>
        <v>0.23189347500000002</v>
      </c>
      <c r="U62" s="5">
        <f t="shared" ref="U62:U71" si="118">S62/$Z$1</f>
        <v>0.52943715753424658</v>
      </c>
      <c r="V62" s="5">
        <f t="shared" si="111"/>
        <v>0.7325798242077276</v>
      </c>
    </row>
    <row r="63" spans="2:22" x14ac:dyDescent="0.3">
      <c r="B63">
        <v>3</v>
      </c>
      <c r="C63">
        <v>18566.099999999999</v>
      </c>
      <c r="D63">
        <v>44667.199999999997</v>
      </c>
      <c r="E63">
        <v>2284.1</v>
      </c>
      <c r="F63">
        <f t="shared" si="108"/>
        <v>4.4667199999999996</v>
      </c>
      <c r="G63">
        <f t="shared" si="109"/>
        <v>1.8566099999999999</v>
      </c>
      <c r="H63">
        <f t="shared" si="110"/>
        <v>2.6101099999999997</v>
      </c>
      <c r="I63">
        <f t="shared" si="112"/>
        <v>0.22841</v>
      </c>
      <c r="K63" s="67"/>
      <c r="L63" s="3">
        <v>-97.8</v>
      </c>
      <c r="M63" s="5">
        <f t="shared" ref="M63:M71" si="119">L63+98.2</f>
        <v>0.40000000000000568</v>
      </c>
      <c r="N63" s="5">
        <f t="shared" si="113"/>
        <v>24.754552179927092</v>
      </c>
      <c r="O63" s="5">
        <f t="shared" si="114"/>
        <v>0.63199201142279215</v>
      </c>
      <c r="P63" s="4">
        <v>3</v>
      </c>
      <c r="Q63" s="5">
        <f t="shared" si="115"/>
        <v>2.6101099999999997</v>
      </c>
      <c r="R63" s="5">
        <f t="shared" si="115"/>
        <v>0.22841</v>
      </c>
      <c r="S63" s="5">
        <f t="shared" si="116"/>
        <v>2.8998322099999996</v>
      </c>
      <c r="T63" s="5">
        <f t="shared" si="117"/>
        <v>0.17398993259999998</v>
      </c>
      <c r="U63" s="5">
        <f t="shared" si="118"/>
        <v>0.39723728904109584</v>
      </c>
      <c r="V63" s="5">
        <f t="shared" si="111"/>
        <v>0.63199201142279215</v>
      </c>
    </row>
    <row r="64" spans="2:22" x14ac:dyDescent="0.3">
      <c r="B64">
        <v>4</v>
      </c>
      <c r="C64">
        <v>21405.1</v>
      </c>
      <c r="D64">
        <v>49157</v>
      </c>
      <c r="E64">
        <v>1353.4</v>
      </c>
      <c r="F64">
        <f t="shared" si="108"/>
        <v>4.9157000000000002</v>
      </c>
      <c r="G64">
        <f t="shared" si="109"/>
        <v>2.1405099999999999</v>
      </c>
      <c r="H64">
        <f t="shared" si="110"/>
        <v>2.7751900000000003</v>
      </c>
      <c r="I64">
        <f t="shared" si="112"/>
        <v>0.13534000000000002</v>
      </c>
      <c r="K64" s="67"/>
      <c r="L64" s="3">
        <v>-97.2</v>
      </c>
      <c r="M64" s="5">
        <f t="shared" si="119"/>
        <v>1</v>
      </c>
      <c r="N64" s="5">
        <f t="shared" si="113"/>
        <v>31.807899949628325</v>
      </c>
      <c r="O64" s="5">
        <f t="shared" si="114"/>
        <v>0.38278220841209487</v>
      </c>
      <c r="P64" s="4">
        <v>3</v>
      </c>
      <c r="Q64" s="5">
        <f t="shared" si="115"/>
        <v>2.7751900000000003</v>
      </c>
      <c r="R64" s="5">
        <f t="shared" si="115"/>
        <v>0.13534000000000002</v>
      </c>
      <c r="S64" s="5">
        <f t="shared" si="116"/>
        <v>3.0832360900000002</v>
      </c>
      <c r="T64" s="5">
        <f t="shared" si="117"/>
        <v>0.18499416539999999</v>
      </c>
      <c r="U64" s="5">
        <f t="shared" si="118"/>
        <v>0.42236110821917811</v>
      </c>
      <c r="V64" s="5">
        <f t="shared" si="111"/>
        <v>0.38278220841209487</v>
      </c>
    </row>
    <row r="65" spans="2:22" x14ac:dyDescent="0.3">
      <c r="B65">
        <v>5</v>
      </c>
      <c r="C65">
        <v>17178.7</v>
      </c>
      <c r="D65">
        <v>48731.199999999997</v>
      </c>
      <c r="E65">
        <v>1125.5</v>
      </c>
      <c r="F65">
        <f t="shared" si="108"/>
        <v>4.8731200000000001</v>
      </c>
      <c r="G65">
        <f t="shared" si="109"/>
        <v>1.71787</v>
      </c>
      <c r="H65">
        <f t="shared" si="110"/>
        <v>3.1552500000000001</v>
      </c>
      <c r="I65">
        <f t="shared" si="112"/>
        <v>0.11255</v>
      </c>
      <c r="K65" s="67"/>
      <c r="L65" s="3">
        <v>-96.8</v>
      </c>
      <c r="M65" s="5">
        <f t="shared" si="119"/>
        <v>1.4000000000000057</v>
      </c>
      <c r="N65" s="5">
        <f t="shared" si="113"/>
        <v>37.414240753916886</v>
      </c>
      <c r="O65" s="5">
        <f t="shared" si="114"/>
        <v>0.27666095006839714</v>
      </c>
      <c r="P65" s="4">
        <v>3</v>
      </c>
      <c r="Q65" s="5">
        <f t="shared" si="115"/>
        <v>3.1552500000000001</v>
      </c>
      <c r="R65" s="5">
        <f t="shared" si="115"/>
        <v>0.11255</v>
      </c>
      <c r="S65" s="5">
        <f t="shared" si="116"/>
        <v>3.5054827500000005</v>
      </c>
      <c r="T65" s="5">
        <f t="shared" si="117"/>
        <v>0.21032896500000003</v>
      </c>
      <c r="U65" s="5">
        <f t="shared" si="118"/>
        <v>0.48020311643835623</v>
      </c>
      <c r="V65" s="5">
        <f t="shared" si="111"/>
        <v>0.27666095006839714</v>
      </c>
    </row>
    <row r="66" spans="2:22" x14ac:dyDescent="0.3">
      <c r="B66">
        <v>6</v>
      </c>
      <c r="C66">
        <v>15896.8</v>
      </c>
      <c r="D66">
        <v>57475.7</v>
      </c>
      <c r="E66">
        <v>737</v>
      </c>
      <c r="F66">
        <f t="shared" si="108"/>
        <v>5.7475699999999996</v>
      </c>
      <c r="G66">
        <f t="shared" si="109"/>
        <v>1.58968</v>
      </c>
      <c r="H66">
        <f t="shared" si="110"/>
        <v>4.1578900000000001</v>
      </c>
      <c r="I66">
        <f t="shared" si="112"/>
        <v>7.3700000000000002E-2</v>
      </c>
      <c r="K66" s="67"/>
      <c r="L66" s="3">
        <v>-96.3</v>
      </c>
      <c r="M66" s="5">
        <f t="shared" si="119"/>
        <v>1.9000000000000057</v>
      </c>
      <c r="N66" s="5">
        <f t="shared" si="113"/>
        <v>44.970060517830404</v>
      </c>
      <c r="O66" s="5">
        <f t="shared" si="114"/>
        <v>0.19150265217489859</v>
      </c>
      <c r="P66" s="4">
        <v>4</v>
      </c>
      <c r="Q66" s="5">
        <f t="shared" si="115"/>
        <v>4.1578900000000001</v>
      </c>
      <c r="R66" s="5">
        <f t="shared" si="115"/>
        <v>7.3700000000000002E-2</v>
      </c>
      <c r="S66" s="5">
        <f t="shared" si="116"/>
        <v>3.4645618424999998</v>
      </c>
      <c r="T66" s="5">
        <f t="shared" si="117"/>
        <v>0.20787371054999998</v>
      </c>
      <c r="U66" s="5">
        <f t="shared" si="118"/>
        <v>0.47459751267123285</v>
      </c>
      <c r="V66" s="5">
        <f t="shared" si="111"/>
        <v>0.19150265217489859</v>
      </c>
    </row>
    <row r="67" spans="2:22" x14ac:dyDescent="0.3">
      <c r="B67">
        <v>7</v>
      </c>
      <c r="C67">
        <v>16250.8</v>
      </c>
      <c r="D67">
        <v>53298.1</v>
      </c>
      <c r="E67">
        <v>562.6</v>
      </c>
      <c r="F67">
        <f t="shared" si="108"/>
        <v>5.3298100000000002</v>
      </c>
      <c r="G67">
        <f t="shared" si="109"/>
        <v>1.6250799999999999</v>
      </c>
      <c r="H67">
        <f t="shared" si="110"/>
        <v>3.7047300000000005</v>
      </c>
      <c r="I67">
        <f t="shared" si="112"/>
        <v>5.6260000000000004E-2</v>
      </c>
      <c r="K67" s="67"/>
      <c r="L67" s="3">
        <v>-95.8</v>
      </c>
      <c r="M67" s="5">
        <f t="shared" si="119"/>
        <v>2.4000000000000057</v>
      </c>
      <c r="N67" s="5">
        <f t="shared" si="113"/>
        <v>52.890724234957723</v>
      </c>
      <c r="O67" s="5">
        <f t="shared" si="114"/>
        <v>0.13844035660042389</v>
      </c>
      <c r="P67" s="4">
        <v>4</v>
      </c>
      <c r="Q67" s="5">
        <f t="shared" si="115"/>
        <v>3.7047300000000005</v>
      </c>
      <c r="R67" s="5">
        <f t="shared" si="115"/>
        <v>5.6260000000000004E-2</v>
      </c>
      <c r="S67" s="5">
        <f t="shared" si="116"/>
        <v>3.0869662725000007</v>
      </c>
      <c r="T67" s="5">
        <f t="shared" si="117"/>
        <v>0.18521797635000004</v>
      </c>
      <c r="U67" s="5">
        <f t="shared" si="118"/>
        <v>0.42287209212328775</v>
      </c>
      <c r="V67" s="5">
        <f t="shared" si="111"/>
        <v>0.13844035660042389</v>
      </c>
    </row>
    <row r="68" spans="2:22" x14ac:dyDescent="0.3">
      <c r="B68">
        <v>8</v>
      </c>
      <c r="C68">
        <v>16510.900000000001</v>
      </c>
      <c r="D68">
        <v>55678.5</v>
      </c>
      <c r="E68">
        <v>949.2</v>
      </c>
      <c r="F68">
        <f t="shared" si="108"/>
        <v>5.56785</v>
      </c>
      <c r="G68">
        <f t="shared" si="109"/>
        <v>1.6510900000000002</v>
      </c>
      <c r="H68">
        <f t="shared" si="110"/>
        <v>3.91676</v>
      </c>
      <c r="I68">
        <f t="shared" si="112"/>
        <v>9.4920000000000004E-2</v>
      </c>
      <c r="K68" s="67"/>
      <c r="L68" s="3">
        <v>-95.5</v>
      </c>
      <c r="M68" s="5">
        <f t="shared" si="119"/>
        <v>2.7000000000000028</v>
      </c>
      <c r="N68" s="5">
        <f t="shared" si="113"/>
        <v>57.756125383651771</v>
      </c>
      <c r="O68" s="5">
        <f t="shared" si="114"/>
        <v>0.11609823997033829</v>
      </c>
      <c r="P68" s="4">
        <v>5</v>
      </c>
      <c r="Q68" s="5">
        <f t="shared" si="115"/>
        <v>3.91676</v>
      </c>
      <c r="R68" s="5">
        <f t="shared" si="115"/>
        <v>9.4920000000000004E-2</v>
      </c>
      <c r="S68" s="5">
        <f t="shared" si="116"/>
        <v>2.6109122159999996</v>
      </c>
      <c r="T68" s="5">
        <f t="shared" si="117"/>
        <v>0.15665473295999996</v>
      </c>
      <c r="U68" s="5">
        <f t="shared" si="118"/>
        <v>0.35765920767123283</v>
      </c>
      <c r="V68" s="5">
        <f t="shared" si="111"/>
        <v>0.11609823997033829</v>
      </c>
    </row>
    <row r="69" spans="2:22" x14ac:dyDescent="0.3">
      <c r="B69">
        <v>9</v>
      </c>
      <c r="C69">
        <v>14968.7</v>
      </c>
      <c r="D69">
        <v>43949.9</v>
      </c>
      <c r="E69">
        <v>3293</v>
      </c>
      <c r="F69">
        <f t="shared" si="108"/>
        <v>4.39499</v>
      </c>
      <c r="G69">
        <f t="shared" si="109"/>
        <v>1.4968700000000001</v>
      </c>
      <c r="H69">
        <f t="shared" si="110"/>
        <v>2.8981199999999996</v>
      </c>
      <c r="I69">
        <f t="shared" si="112"/>
        <v>0.32929999999999998</v>
      </c>
      <c r="K69" s="67"/>
      <c r="L69" s="5">
        <v>-95.1</v>
      </c>
      <c r="M69" s="5">
        <f t="shared" si="119"/>
        <v>3.1000000000000085</v>
      </c>
      <c r="N69" s="5">
        <f t="shared" si="113"/>
        <v>64.335352920706185</v>
      </c>
      <c r="O69" s="5">
        <f t="shared" si="114"/>
        <v>9.3566926010778997E-2</v>
      </c>
      <c r="P69" s="4">
        <v>8</v>
      </c>
      <c r="Q69" s="5">
        <f t="shared" si="115"/>
        <v>2.8981199999999996</v>
      </c>
      <c r="R69" s="5">
        <f t="shared" si="115"/>
        <v>0.32929999999999998</v>
      </c>
      <c r="S69" s="5">
        <f t="shared" si="116"/>
        <v>1.2074292449999997</v>
      </c>
      <c r="T69" s="5">
        <f t="shared" si="117"/>
        <v>7.2445754699999976E-2</v>
      </c>
      <c r="U69" s="5">
        <f t="shared" si="118"/>
        <v>0.16540126643835612</v>
      </c>
      <c r="V69" s="5">
        <f t="shared" si="111"/>
        <v>9.3566926010778997E-2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108"/>
        <v>0</v>
      </c>
      <c r="G70">
        <f t="shared" si="109"/>
        <v>0</v>
      </c>
      <c r="H70">
        <f t="shared" si="110"/>
        <v>0</v>
      </c>
      <c r="I70">
        <f t="shared" si="112"/>
        <v>0</v>
      </c>
      <c r="K70" s="67"/>
      <c r="L70" s="5">
        <v>-94.399999999999991</v>
      </c>
      <c r="M70" s="5">
        <f t="shared" si="119"/>
        <v>3.8000000000000114</v>
      </c>
      <c r="N70" s="5">
        <f t="shared" si="113"/>
        <v>76.025152245972833</v>
      </c>
      <c r="O70" s="5">
        <f t="shared" si="114"/>
        <v>6.7004988963650383E-2</v>
      </c>
      <c r="P70" s="4">
        <v>14</v>
      </c>
      <c r="Q70" s="5">
        <f t="shared" si="115"/>
        <v>0</v>
      </c>
      <c r="R70" s="5">
        <f t="shared" si="115"/>
        <v>0</v>
      </c>
      <c r="S70" s="5">
        <f t="shared" si="116"/>
        <v>0</v>
      </c>
      <c r="T70" s="5">
        <f t="shared" si="117"/>
        <v>0</v>
      </c>
      <c r="U70" s="5">
        <f t="shared" si="118"/>
        <v>0</v>
      </c>
      <c r="V70" s="5">
        <f t="shared" si="111"/>
        <v>6.7004988963650383E-2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108"/>
        <v>0</v>
      </c>
      <c r="G71">
        <f t="shared" si="109"/>
        <v>0</v>
      </c>
      <c r="H71">
        <f t="shared" si="110"/>
        <v>0</v>
      </c>
      <c r="I71">
        <f t="shared" si="112"/>
        <v>0</v>
      </c>
      <c r="K71" s="68"/>
      <c r="L71" s="6">
        <v>-93.3</v>
      </c>
      <c r="M71" s="6">
        <f t="shared" si="119"/>
        <v>4.9000000000000057</v>
      </c>
      <c r="N71" s="6">
        <f t="shared" si="113"/>
        <v>94.671337139281746</v>
      </c>
      <c r="O71" s="6">
        <f t="shared" si="114"/>
        <v>4.3210044618169186E-2</v>
      </c>
      <c r="P71" s="7">
        <v>21</v>
      </c>
      <c r="Q71" s="6">
        <f t="shared" si="115"/>
        <v>0</v>
      </c>
      <c r="R71" s="6">
        <f t="shared" si="115"/>
        <v>0</v>
      </c>
      <c r="S71" s="6">
        <f t="shared" si="116"/>
        <v>0</v>
      </c>
      <c r="T71" s="6">
        <f t="shared" si="117"/>
        <v>0</v>
      </c>
      <c r="U71" s="6">
        <f t="shared" si="118"/>
        <v>0</v>
      </c>
      <c r="V71" s="6">
        <f t="shared" si="111"/>
        <v>4.3210044618169186E-2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4735.5</v>
      </c>
      <c r="D75">
        <v>36294.199999999997</v>
      </c>
      <c r="E75">
        <v>2670.4</v>
      </c>
      <c r="F75">
        <f t="shared" ref="F75:F85" si="120">D75/10000</f>
        <v>3.6294199999999996</v>
      </c>
      <c r="G75">
        <f t="shared" ref="G75:G85" si="121">C75/10000</f>
        <v>0.47355000000000003</v>
      </c>
      <c r="H75">
        <f t="shared" ref="H75:H85" si="122">F75-G75</f>
        <v>3.1558699999999997</v>
      </c>
      <c r="I75">
        <f>E75/10000</f>
        <v>0.26704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0.7078900090716308</v>
      </c>
      <c r="P75" s="2">
        <v>3</v>
      </c>
      <c r="Q75" s="8">
        <f>H75</f>
        <v>3.1558699999999997</v>
      </c>
      <c r="R75" s="8">
        <f>I75</f>
        <v>0.26704</v>
      </c>
      <c r="S75" s="8">
        <f>Q75/10^6*$Z$4*$Z$3/P75*10^12</f>
        <v>3.5061715699999993</v>
      </c>
      <c r="T75" s="8">
        <f>S75*0.06</f>
        <v>0.21037029419999995</v>
      </c>
      <c r="U75" s="8">
        <f>S75/$Z$1</f>
        <v>0.4802974753424657</v>
      </c>
      <c r="V75" s="12">
        <f t="shared" ref="V75:V85" si="123">O75</f>
        <v>0.7078900090716308</v>
      </c>
    </row>
    <row r="76" spans="2:22" x14ac:dyDescent="0.3">
      <c r="B76">
        <v>2</v>
      </c>
      <c r="C76">
        <v>6267.7</v>
      </c>
      <c r="D76">
        <v>33085</v>
      </c>
      <c r="E76">
        <v>2861.7</v>
      </c>
      <c r="F76">
        <f t="shared" si="120"/>
        <v>3.3085</v>
      </c>
      <c r="G76">
        <f t="shared" si="121"/>
        <v>0.62676999999999994</v>
      </c>
      <c r="H76">
        <f t="shared" si="122"/>
        <v>2.6817299999999999</v>
      </c>
      <c r="I76">
        <f t="shared" ref="I76:I85" si="124">E76/10000</f>
        <v>0.28616999999999998</v>
      </c>
      <c r="K76" s="67"/>
      <c r="L76" s="3">
        <v>-98</v>
      </c>
      <c r="M76" s="5">
        <f>L76+98.2</f>
        <v>0.20000000000000284</v>
      </c>
      <c r="N76" s="5">
        <f t="shared" ref="N76:N85" si="125">20.56036*SQRT(1+((L76-(-98.58903))*1.03*1095.70644/(3.14159*20.56036^2))^2)</f>
        <v>22.992351577801337</v>
      </c>
      <c r="O76" s="5">
        <f t="shared" ref="O76:O85" si="126">2*$Z$1/$Z$2/PI()/(N76*10^-4)^2/$K$75/$Z$7</f>
        <v>0.62792556360662366</v>
      </c>
      <c r="P76" s="4">
        <v>3</v>
      </c>
      <c r="Q76" s="5">
        <f t="shared" ref="Q76:R85" si="127">H76</f>
        <v>2.6817299999999999</v>
      </c>
      <c r="R76" s="5">
        <f t="shared" si="127"/>
        <v>0.28616999999999998</v>
      </c>
      <c r="S76" s="5">
        <f t="shared" ref="S76:S85" si="128">Q76/10^6*$Z$4*$Z$3/P76*10^12</f>
        <v>2.9794020300000001</v>
      </c>
      <c r="T76" s="5">
        <f t="shared" ref="T76:T85" si="129">S76*0.06</f>
        <v>0.17876412180000001</v>
      </c>
      <c r="U76" s="5">
        <f t="shared" ref="U76:U85" si="130">S76/$Z$1</f>
        <v>0.40813726438356168</v>
      </c>
      <c r="V76" s="5">
        <f t="shared" si="123"/>
        <v>0.62792556360662366</v>
      </c>
    </row>
    <row r="77" spans="2:22" x14ac:dyDescent="0.3">
      <c r="B77">
        <v>3</v>
      </c>
      <c r="C77">
        <v>9421.1</v>
      </c>
      <c r="D77">
        <v>36585.9</v>
      </c>
      <c r="E77">
        <v>2019.6</v>
      </c>
      <c r="F77">
        <f t="shared" si="120"/>
        <v>3.6585900000000002</v>
      </c>
      <c r="G77">
        <f t="shared" si="121"/>
        <v>0.94211</v>
      </c>
      <c r="H77">
        <f t="shared" si="122"/>
        <v>2.7164800000000002</v>
      </c>
      <c r="I77">
        <f t="shared" si="124"/>
        <v>0.20196</v>
      </c>
      <c r="K77" s="67"/>
      <c r="L77" s="3">
        <v>-97.8</v>
      </c>
      <c r="M77" s="5">
        <f t="shared" ref="M77:M85" si="131">L77+98.2</f>
        <v>0.40000000000000568</v>
      </c>
      <c r="N77" s="5">
        <f t="shared" si="125"/>
        <v>24.754552179927092</v>
      </c>
      <c r="O77" s="5">
        <f t="shared" si="126"/>
        <v>0.54170743836239332</v>
      </c>
      <c r="P77" s="4">
        <v>3</v>
      </c>
      <c r="Q77" s="5">
        <f t="shared" si="127"/>
        <v>2.7164800000000002</v>
      </c>
      <c r="R77" s="5">
        <f t="shared" si="127"/>
        <v>0.20196</v>
      </c>
      <c r="S77" s="5">
        <f t="shared" si="128"/>
        <v>3.0180092799999998</v>
      </c>
      <c r="T77" s="5">
        <f t="shared" si="129"/>
        <v>0.18108055679999999</v>
      </c>
      <c r="U77" s="5">
        <f t="shared" si="130"/>
        <v>0.41342592876712325</v>
      </c>
      <c r="V77" s="5">
        <f t="shared" si="123"/>
        <v>0.54170743836239332</v>
      </c>
    </row>
    <row r="78" spans="2:22" x14ac:dyDescent="0.3">
      <c r="B78">
        <v>4</v>
      </c>
      <c r="C78">
        <v>11041.9</v>
      </c>
      <c r="D78">
        <v>40536.699999999997</v>
      </c>
      <c r="E78">
        <v>2111.8000000000002</v>
      </c>
      <c r="F78">
        <f t="shared" si="120"/>
        <v>4.0536699999999994</v>
      </c>
      <c r="G78">
        <f t="shared" si="121"/>
        <v>1.10419</v>
      </c>
      <c r="H78">
        <f t="shared" si="122"/>
        <v>2.9494799999999994</v>
      </c>
      <c r="I78">
        <f t="shared" si="124"/>
        <v>0.21118000000000001</v>
      </c>
      <c r="K78" s="67"/>
      <c r="L78" s="3">
        <v>-97.2</v>
      </c>
      <c r="M78" s="5">
        <f t="shared" si="131"/>
        <v>1</v>
      </c>
      <c r="N78" s="5">
        <f t="shared" si="125"/>
        <v>31.807899949628325</v>
      </c>
      <c r="O78" s="5">
        <f t="shared" si="126"/>
        <v>0.32809903578179561</v>
      </c>
      <c r="P78" s="4">
        <v>3</v>
      </c>
      <c r="Q78" s="5">
        <f t="shared" si="127"/>
        <v>2.9494799999999994</v>
      </c>
      <c r="R78" s="5">
        <f t="shared" si="127"/>
        <v>0.21118000000000001</v>
      </c>
      <c r="S78" s="5">
        <f t="shared" si="128"/>
        <v>3.2768722800000001</v>
      </c>
      <c r="T78" s="5">
        <f t="shared" si="129"/>
        <v>0.19661233680000001</v>
      </c>
      <c r="U78" s="5">
        <f t="shared" si="130"/>
        <v>0.44888661369863014</v>
      </c>
      <c r="V78" s="5">
        <f t="shared" si="123"/>
        <v>0.32809903578179561</v>
      </c>
    </row>
    <row r="79" spans="2:22" x14ac:dyDescent="0.3">
      <c r="B79">
        <v>5</v>
      </c>
      <c r="C79">
        <v>13047.1</v>
      </c>
      <c r="D79">
        <v>42304.3</v>
      </c>
      <c r="E79">
        <v>1096.7</v>
      </c>
      <c r="F79">
        <f t="shared" si="120"/>
        <v>4.2304300000000001</v>
      </c>
      <c r="G79">
        <f t="shared" si="121"/>
        <v>1.30471</v>
      </c>
      <c r="H79">
        <f t="shared" si="122"/>
        <v>2.9257200000000001</v>
      </c>
      <c r="I79">
        <f t="shared" si="124"/>
        <v>0.10967</v>
      </c>
      <c r="K79" s="67"/>
      <c r="L79" s="3">
        <v>-96.8</v>
      </c>
      <c r="M79" s="5">
        <f t="shared" si="131"/>
        <v>1.4000000000000057</v>
      </c>
      <c r="N79" s="5">
        <f t="shared" si="125"/>
        <v>37.414240753916886</v>
      </c>
      <c r="O79" s="5">
        <f t="shared" si="126"/>
        <v>0.23713795720148326</v>
      </c>
      <c r="P79" s="4">
        <v>3</v>
      </c>
      <c r="Q79" s="5">
        <f t="shared" si="127"/>
        <v>2.9257200000000001</v>
      </c>
      <c r="R79" s="5">
        <f t="shared" si="127"/>
        <v>0.10967</v>
      </c>
      <c r="S79" s="5">
        <f t="shared" si="128"/>
        <v>3.2504749200000003</v>
      </c>
      <c r="T79" s="5">
        <f t="shared" si="129"/>
        <v>0.19502849520000001</v>
      </c>
      <c r="U79" s="5">
        <f t="shared" si="130"/>
        <v>0.44527053698630142</v>
      </c>
      <c r="V79" s="5">
        <f t="shared" si="123"/>
        <v>0.23713795720148326</v>
      </c>
    </row>
    <row r="80" spans="2:22" x14ac:dyDescent="0.3">
      <c r="B80">
        <v>6</v>
      </c>
      <c r="C80">
        <v>14265.9</v>
      </c>
      <c r="D80">
        <v>51833.5</v>
      </c>
      <c r="E80">
        <v>864.4</v>
      </c>
      <c r="F80">
        <f t="shared" si="120"/>
        <v>5.1833499999999999</v>
      </c>
      <c r="G80">
        <f t="shared" si="121"/>
        <v>1.42659</v>
      </c>
      <c r="H80">
        <f t="shared" si="122"/>
        <v>3.7567599999999999</v>
      </c>
      <c r="I80">
        <f t="shared" si="124"/>
        <v>8.6440000000000003E-2</v>
      </c>
      <c r="K80" s="67"/>
      <c r="L80" s="3">
        <v>-96.3</v>
      </c>
      <c r="M80" s="5">
        <f t="shared" si="131"/>
        <v>1.9000000000000057</v>
      </c>
      <c r="N80" s="5">
        <f t="shared" si="125"/>
        <v>44.970060517830404</v>
      </c>
      <c r="O80" s="5">
        <f t="shared" si="126"/>
        <v>0.16414513043562737</v>
      </c>
      <c r="P80" s="4">
        <v>4</v>
      </c>
      <c r="Q80" s="5">
        <f t="shared" si="127"/>
        <v>3.7567599999999999</v>
      </c>
      <c r="R80" s="5">
        <f t="shared" si="127"/>
        <v>8.6440000000000003E-2</v>
      </c>
      <c r="S80" s="5">
        <f t="shared" si="128"/>
        <v>3.1303202700000003</v>
      </c>
      <c r="T80" s="5">
        <f t="shared" si="129"/>
        <v>0.18781921620000003</v>
      </c>
      <c r="U80" s="5">
        <f t="shared" si="130"/>
        <v>0.428810995890411</v>
      </c>
      <c r="V80" s="5">
        <f t="shared" si="123"/>
        <v>0.16414513043562737</v>
      </c>
    </row>
    <row r="81" spans="2:22" x14ac:dyDescent="0.3">
      <c r="B81">
        <v>7</v>
      </c>
      <c r="C81">
        <v>11600.5</v>
      </c>
      <c r="D81">
        <v>43736.2</v>
      </c>
      <c r="E81">
        <v>738.8</v>
      </c>
      <c r="F81">
        <f t="shared" si="120"/>
        <v>4.3736199999999998</v>
      </c>
      <c r="G81">
        <f t="shared" si="121"/>
        <v>1.16005</v>
      </c>
      <c r="H81">
        <f t="shared" si="122"/>
        <v>3.2135699999999998</v>
      </c>
      <c r="I81">
        <f t="shared" si="124"/>
        <v>7.3880000000000001E-2</v>
      </c>
      <c r="K81" s="67"/>
      <c r="L81" s="3">
        <v>-95.8</v>
      </c>
      <c r="M81" s="5">
        <f t="shared" si="131"/>
        <v>2.4000000000000057</v>
      </c>
      <c r="N81" s="5">
        <f t="shared" si="125"/>
        <v>52.890724234957723</v>
      </c>
      <c r="O81" s="5">
        <f t="shared" si="126"/>
        <v>0.11866316280036333</v>
      </c>
      <c r="P81" s="4">
        <v>4</v>
      </c>
      <c r="Q81" s="5">
        <f t="shared" si="127"/>
        <v>3.2135699999999998</v>
      </c>
      <c r="R81" s="5">
        <f t="shared" si="127"/>
        <v>7.3880000000000001E-2</v>
      </c>
      <c r="S81" s="5">
        <f t="shared" si="128"/>
        <v>2.6777072024999997</v>
      </c>
      <c r="T81" s="5">
        <f t="shared" si="129"/>
        <v>0.16066243214999998</v>
      </c>
      <c r="U81" s="5">
        <f t="shared" si="130"/>
        <v>0.36680920582191778</v>
      </c>
      <c r="V81" s="5">
        <f t="shared" si="123"/>
        <v>0.11866316280036333</v>
      </c>
    </row>
    <row r="82" spans="2:22" x14ac:dyDescent="0.3">
      <c r="B82">
        <v>8</v>
      </c>
      <c r="C82">
        <v>8214.6</v>
      </c>
      <c r="D82">
        <v>41839.699999999997</v>
      </c>
      <c r="E82">
        <v>645</v>
      </c>
      <c r="F82">
        <f t="shared" si="120"/>
        <v>4.1839699999999995</v>
      </c>
      <c r="G82">
        <f t="shared" si="121"/>
        <v>0.82146000000000008</v>
      </c>
      <c r="H82">
        <f t="shared" si="122"/>
        <v>3.3625099999999994</v>
      </c>
      <c r="I82">
        <f t="shared" si="124"/>
        <v>6.4500000000000002E-2</v>
      </c>
      <c r="K82" s="67"/>
      <c r="L82" s="3">
        <v>-95.5</v>
      </c>
      <c r="M82" s="5">
        <f t="shared" si="131"/>
        <v>2.7000000000000028</v>
      </c>
      <c r="N82" s="5">
        <f t="shared" si="125"/>
        <v>57.756125383651771</v>
      </c>
      <c r="O82" s="5">
        <f t="shared" si="126"/>
        <v>9.951277711743281E-2</v>
      </c>
      <c r="P82" s="4">
        <v>5</v>
      </c>
      <c r="Q82" s="5">
        <f t="shared" si="127"/>
        <v>3.3625099999999994</v>
      </c>
      <c r="R82" s="5">
        <f t="shared" si="127"/>
        <v>6.4500000000000002E-2</v>
      </c>
      <c r="S82" s="5">
        <f t="shared" si="128"/>
        <v>2.2414491660000002</v>
      </c>
      <c r="T82" s="5">
        <f t="shared" si="129"/>
        <v>0.13448694996000002</v>
      </c>
      <c r="U82" s="5">
        <f t="shared" si="130"/>
        <v>0.30704783095890414</v>
      </c>
      <c r="V82" s="5">
        <f t="shared" si="123"/>
        <v>9.951277711743281E-2</v>
      </c>
    </row>
    <row r="83" spans="2:22" x14ac:dyDescent="0.3">
      <c r="B83">
        <v>9</v>
      </c>
      <c r="C83">
        <v>3020.6</v>
      </c>
      <c r="D83">
        <v>20425</v>
      </c>
      <c r="E83">
        <v>4759.7</v>
      </c>
      <c r="F83">
        <f t="shared" si="120"/>
        <v>2.0425</v>
      </c>
      <c r="G83">
        <f t="shared" si="121"/>
        <v>0.30206</v>
      </c>
      <c r="H83">
        <f t="shared" si="122"/>
        <v>1.74044</v>
      </c>
      <c r="I83">
        <f t="shared" si="124"/>
        <v>0.47597</v>
      </c>
      <c r="K83" s="67"/>
      <c r="L83" s="5">
        <v>-95.1</v>
      </c>
      <c r="M83" s="5">
        <f t="shared" si="131"/>
        <v>3.1000000000000085</v>
      </c>
      <c r="N83" s="5">
        <f t="shared" si="125"/>
        <v>64.335352920706185</v>
      </c>
      <c r="O83" s="5">
        <f t="shared" si="126"/>
        <v>8.0200222294953424E-2</v>
      </c>
      <c r="P83" s="4">
        <v>8</v>
      </c>
      <c r="Q83" s="5">
        <f t="shared" si="127"/>
        <v>1.74044</v>
      </c>
      <c r="R83" s="5">
        <f t="shared" si="127"/>
        <v>0.47597</v>
      </c>
      <c r="S83" s="5">
        <f t="shared" si="128"/>
        <v>0.72511081499999996</v>
      </c>
      <c r="T83" s="5">
        <f t="shared" si="129"/>
        <v>4.3506648899999993E-2</v>
      </c>
      <c r="U83" s="5">
        <f t="shared" si="130"/>
        <v>9.933024863013698E-2</v>
      </c>
      <c r="V83" s="5">
        <f t="shared" si="123"/>
        <v>8.0200222294953424E-2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20"/>
        <v>0</v>
      </c>
      <c r="G84">
        <f t="shared" si="121"/>
        <v>0</v>
      </c>
      <c r="H84">
        <f t="shared" si="122"/>
        <v>0</v>
      </c>
      <c r="I84">
        <f t="shared" si="124"/>
        <v>0</v>
      </c>
      <c r="K84" s="67"/>
      <c r="L84" s="5">
        <v>-94.399999999999991</v>
      </c>
      <c r="M84" s="5">
        <f t="shared" si="131"/>
        <v>3.8000000000000114</v>
      </c>
      <c r="N84" s="5">
        <f t="shared" si="125"/>
        <v>76.025152245972833</v>
      </c>
      <c r="O84" s="5">
        <f t="shared" si="126"/>
        <v>5.7432847683128903E-2</v>
      </c>
      <c r="P84" s="4">
        <v>14</v>
      </c>
      <c r="Q84" s="5">
        <f t="shared" si="127"/>
        <v>0</v>
      </c>
      <c r="R84" s="5">
        <f t="shared" si="127"/>
        <v>0</v>
      </c>
      <c r="S84" s="5">
        <f t="shared" si="128"/>
        <v>0</v>
      </c>
      <c r="T84" s="5">
        <f t="shared" si="129"/>
        <v>0</v>
      </c>
      <c r="U84" s="5">
        <f t="shared" si="130"/>
        <v>0</v>
      </c>
      <c r="V84" s="5">
        <f t="shared" si="123"/>
        <v>5.7432847683128903E-2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20"/>
        <v>0</v>
      </c>
      <c r="G85">
        <f t="shared" si="121"/>
        <v>0</v>
      </c>
      <c r="H85">
        <f t="shared" si="122"/>
        <v>0</v>
      </c>
      <c r="I85">
        <f t="shared" si="124"/>
        <v>0</v>
      </c>
      <c r="K85" s="68"/>
      <c r="L85" s="6">
        <v>-93.3</v>
      </c>
      <c r="M85" s="6">
        <f t="shared" si="131"/>
        <v>4.9000000000000057</v>
      </c>
      <c r="N85" s="6">
        <f t="shared" si="125"/>
        <v>94.671337139281746</v>
      </c>
      <c r="O85" s="6">
        <f t="shared" si="126"/>
        <v>3.7037181101287876E-2</v>
      </c>
      <c r="P85" s="7">
        <v>21</v>
      </c>
      <c r="Q85" s="6">
        <f t="shared" si="127"/>
        <v>0</v>
      </c>
      <c r="R85" s="6">
        <f t="shared" si="127"/>
        <v>0</v>
      </c>
      <c r="S85" s="6">
        <f t="shared" si="128"/>
        <v>0</v>
      </c>
      <c r="T85" s="6">
        <f t="shared" si="129"/>
        <v>0</v>
      </c>
      <c r="U85" s="6">
        <f t="shared" si="130"/>
        <v>0</v>
      </c>
      <c r="V85" s="6">
        <f t="shared" si="123"/>
        <v>3.7037181101287876E-2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1192.0999999999999</v>
      </c>
      <c r="D89">
        <v>29202.799999999999</v>
      </c>
      <c r="E89">
        <v>2667.5</v>
      </c>
      <c r="F89">
        <f t="shared" ref="F89:F99" si="132">D89/10000</f>
        <v>2.92028</v>
      </c>
      <c r="G89">
        <f t="shared" ref="G89:G99" si="133">C89/10000</f>
        <v>0.11921</v>
      </c>
      <c r="H89">
        <f t="shared" ref="H89:H99" si="134">F89-G89</f>
        <v>2.8010700000000002</v>
      </c>
      <c r="I89">
        <f>E89/10000</f>
        <v>0.26674999999999999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0.61940375793767699</v>
      </c>
      <c r="P89" s="2">
        <v>3</v>
      </c>
      <c r="Q89" s="8">
        <f>H89</f>
        <v>2.8010700000000002</v>
      </c>
      <c r="R89" s="8">
        <f>I89</f>
        <v>0.26674999999999999</v>
      </c>
      <c r="S89" s="8">
        <f>Q89/10^6*$Z$4*$Z$3/P89*10^12</f>
        <v>3.1119887700000004</v>
      </c>
      <c r="T89" s="8">
        <f>S89*0.06</f>
        <v>0.18671932620000001</v>
      </c>
      <c r="U89" s="8">
        <f>S89/$Z$1</f>
        <v>0.42629983150684936</v>
      </c>
      <c r="V89" s="12">
        <f t="shared" ref="V89:V99" si="135">O89</f>
        <v>0.61940375793767699</v>
      </c>
    </row>
    <row r="90" spans="2:22" x14ac:dyDescent="0.3">
      <c r="B90">
        <v>2</v>
      </c>
      <c r="C90">
        <v>4847.8999999999996</v>
      </c>
      <c r="D90">
        <v>33429</v>
      </c>
      <c r="E90">
        <v>3035.9</v>
      </c>
      <c r="F90">
        <f t="shared" si="132"/>
        <v>3.3429000000000002</v>
      </c>
      <c r="G90">
        <f t="shared" si="133"/>
        <v>0.48478999999999994</v>
      </c>
      <c r="H90">
        <f t="shared" si="134"/>
        <v>2.8581100000000004</v>
      </c>
      <c r="I90">
        <f t="shared" ref="I90:I99" si="136">E90/10000</f>
        <v>0.30359000000000003</v>
      </c>
      <c r="K90" s="67"/>
      <c r="L90" s="3">
        <v>-98</v>
      </c>
      <c r="M90" s="5">
        <f>L90+98.2</f>
        <v>0.20000000000000284</v>
      </c>
      <c r="N90" s="5">
        <f t="shared" ref="N90:N99" si="137">20.56036*SQRT(1+((L90-(-98.58903))*1.03*1095.70644/(3.14159*20.56036^2))^2)</f>
        <v>22.992351577801337</v>
      </c>
      <c r="O90" s="5">
        <f t="shared" ref="O90:O99" si="138">2*$Z$1/$Z$2/PI()/(N90*10^-4)^2/$K$89/$Z$7</f>
        <v>0.54943486815579567</v>
      </c>
      <c r="P90" s="4">
        <v>3</v>
      </c>
      <c r="Q90" s="5">
        <f t="shared" ref="Q90:R99" si="139">H90</f>
        <v>2.8581100000000004</v>
      </c>
      <c r="R90" s="5">
        <f t="shared" si="139"/>
        <v>0.30359000000000003</v>
      </c>
      <c r="S90" s="5">
        <f t="shared" ref="S90:S99" si="140">Q90/10^6*$Z$4*$Z$3/P90*10^12</f>
        <v>3.1753602100000005</v>
      </c>
      <c r="T90" s="5">
        <f t="shared" ref="T90:T99" si="141">S90*0.06</f>
        <v>0.19052161260000003</v>
      </c>
      <c r="U90" s="5">
        <f t="shared" ref="U90:U99" si="142">S90/$Z$1</f>
        <v>0.43498085068493159</v>
      </c>
      <c r="V90" s="5">
        <f t="shared" si="135"/>
        <v>0.54943486815579567</v>
      </c>
    </row>
    <row r="91" spans="2:22" x14ac:dyDescent="0.3">
      <c r="B91">
        <v>3</v>
      </c>
      <c r="C91">
        <v>12290.7</v>
      </c>
      <c r="D91">
        <v>36849.199999999997</v>
      </c>
      <c r="E91">
        <v>1849.5</v>
      </c>
      <c r="F91">
        <f t="shared" si="132"/>
        <v>3.6849199999999995</v>
      </c>
      <c r="G91">
        <f t="shared" si="133"/>
        <v>1.2290700000000001</v>
      </c>
      <c r="H91">
        <f t="shared" si="134"/>
        <v>2.4558499999999994</v>
      </c>
      <c r="I91">
        <f t="shared" si="136"/>
        <v>0.18495</v>
      </c>
      <c r="K91" s="67"/>
      <c r="L91" s="3">
        <v>-97.8</v>
      </c>
      <c r="M91" s="5">
        <f t="shared" ref="M91:M99" si="143">L91+98.2</f>
        <v>0.40000000000000568</v>
      </c>
      <c r="N91" s="5">
        <f t="shared" si="137"/>
        <v>24.754552179927092</v>
      </c>
      <c r="O91" s="5">
        <f t="shared" si="138"/>
        <v>0.47399400856709412</v>
      </c>
      <c r="P91" s="4">
        <v>3</v>
      </c>
      <c r="Q91" s="5">
        <f t="shared" si="139"/>
        <v>2.4558499999999994</v>
      </c>
      <c r="R91" s="5">
        <f t="shared" si="139"/>
        <v>0.18495</v>
      </c>
      <c r="S91" s="5">
        <f t="shared" si="140"/>
        <v>2.72844935</v>
      </c>
      <c r="T91" s="5">
        <f t="shared" si="141"/>
        <v>0.16370696099999998</v>
      </c>
      <c r="U91" s="5">
        <f t="shared" si="142"/>
        <v>0.37376018493150687</v>
      </c>
      <c r="V91" s="5">
        <f t="shared" si="135"/>
        <v>0.47399400856709412</v>
      </c>
    </row>
    <row r="92" spans="2:22" x14ac:dyDescent="0.3">
      <c r="B92">
        <v>4</v>
      </c>
      <c r="C92">
        <v>9632</v>
      </c>
      <c r="D92">
        <v>38485.199999999997</v>
      </c>
      <c r="E92">
        <v>1815.4</v>
      </c>
      <c r="F92">
        <f t="shared" si="132"/>
        <v>3.8485199999999997</v>
      </c>
      <c r="G92">
        <f t="shared" si="133"/>
        <v>0.96319999999999995</v>
      </c>
      <c r="H92">
        <f t="shared" si="134"/>
        <v>2.8853199999999997</v>
      </c>
      <c r="I92">
        <f t="shared" si="136"/>
        <v>0.18154000000000001</v>
      </c>
      <c r="K92" s="67"/>
      <c r="L92" s="3">
        <v>-97.2</v>
      </c>
      <c r="M92" s="5">
        <f t="shared" si="143"/>
        <v>1</v>
      </c>
      <c r="N92" s="5">
        <f t="shared" si="137"/>
        <v>31.807899949628325</v>
      </c>
      <c r="O92" s="5">
        <f t="shared" si="138"/>
        <v>0.28708665630907115</v>
      </c>
      <c r="P92" s="4">
        <v>3</v>
      </c>
      <c r="Q92" s="5">
        <f t="shared" si="139"/>
        <v>2.8853199999999997</v>
      </c>
      <c r="R92" s="5">
        <f t="shared" si="139"/>
        <v>0.18154000000000001</v>
      </c>
      <c r="S92" s="5">
        <f t="shared" si="140"/>
        <v>3.2055905199999999</v>
      </c>
      <c r="T92" s="5">
        <f t="shared" si="141"/>
        <v>0.19233543119999999</v>
      </c>
      <c r="U92" s="5">
        <f t="shared" si="142"/>
        <v>0.43912198904109589</v>
      </c>
      <c r="V92" s="5">
        <f t="shared" si="135"/>
        <v>0.28708665630907115</v>
      </c>
    </row>
    <row r="93" spans="2:22" x14ac:dyDescent="0.3">
      <c r="B93">
        <v>5</v>
      </c>
      <c r="C93">
        <v>9401.2999999999993</v>
      </c>
      <c r="D93">
        <v>40679.9</v>
      </c>
      <c r="E93">
        <v>699.8</v>
      </c>
      <c r="F93">
        <f t="shared" si="132"/>
        <v>4.06799</v>
      </c>
      <c r="G93">
        <f t="shared" si="133"/>
        <v>0.94012999999999991</v>
      </c>
      <c r="H93">
        <f t="shared" si="134"/>
        <v>3.1278600000000001</v>
      </c>
      <c r="I93">
        <f t="shared" si="136"/>
        <v>6.9980000000000001E-2</v>
      </c>
      <c r="K93" s="67"/>
      <c r="L93" s="3">
        <v>-96.8</v>
      </c>
      <c r="M93" s="5">
        <f t="shared" si="143"/>
        <v>1.4000000000000057</v>
      </c>
      <c r="N93" s="5">
        <f t="shared" si="137"/>
        <v>37.414240753916886</v>
      </c>
      <c r="O93" s="5">
        <f t="shared" si="138"/>
        <v>0.20749571255129784</v>
      </c>
      <c r="P93" s="4">
        <v>3</v>
      </c>
      <c r="Q93" s="5">
        <f t="shared" si="139"/>
        <v>3.1278600000000001</v>
      </c>
      <c r="R93" s="5">
        <f t="shared" si="139"/>
        <v>6.9980000000000001E-2</v>
      </c>
      <c r="S93" s="5">
        <f t="shared" si="140"/>
        <v>3.4750524600000001</v>
      </c>
      <c r="T93" s="5">
        <f t="shared" si="141"/>
        <v>0.20850314759999999</v>
      </c>
      <c r="U93" s="5">
        <f t="shared" si="142"/>
        <v>0.47603458356164385</v>
      </c>
      <c r="V93" s="5">
        <f t="shared" si="135"/>
        <v>0.20749571255129784</v>
      </c>
    </row>
    <row r="94" spans="2:22" x14ac:dyDescent="0.3">
      <c r="B94">
        <v>6</v>
      </c>
      <c r="C94">
        <v>8982.1</v>
      </c>
      <c r="D94">
        <v>47469.8</v>
      </c>
      <c r="E94">
        <v>945.7</v>
      </c>
      <c r="F94">
        <f t="shared" si="132"/>
        <v>4.7469800000000006</v>
      </c>
      <c r="G94">
        <f t="shared" si="133"/>
        <v>0.89821000000000006</v>
      </c>
      <c r="H94">
        <f t="shared" si="134"/>
        <v>3.8487700000000005</v>
      </c>
      <c r="I94">
        <f t="shared" si="136"/>
        <v>9.4570000000000001E-2</v>
      </c>
      <c r="K94" s="67"/>
      <c r="L94" s="3">
        <v>-96.3</v>
      </c>
      <c r="M94" s="5">
        <f t="shared" si="143"/>
        <v>1.9000000000000057</v>
      </c>
      <c r="N94" s="5">
        <f t="shared" si="137"/>
        <v>44.970060517830404</v>
      </c>
      <c r="O94" s="5">
        <f t="shared" si="138"/>
        <v>0.14362698913117394</v>
      </c>
      <c r="P94" s="4">
        <v>4</v>
      </c>
      <c r="Q94" s="5">
        <f t="shared" si="139"/>
        <v>3.8487700000000005</v>
      </c>
      <c r="R94" s="5">
        <f t="shared" si="139"/>
        <v>9.4570000000000001E-2</v>
      </c>
      <c r="S94" s="5">
        <f t="shared" si="140"/>
        <v>3.2069876025000008</v>
      </c>
      <c r="T94" s="5">
        <f t="shared" si="141"/>
        <v>0.19241925615000005</v>
      </c>
      <c r="U94" s="5">
        <f t="shared" si="142"/>
        <v>0.43931337020547956</v>
      </c>
      <c r="V94" s="5">
        <f t="shared" si="135"/>
        <v>0.14362698913117394</v>
      </c>
    </row>
    <row r="95" spans="2:22" x14ac:dyDescent="0.3">
      <c r="B95">
        <v>7</v>
      </c>
      <c r="C95">
        <v>5988.5</v>
      </c>
      <c r="D95">
        <v>39735.699999999997</v>
      </c>
      <c r="E95">
        <v>1226.3</v>
      </c>
      <c r="F95">
        <f t="shared" si="132"/>
        <v>3.9735699999999996</v>
      </c>
      <c r="G95">
        <f t="shared" si="133"/>
        <v>0.59884999999999999</v>
      </c>
      <c r="H95">
        <f t="shared" si="134"/>
        <v>3.3747199999999995</v>
      </c>
      <c r="I95">
        <f t="shared" si="136"/>
        <v>0.12262999999999999</v>
      </c>
      <c r="K95" s="67"/>
      <c r="L95" s="3">
        <v>-95.8</v>
      </c>
      <c r="M95" s="5">
        <f t="shared" si="143"/>
        <v>2.4000000000000057</v>
      </c>
      <c r="N95" s="5">
        <f t="shared" si="137"/>
        <v>52.890724234957723</v>
      </c>
      <c r="O95" s="5">
        <f t="shared" si="138"/>
        <v>0.10383026745031791</v>
      </c>
      <c r="P95" s="4">
        <v>4</v>
      </c>
      <c r="Q95" s="5">
        <f t="shared" si="139"/>
        <v>3.3747199999999995</v>
      </c>
      <c r="R95" s="5">
        <f t="shared" si="139"/>
        <v>0.12262999999999999</v>
      </c>
      <c r="S95" s="5">
        <f t="shared" si="140"/>
        <v>2.8119854399999999</v>
      </c>
      <c r="T95" s="5">
        <f t="shared" si="141"/>
        <v>0.1687191264</v>
      </c>
      <c r="U95" s="5">
        <f t="shared" si="142"/>
        <v>0.38520348493150686</v>
      </c>
      <c r="V95" s="5">
        <f t="shared" si="135"/>
        <v>0.10383026745031791</v>
      </c>
    </row>
    <row r="96" spans="2:22" x14ac:dyDescent="0.3">
      <c r="B96">
        <v>8</v>
      </c>
      <c r="C96">
        <v>8187.1</v>
      </c>
      <c r="D96">
        <v>38571.5</v>
      </c>
      <c r="E96">
        <v>2197.9</v>
      </c>
      <c r="F96">
        <f t="shared" si="132"/>
        <v>3.8571499999999999</v>
      </c>
      <c r="G96">
        <f t="shared" si="133"/>
        <v>0.81871000000000005</v>
      </c>
      <c r="H96">
        <f t="shared" si="134"/>
        <v>3.0384399999999996</v>
      </c>
      <c r="I96">
        <f t="shared" si="136"/>
        <v>0.21979000000000001</v>
      </c>
      <c r="K96" s="67"/>
      <c r="L96" s="3">
        <v>-95.5</v>
      </c>
      <c r="M96" s="5">
        <f t="shared" si="143"/>
        <v>2.7000000000000028</v>
      </c>
      <c r="N96" s="5">
        <f t="shared" si="137"/>
        <v>57.756125383651771</v>
      </c>
      <c r="O96" s="5">
        <f t="shared" si="138"/>
        <v>8.7073679977753712E-2</v>
      </c>
      <c r="P96" s="4">
        <v>5</v>
      </c>
      <c r="Q96" s="5">
        <f t="shared" si="139"/>
        <v>3.0384399999999996</v>
      </c>
      <c r="R96" s="5">
        <f t="shared" si="139"/>
        <v>0.21979000000000001</v>
      </c>
      <c r="S96" s="5">
        <f t="shared" si="140"/>
        <v>2.0254241039999994</v>
      </c>
      <c r="T96" s="5">
        <f t="shared" si="141"/>
        <v>0.12152544623999996</v>
      </c>
      <c r="U96" s="5">
        <f t="shared" si="142"/>
        <v>0.27745535671232868</v>
      </c>
      <c r="V96" s="5">
        <f t="shared" si="135"/>
        <v>8.7073679977753712E-2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32"/>
        <v>0</v>
      </c>
      <c r="G97">
        <f t="shared" si="133"/>
        <v>0</v>
      </c>
      <c r="H97">
        <f t="shared" si="134"/>
        <v>0</v>
      </c>
      <c r="I97">
        <f t="shared" si="136"/>
        <v>0</v>
      </c>
      <c r="K97" s="67"/>
      <c r="L97" s="5">
        <v>-95.1</v>
      </c>
      <c r="M97" s="5">
        <f t="shared" si="143"/>
        <v>3.1000000000000085</v>
      </c>
      <c r="N97" s="5">
        <f t="shared" si="137"/>
        <v>64.335352920706185</v>
      </c>
      <c r="O97" s="5">
        <f t="shared" si="138"/>
        <v>7.0175194508084252E-2</v>
      </c>
      <c r="P97" s="4">
        <v>8</v>
      </c>
      <c r="Q97" s="5">
        <f t="shared" si="139"/>
        <v>0</v>
      </c>
      <c r="R97" s="5">
        <f t="shared" si="139"/>
        <v>0</v>
      </c>
      <c r="S97" s="5">
        <f t="shared" si="140"/>
        <v>0</v>
      </c>
      <c r="T97" s="5">
        <f t="shared" si="141"/>
        <v>0</v>
      </c>
      <c r="U97" s="5">
        <f t="shared" si="142"/>
        <v>0</v>
      </c>
      <c r="V97" s="5">
        <f t="shared" si="135"/>
        <v>7.0175194508084252E-2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32"/>
        <v>0</v>
      </c>
      <c r="G98">
        <f t="shared" si="133"/>
        <v>0</v>
      </c>
      <c r="H98">
        <f t="shared" si="134"/>
        <v>0</v>
      </c>
      <c r="I98">
        <f t="shared" si="136"/>
        <v>0</v>
      </c>
      <c r="K98" s="67"/>
      <c r="L98" s="5">
        <v>-94.399999999999991</v>
      </c>
      <c r="M98" s="5">
        <f t="shared" si="143"/>
        <v>3.8000000000000114</v>
      </c>
      <c r="N98" s="5">
        <f t="shared" si="137"/>
        <v>76.025152245972833</v>
      </c>
      <c r="O98" s="5">
        <f t="shared" si="138"/>
        <v>5.0253741722737791E-2</v>
      </c>
      <c r="P98" s="4">
        <v>14</v>
      </c>
      <c r="Q98" s="5">
        <f t="shared" si="139"/>
        <v>0</v>
      </c>
      <c r="R98" s="5">
        <f t="shared" si="139"/>
        <v>0</v>
      </c>
      <c r="S98" s="5">
        <f t="shared" si="140"/>
        <v>0</v>
      </c>
      <c r="T98" s="5">
        <f t="shared" si="141"/>
        <v>0</v>
      </c>
      <c r="U98" s="5">
        <f t="shared" si="142"/>
        <v>0</v>
      </c>
      <c r="V98" s="5">
        <f t="shared" si="135"/>
        <v>5.0253741722737791E-2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32"/>
        <v>0</v>
      </c>
      <c r="G99">
        <f t="shared" si="133"/>
        <v>0</v>
      </c>
      <c r="H99">
        <f t="shared" si="134"/>
        <v>0</v>
      </c>
      <c r="I99">
        <f t="shared" si="136"/>
        <v>0</v>
      </c>
      <c r="K99" s="68"/>
      <c r="L99" s="6">
        <v>-93.3</v>
      </c>
      <c r="M99" s="6">
        <f t="shared" si="143"/>
        <v>4.9000000000000057</v>
      </c>
      <c r="N99" s="6">
        <f t="shared" si="137"/>
        <v>94.671337139281746</v>
      </c>
      <c r="O99" s="6">
        <f t="shared" si="138"/>
        <v>3.2407533463626889E-2</v>
      </c>
      <c r="P99" s="7">
        <v>21</v>
      </c>
      <c r="Q99" s="6">
        <f t="shared" si="139"/>
        <v>0</v>
      </c>
      <c r="R99" s="6">
        <f t="shared" si="139"/>
        <v>0</v>
      </c>
      <c r="S99" s="6">
        <f t="shared" si="140"/>
        <v>0</v>
      </c>
      <c r="T99" s="6">
        <f t="shared" si="141"/>
        <v>0</v>
      </c>
      <c r="U99" s="6">
        <f t="shared" si="142"/>
        <v>0</v>
      </c>
      <c r="V99" s="6">
        <f t="shared" si="135"/>
        <v>3.2407533463626889E-2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222.6</v>
      </c>
      <c r="D103">
        <v>27282.5</v>
      </c>
      <c r="E103">
        <v>2636</v>
      </c>
      <c r="F103">
        <f t="shared" ref="F103:F113" si="144">D103/10000</f>
        <v>2.7282500000000001</v>
      </c>
      <c r="G103">
        <f t="shared" ref="G103:G113" si="145">C103/10000</f>
        <v>2.2259999999999999E-2</v>
      </c>
      <c r="H103">
        <f t="shared" ref="H103:H113" si="146">F103-G103</f>
        <v>2.7059899999999999</v>
      </c>
      <c r="I103">
        <f>E103/10000</f>
        <v>0.2636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0.55058111816682398</v>
      </c>
      <c r="P103" s="2">
        <v>3</v>
      </c>
      <c r="Q103" s="8">
        <f>H103</f>
        <v>2.7059899999999999</v>
      </c>
      <c r="R103" s="8">
        <f>I103</f>
        <v>0.2636</v>
      </c>
      <c r="S103" s="8">
        <f>Q103/10^6*$Z$4*$Z$3/P103*10^12</f>
        <v>3.0063548899999994</v>
      </c>
      <c r="T103" s="8">
        <f>S103*0.06</f>
        <v>0.18038129339999995</v>
      </c>
      <c r="U103" s="8">
        <f>S103/$Z$1</f>
        <v>0.41182943698630131</v>
      </c>
      <c r="V103" s="12">
        <f t="shared" ref="V103:V113" si="147">O103</f>
        <v>0.55058111816682398</v>
      </c>
    </row>
    <row r="104" spans="2:22" x14ac:dyDescent="0.3">
      <c r="B104">
        <v>2</v>
      </c>
      <c r="C104">
        <v>2967.6</v>
      </c>
      <c r="D104">
        <v>31318.9</v>
      </c>
      <c r="E104">
        <v>2356.3000000000002</v>
      </c>
      <c r="F104">
        <f t="shared" si="144"/>
        <v>3.1318900000000003</v>
      </c>
      <c r="G104">
        <f t="shared" si="145"/>
        <v>0.29675999999999997</v>
      </c>
      <c r="H104">
        <f t="shared" si="146"/>
        <v>2.8351300000000004</v>
      </c>
      <c r="I104">
        <f t="shared" ref="I104:I113" si="148">E104/10000</f>
        <v>0.23563000000000001</v>
      </c>
      <c r="K104" s="67"/>
      <c r="L104" s="3">
        <v>-98</v>
      </c>
      <c r="M104" s="5">
        <f>L104+98.2</f>
        <v>0.20000000000000284</v>
      </c>
      <c r="N104" s="5">
        <f t="shared" ref="N104:N113" si="149">20.56036*SQRT(1+((L104-(-98.58903))*1.03*1095.70644/(3.14159*20.56036^2))^2)</f>
        <v>22.992351577801337</v>
      </c>
      <c r="O104" s="5">
        <f t="shared" ref="O104:O113" si="150">2*$Z$1/$Z$2/PI()/(N104*10^-4)^2/$K$103/$Z$7</f>
        <v>0.48838654947181837</v>
      </c>
      <c r="P104" s="4">
        <v>3</v>
      </c>
      <c r="Q104" s="5">
        <f t="shared" ref="Q104:R113" si="151">H104</f>
        <v>2.8351300000000004</v>
      </c>
      <c r="R104" s="5">
        <f t="shared" si="151"/>
        <v>0.23563000000000001</v>
      </c>
      <c r="S104" s="5">
        <f t="shared" ref="S104:S113" si="152">Q104/10^6*$Z$4*$Z$3/P104*10^12</f>
        <v>3.1498294300000005</v>
      </c>
      <c r="T104" s="5">
        <f t="shared" ref="T104:T113" si="153">S104*0.06</f>
        <v>0.18898976580000001</v>
      </c>
      <c r="U104" s="5">
        <f t="shared" ref="U104:U113" si="154">S104/$Z$1</f>
        <v>0.4314834835616439</v>
      </c>
      <c r="V104" s="5">
        <f t="shared" si="147"/>
        <v>0.48838654947181837</v>
      </c>
    </row>
    <row r="105" spans="2:22" x14ac:dyDescent="0.3">
      <c r="B105">
        <v>3</v>
      </c>
      <c r="C105">
        <v>5800</v>
      </c>
      <c r="D105">
        <v>30118.5</v>
      </c>
      <c r="E105">
        <v>2520.6</v>
      </c>
      <c r="F105">
        <f t="shared" si="144"/>
        <v>3.0118499999999999</v>
      </c>
      <c r="G105">
        <f t="shared" si="145"/>
        <v>0.57999999999999996</v>
      </c>
      <c r="H105">
        <f t="shared" si="146"/>
        <v>2.4318499999999998</v>
      </c>
      <c r="I105">
        <f t="shared" si="148"/>
        <v>0.25206000000000001</v>
      </c>
      <c r="K105" s="67"/>
      <c r="L105" s="3">
        <v>-97.8</v>
      </c>
      <c r="M105" s="5">
        <f t="shared" ref="M105:M113" si="155">L105+98.2</f>
        <v>0.40000000000000568</v>
      </c>
      <c r="N105" s="5">
        <f t="shared" si="149"/>
        <v>24.754552179927092</v>
      </c>
      <c r="O105" s="5">
        <f t="shared" si="150"/>
        <v>0.42132800761519479</v>
      </c>
      <c r="P105" s="4">
        <v>3</v>
      </c>
      <c r="Q105" s="5">
        <f t="shared" si="151"/>
        <v>2.4318499999999998</v>
      </c>
      <c r="R105" s="5">
        <f t="shared" si="151"/>
        <v>0.25206000000000001</v>
      </c>
      <c r="S105" s="5">
        <f t="shared" si="152"/>
        <v>2.7017853499999998</v>
      </c>
      <c r="T105" s="5">
        <f t="shared" si="153"/>
        <v>0.16210712099999999</v>
      </c>
      <c r="U105" s="5">
        <f t="shared" si="154"/>
        <v>0.3701075821917808</v>
      </c>
      <c r="V105" s="5">
        <f t="shared" si="147"/>
        <v>0.42132800761519479</v>
      </c>
    </row>
    <row r="106" spans="2:22" x14ac:dyDescent="0.3">
      <c r="B106">
        <v>4</v>
      </c>
      <c r="C106">
        <v>8776.4</v>
      </c>
      <c r="D106">
        <v>37051.199999999997</v>
      </c>
      <c r="E106">
        <v>2135</v>
      </c>
      <c r="F106">
        <f t="shared" si="144"/>
        <v>3.7051199999999995</v>
      </c>
      <c r="G106">
        <f t="shared" si="145"/>
        <v>0.87763999999999998</v>
      </c>
      <c r="H106">
        <f t="shared" si="146"/>
        <v>2.8274799999999995</v>
      </c>
      <c r="I106">
        <f t="shared" si="148"/>
        <v>0.2135</v>
      </c>
      <c r="K106" s="67"/>
      <c r="L106" s="3">
        <v>-97.2</v>
      </c>
      <c r="M106" s="5">
        <f t="shared" si="155"/>
        <v>1</v>
      </c>
      <c r="N106" s="5">
        <f t="shared" si="149"/>
        <v>31.807899949628325</v>
      </c>
      <c r="O106" s="5">
        <f t="shared" si="150"/>
        <v>0.25518813894139658</v>
      </c>
      <c r="P106" s="4">
        <v>3</v>
      </c>
      <c r="Q106" s="5">
        <f t="shared" si="151"/>
        <v>2.8274799999999995</v>
      </c>
      <c r="R106" s="5">
        <f t="shared" si="151"/>
        <v>0.2135</v>
      </c>
      <c r="S106" s="5">
        <f t="shared" si="152"/>
        <v>3.1413302799999996</v>
      </c>
      <c r="T106" s="5">
        <f t="shared" si="153"/>
        <v>0.18847981679999998</v>
      </c>
      <c r="U106" s="5">
        <f t="shared" si="154"/>
        <v>0.43031921643835613</v>
      </c>
      <c r="V106" s="5">
        <f t="shared" si="147"/>
        <v>0.25518813894139658</v>
      </c>
    </row>
    <row r="107" spans="2:22" x14ac:dyDescent="0.3">
      <c r="B107">
        <v>5</v>
      </c>
      <c r="C107">
        <v>7691.4</v>
      </c>
      <c r="D107">
        <v>32960.800000000003</v>
      </c>
      <c r="E107">
        <v>1329.4</v>
      </c>
      <c r="F107">
        <f t="shared" si="144"/>
        <v>3.2960800000000003</v>
      </c>
      <c r="G107">
        <f t="shared" si="145"/>
        <v>0.76913999999999993</v>
      </c>
      <c r="H107">
        <f t="shared" si="146"/>
        <v>2.5269400000000006</v>
      </c>
      <c r="I107">
        <f t="shared" si="148"/>
        <v>0.13294</v>
      </c>
      <c r="K107" s="67"/>
      <c r="L107" s="3">
        <v>-96.8</v>
      </c>
      <c r="M107" s="5">
        <f t="shared" si="155"/>
        <v>1.4000000000000057</v>
      </c>
      <c r="N107" s="5">
        <f t="shared" si="149"/>
        <v>37.414240753916886</v>
      </c>
      <c r="O107" s="5">
        <f t="shared" si="150"/>
        <v>0.18444063337893141</v>
      </c>
      <c r="P107" s="4">
        <v>3</v>
      </c>
      <c r="Q107" s="5">
        <f t="shared" si="151"/>
        <v>2.5269400000000006</v>
      </c>
      <c r="R107" s="5">
        <f t="shared" si="151"/>
        <v>0.13294</v>
      </c>
      <c r="S107" s="5">
        <f t="shared" si="152"/>
        <v>2.8074303400000007</v>
      </c>
      <c r="T107" s="5">
        <f t="shared" si="153"/>
        <v>0.16844582040000003</v>
      </c>
      <c r="U107" s="5">
        <f t="shared" si="154"/>
        <v>0.38457949863013707</v>
      </c>
      <c r="V107" s="5">
        <f t="shared" si="147"/>
        <v>0.18444063337893141</v>
      </c>
    </row>
    <row r="108" spans="2:22" x14ac:dyDescent="0.3">
      <c r="B108">
        <v>6</v>
      </c>
      <c r="C108">
        <v>7103.1</v>
      </c>
      <c r="D108">
        <v>45838.5</v>
      </c>
      <c r="E108">
        <v>610.9</v>
      </c>
      <c r="F108">
        <f t="shared" si="144"/>
        <v>4.58385</v>
      </c>
      <c r="G108">
        <f t="shared" si="145"/>
        <v>0.71031</v>
      </c>
      <c r="H108">
        <f t="shared" si="146"/>
        <v>3.8735400000000002</v>
      </c>
      <c r="I108">
        <f t="shared" si="148"/>
        <v>6.1089999999999998E-2</v>
      </c>
      <c r="K108" s="67"/>
      <c r="L108" s="3">
        <v>-96.3</v>
      </c>
      <c r="M108" s="5">
        <f t="shared" si="155"/>
        <v>1.9000000000000057</v>
      </c>
      <c r="N108" s="5">
        <f t="shared" si="149"/>
        <v>44.970060517830404</v>
      </c>
      <c r="O108" s="5">
        <f t="shared" si="150"/>
        <v>0.12766843478326573</v>
      </c>
      <c r="P108" s="4">
        <v>4</v>
      </c>
      <c r="Q108" s="5">
        <f t="shared" si="151"/>
        <v>3.8735400000000002</v>
      </c>
      <c r="R108" s="5">
        <f t="shared" si="151"/>
        <v>6.1089999999999998E-2</v>
      </c>
      <c r="S108" s="5">
        <f t="shared" si="152"/>
        <v>3.2276272050000001</v>
      </c>
      <c r="T108" s="5">
        <f t="shared" si="153"/>
        <v>0.19365763229999999</v>
      </c>
      <c r="U108" s="5">
        <f t="shared" si="154"/>
        <v>0.44214071301369867</v>
      </c>
      <c r="V108" s="5">
        <f t="shared" si="147"/>
        <v>0.12766843478326573</v>
      </c>
    </row>
    <row r="109" spans="2:22" x14ac:dyDescent="0.3">
      <c r="B109">
        <v>7</v>
      </c>
      <c r="C109">
        <v>7762.5</v>
      </c>
      <c r="D109">
        <v>34731.5</v>
      </c>
      <c r="E109">
        <v>637.9</v>
      </c>
      <c r="F109">
        <f t="shared" si="144"/>
        <v>3.47315</v>
      </c>
      <c r="G109">
        <f t="shared" si="145"/>
        <v>0.77625</v>
      </c>
      <c r="H109">
        <f t="shared" si="146"/>
        <v>2.6968999999999999</v>
      </c>
      <c r="I109">
        <f t="shared" si="148"/>
        <v>6.3789999999999999E-2</v>
      </c>
      <c r="K109" s="67"/>
      <c r="L109" s="3">
        <v>-95.8</v>
      </c>
      <c r="M109" s="5">
        <f t="shared" si="155"/>
        <v>2.4000000000000057</v>
      </c>
      <c r="N109" s="5">
        <f t="shared" si="149"/>
        <v>52.890724234957723</v>
      </c>
      <c r="O109" s="5">
        <f t="shared" si="150"/>
        <v>9.2293571066949256E-2</v>
      </c>
      <c r="P109" s="4">
        <v>4</v>
      </c>
      <c r="Q109" s="5">
        <f t="shared" si="151"/>
        <v>2.6968999999999999</v>
      </c>
      <c r="R109" s="5">
        <f t="shared" si="151"/>
        <v>6.3789999999999999E-2</v>
      </c>
      <c r="S109" s="5">
        <f t="shared" si="152"/>
        <v>2.2471919250000001</v>
      </c>
      <c r="T109" s="5">
        <f t="shared" si="153"/>
        <v>0.1348315155</v>
      </c>
      <c r="U109" s="5">
        <f t="shared" si="154"/>
        <v>0.30783451027397263</v>
      </c>
      <c r="V109" s="5">
        <f t="shared" si="147"/>
        <v>9.2293571066949256E-2</v>
      </c>
    </row>
    <row r="110" spans="2:22" x14ac:dyDescent="0.3">
      <c r="B110">
        <v>8</v>
      </c>
      <c r="C110">
        <v>2826.6</v>
      </c>
      <c r="D110">
        <v>29505.5</v>
      </c>
      <c r="E110">
        <v>1840.7</v>
      </c>
      <c r="F110">
        <f t="shared" si="144"/>
        <v>2.9505499999999998</v>
      </c>
      <c r="G110">
        <f t="shared" si="145"/>
        <v>0.28265999999999997</v>
      </c>
      <c r="H110">
        <f t="shared" si="146"/>
        <v>2.6678899999999999</v>
      </c>
      <c r="I110">
        <f t="shared" si="148"/>
        <v>0.18407000000000001</v>
      </c>
      <c r="K110" s="67"/>
      <c r="L110" s="3">
        <v>-95.5</v>
      </c>
      <c r="M110" s="5">
        <f t="shared" si="155"/>
        <v>2.7000000000000028</v>
      </c>
      <c r="N110" s="5">
        <f t="shared" si="149"/>
        <v>57.756125383651771</v>
      </c>
      <c r="O110" s="5">
        <f t="shared" si="150"/>
        <v>7.7398826646892183E-2</v>
      </c>
      <c r="P110" s="4">
        <v>5</v>
      </c>
      <c r="Q110" s="5">
        <f t="shared" si="151"/>
        <v>2.6678899999999999</v>
      </c>
      <c r="R110" s="5">
        <f t="shared" si="151"/>
        <v>0.18407000000000001</v>
      </c>
      <c r="S110" s="5">
        <f t="shared" si="152"/>
        <v>1.7784154740000002</v>
      </c>
      <c r="T110" s="5">
        <f t="shared" si="153"/>
        <v>0.10670492844000001</v>
      </c>
      <c r="U110" s="5">
        <f t="shared" si="154"/>
        <v>0.24361855808219182</v>
      </c>
      <c r="V110" s="5">
        <f t="shared" si="147"/>
        <v>7.7398826646892183E-2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44"/>
        <v>0</v>
      </c>
      <c r="G111">
        <f t="shared" si="145"/>
        <v>0</v>
      </c>
      <c r="H111">
        <f t="shared" si="146"/>
        <v>0</v>
      </c>
      <c r="I111">
        <f t="shared" si="148"/>
        <v>0</v>
      </c>
      <c r="K111" s="67"/>
      <c r="L111" s="5">
        <v>-95.1</v>
      </c>
      <c r="M111" s="5">
        <f t="shared" si="155"/>
        <v>3.1000000000000085</v>
      </c>
      <c r="N111" s="5">
        <f t="shared" si="149"/>
        <v>64.335352920706185</v>
      </c>
      <c r="O111" s="5">
        <f t="shared" si="150"/>
        <v>6.237795067385267E-2</v>
      </c>
      <c r="P111" s="4">
        <v>8</v>
      </c>
      <c r="Q111" s="5">
        <f t="shared" si="151"/>
        <v>0</v>
      </c>
      <c r="R111" s="5">
        <f t="shared" si="151"/>
        <v>0</v>
      </c>
      <c r="S111" s="5">
        <f t="shared" si="152"/>
        <v>0</v>
      </c>
      <c r="T111" s="5">
        <f t="shared" si="153"/>
        <v>0</v>
      </c>
      <c r="U111" s="5">
        <f t="shared" si="154"/>
        <v>0</v>
      </c>
      <c r="V111" s="5">
        <f t="shared" si="147"/>
        <v>6.237795067385267E-2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44"/>
        <v>0</v>
      </c>
      <c r="G112">
        <f t="shared" si="145"/>
        <v>0</v>
      </c>
      <c r="H112">
        <f t="shared" si="146"/>
        <v>0</v>
      </c>
      <c r="I112">
        <f t="shared" si="148"/>
        <v>0</v>
      </c>
      <c r="K112" s="67"/>
      <c r="L112" s="5">
        <v>-94.399999999999991</v>
      </c>
      <c r="M112" s="5">
        <f t="shared" si="155"/>
        <v>3.8000000000000114</v>
      </c>
      <c r="N112" s="5">
        <f t="shared" si="149"/>
        <v>76.025152245972833</v>
      </c>
      <c r="O112" s="5">
        <f t="shared" si="150"/>
        <v>4.4669992642433591E-2</v>
      </c>
      <c r="P112" s="4">
        <v>14</v>
      </c>
      <c r="Q112" s="5">
        <f t="shared" si="151"/>
        <v>0</v>
      </c>
      <c r="R112" s="5">
        <f t="shared" si="151"/>
        <v>0</v>
      </c>
      <c r="S112" s="5">
        <f t="shared" si="152"/>
        <v>0</v>
      </c>
      <c r="T112" s="5">
        <f t="shared" si="153"/>
        <v>0</v>
      </c>
      <c r="U112" s="5">
        <f t="shared" si="154"/>
        <v>0</v>
      </c>
      <c r="V112" s="5">
        <f t="shared" si="147"/>
        <v>4.4669992642433591E-2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44"/>
        <v>0</v>
      </c>
      <c r="G113">
        <f t="shared" si="145"/>
        <v>0</v>
      </c>
      <c r="H113">
        <f t="shared" si="146"/>
        <v>0</v>
      </c>
      <c r="I113">
        <f t="shared" si="148"/>
        <v>0</v>
      </c>
      <c r="K113" s="68"/>
      <c r="L113" s="6">
        <v>-93.3</v>
      </c>
      <c r="M113" s="6">
        <f t="shared" si="155"/>
        <v>4.9000000000000057</v>
      </c>
      <c r="N113" s="6">
        <f t="shared" si="149"/>
        <v>94.671337139281746</v>
      </c>
      <c r="O113" s="6">
        <f t="shared" si="150"/>
        <v>2.8806696412112791E-2</v>
      </c>
      <c r="P113" s="7">
        <v>21</v>
      </c>
      <c r="Q113" s="6">
        <f t="shared" si="151"/>
        <v>0</v>
      </c>
      <c r="R113" s="6">
        <f t="shared" si="151"/>
        <v>0</v>
      </c>
      <c r="S113" s="6">
        <f t="shared" si="152"/>
        <v>0</v>
      </c>
      <c r="T113" s="6">
        <f t="shared" si="153"/>
        <v>0</v>
      </c>
      <c r="U113" s="6">
        <f t="shared" si="154"/>
        <v>0</v>
      </c>
      <c r="V113" s="6">
        <f t="shared" si="147"/>
        <v>2.8806696412112791E-2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-166.5</v>
      </c>
      <c r="D117">
        <v>30748.3</v>
      </c>
      <c r="E117">
        <v>2443.1</v>
      </c>
      <c r="F117">
        <f t="shared" ref="F117:F127" si="156">D117/10000</f>
        <v>3.07483</v>
      </c>
      <c r="G117">
        <f t="shared" ref="G117:G127" si="157">C117/10000</f>
        <v>-1.6650000000000002E-2</v>
      </c>
      <c r="H117">
        <f t="shared" ref="H117:H127" si="158">F117-G117</f>
        <v>3.0914799999999998</v>
      </c>
      <c r="I117">
        <f>E117/10000</f>
        <v>0.24431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0.49552300635014157</v>
      </c>
      <c r="P117" s="2">
        <v>3</v>
      </c>
      <c r="Q117" s="8">
        <f>H117</f>
        <v>3.0914799999999998</v>
      </c>
      <c r="R117" s="8">
        <f>I117</f>
        <v>0.24431</v>
      </c>
      <c r="S117" s="8">
        <f>Q117/10^6*$Z$4*$Z$3/P117*10^12</f>
        <v>3.4346342799999996</v>
      </c>
      <c r="T117" s="8">
        <f>S117*0.06</f>
        <v>0.20607805679999996</v>
      </c>
      <c r="U117" s="8">
        <f>S117/$Z$1</f>
        <v>0.47049784657534244</v>
      </c>
      <c r="V117" s="12">
        <f t="shared" ref="V117:V127" si="159">O117</f>
        <v>0.49552300635014157</v>
      </c>
    </row>
    <row r="118" spans="2:22" x14ac:dyDescent="0.3">
      <c r="B118">
        <v>2</v>
      </c>
      <c r="C118">
        <v>4889.2</v>
      </c>
      <c r="D118">
        <v>31275.599999999999</v>
      </c>
      <c r="E118">
        <v>2349</v>
      </c>
      <c r="F118">
        <f t="shared" si="156"/>
        <v>3.1275599999999999</v>
      </c>
      <c r="G118">
        <f t="shared" si="157"/>
        <v>0.48891999999999997</v>
      </c>
      <c r="H118">
        <f t="shared" si="158"/>
        <v>2.6386400000000001</v>
      </c>
      <c r="I118">
        <f t="shared" ref="I118:I127" si="160">E118/10000</f>
        <v>0.2349</v>
      </c>
      <c r="K118" s="67"/>
      <c r="L118" s="3">
        <v>-98</v>
      </c>
      <c r="M118" s="5">
        <f>L118+98.2</f>
        <v>0.20000000000000284</v>
      </c>
      <c r="N118" s="5">
        <f t="shared" ref="N118:N127" si="161">20.56036*SQRT(1+((L118-(-98.58903))*1.03*1095.70644/(3.14159*20.56036^2))^2)</f>
        <v>22.992351577801337</v>
      </c>
      <c r="O118" s="5">
        <f t="shared" ref="O118:O127" si="162">2*$Z$1/$Z$2/PI()/(N118*10^-4)^2/$K$117/$Z$7</f>
        <v>0.43954789452463655</v>
      </c>
      <c r="P118" s="4">
        <v>3</v>
      </c>
      <c r="Q118" s="5">
        <f t="shared" ref="Q118:R127" si="163">H118</f>
        <v>2.6386400000000001</v>
      </c>
      <c r="R118" s="5">
        <f t="shared" si="163"/>
        <v>0.2349</v>
      </c>
      <c r="S118" s="5">
        <f t="shared" ref="S118:S127" si="164">Q118/10^6*$Z$4*$Z$3/P118*10^12</f>
        <v>2.9315290400000005</v>
      </c>
      <c r="T118" s="5">
        <f t="shared" ref="T118:T127" si="165">S118*0.06</f>
        <v>0.17589174240000002</v>
      </c>
      <c r="U118" s="5">
        <f t="shared" ref="U118:U127" si="166">S118/$Z$1</f>
        <v>0.40157932054794526</v>
      </c>
      <c r="V118" s="5">
        <f t="shared" si="159"/>
        <v>0.43954789452463655</v>
      </c>
    </row>
    <row r="119" spans="2:22" x14ac:dyDescent="0.3">
      <c r="B119">
        <v>3</v>
      </c>
      <c r="C119">
        <v>10020.799999999999</v>
      </c>
      <c r="D119">
        <v>39000.699999999997</v>
      </c>
      <c r="E119">
        <v>2017.3</v>
      </c>
      <c r="F119">
        <f t="shared" si="156"/>
        <v>3.9000699999999999</v>
      </c>
      <c r="G119">
        <f t="shared" si="157"/>
        <v>1.0020799999999999</v>
      </c>
      <c r="H119">
        <f t="shared" si="158"/>
        <v>2.8979900000000001</v>
      </c>
      <c r="I119">
        <f t="shared" si="160"/>
        <v>0.20172999999999999</v>
      </c>
      <c r="K119" s="67"/>
      <c r="L119" s="3">
        <v>-97.8</v>
      </c>
      <c r="M119" s="5">
        <f t="shared" ref="M119:M127" si="167">L119+98.2</f>
        <v>0.40000000000000568</v>
      </c>
      <c r="N119" s="5">
        <f t="shared" si="161"/>
        <v>24.754552179927092</v>
      </c>
      <c r="O119" s="5">
        <f t="shared" si="162"/>
        <v>0.3791952068536753</v>
      </c>
      <c r="P119" s="4">
        <v>3</v>
      </c>
      <c r="Q119" s="5">
        <f t="shared" si="163"/>
        <v>2.8979900000000001</v>
      </c>
      <c r="R119" s="5">
        <f t="shared" si="163"/>
        <v>0.20172999999999999</v>
      </c>
      <c r="S119" s="5">
        <f t="shared" si="164"/>
        <v>3.2196668900000005</v>
      </c>
      <c r="T119" s="5">
        <f t="shared" si="165"/>
        <v>0.19318001340000002</v>
      </c>
      <c r="U119" s="5">
        <f t="shared" si="166"/>
        <v>0.44105025890410965</v>
      </c>
      <c r="V119" s="5">
        <f t="shared" si="159"/>
        <v>0.3791952068536753</v>
      </c>
    </row>
    <row r="120" spans="2:22" x14ac:dyDescent="0.3">
      <c r="B120">
        <v>4</v>
      </c>
      <c r="C120">
        <v>14232.9</v>
      </c>
      <c r="D120">
        <v>43045.2</v>
      </c>
      <c r="E120">
        <v>2356.6999999999998</v>
      </c>
      <c r="F120">
        <f t="shared" si="156"/>
        <v>4.3045200000000001</v>
      </c>
      <c r="G120">
        <f t="shared" si="157"/>
        <v>1.4232899999999999</v>
      </c>
      <c r="H120">
        <f t="shared" si="158"/>
        <v>2.8812300000000004</v>
      </c>
      <c r="I120">
        <f t="shared" si="160"/>
        <v>0.23566999999999999</v>
      </c>
      <c r="K120" s="67"/>
      <c r="L120" s="3">
        <v>-97.2</v>
      </c>
      <c r="M120" s="5">
        <f t="shared" si="167"/>
        <v>1</v>
      </c>
      <c r="N120" s="5">
        <f t="shared" si="161"/>
        <v>31.807899949628325</v>
      </c>
      <c r="O120" s="5">
        <f t="shared" si="162"/>
        <v>0.22966932504725693</v>
      </c>
      <c r="P120" s="4">
        <v>3</v>
      </c>
      <c r="Q120" s="5">
        <f t="shared" si="163"/>
        <v>2.8812300000000004</v>
      </c>
      <c r="R120" s="5">
        <f t="shared" si="163"/>
        <v>0.23566999999999999</v>
      </c>
      <c r="S120" s="5">
        <f t="shared" si="164"/>
        <v>3.2010465300000011</v>
      </c>
      <c r="T120" s="5">
        <f t="shared" si="165"/>
        <v>0.19206279180000005</v>
      </c>
      <c r="U120" s="5">
        <f t="shared" si="166"/>
        <v>0.43849952465753439</v>
      </c>
      <c r="V120" s="5">
        <f t="shared" si="159"/>
        <v>0.22966932504725693</v>
      </c>
    </row>
    <row r="121" spans="2:22" x14ac:dyDescent="0.3">
      <c r="B121">
        <v>5</v>
      </c>
      <c r="C121">
        <v>16600.2</v>
      </c>
      <c r="D121">
        <v>43479.199999999997</v>
      </c>
      <c r="E121">
        <v>1346.5</v>
      </c>
      <c r="F121">
        <f t="shared" si="156"/>
        <v>4.3479199999999993</v>
      </c>
      <c r="G121">
        <f t="shared" si="157"/>
        <v>1.6600200000000001</v>
      </c>
      <c r="H121">
        <f t="shared" si="158"/>
        <v>2.6878999999999991</v>
      </c>
      <c r="I121">
        <f t="shared" si="160"/>
        <v>0.13464999999999999</v>
      </c>
      <c r="K121" s="67"/>
      <c r="L121" s="3">
        <v>-96.8</v>
      </c>
      <c r="M121" s="5">
        <f t="shared" si="167"/>
        <v>1.4000000000000057</v>
      </c>
      <c r="N121" s="5">
        <f t="shared" si="161"/>
        <v>37.414240753916886</v>
      </c>
      <c r="O121" s="5">
        <f t="shared" si="162"/>
        <v>0.16599657004103827</v>
      </c>
      <c r="P121" s="4">
        <v>3</v>
      </c>
      <c r="Q121" s="5">
        <f t="shared" si="163"/>
        <v>2.6878999999999991</v>
      </c>
      <c r="R121" s="5">
        <f t="shared" si="163"/>
        <v>0.13464999999999999</v>
      </c>
      <c r="S121" s="5">
        <f t="shared" si="164"/>
        <v>2.986256899999999</v>
      </c>
      <c r="T121" s="5">
        <f t="shared" si="165"/>
        <v>0.17917541399999992</v>
      </c>
      <c r="U121" s="5">
        <f t="shared" si="166"/>
        <v>0.40907628767123277</v>
      </c>
      <c r="V121" s="5">
        <f t="shared" si="159"/>
        <v>0.16599657004103827</v>
      </c>
    </row>
    <row r="122" spans="2:22" x14ac:dyDescent="0.3">
      <c r="B122">
        <v>6</v>
      </c>
      <c r="C122">
        <v>16589.5</v>
      </c>
      <c r="D122">
        <v>50859.5</v>
      </c>
      <c r="E122">
        <v>836.3</v>
      </c>
      <c r="F122">
        <f t="shared" si="156"/>
        <v>5.0859500000000004</v>
      </c>
      <c r="G122">
        <f t="shared" si="157"/>
        <v>1.6589499999999999</v>
      </c>
      <c r="H122">
        <f t="shared" si="158"/>
        <v>3.4270000000000005</v>
      </c>
      <c r="I122">
        <f t="shared" si="160"/>
        <v>8.3629999999999996E-2</v>
      </c>
      <c r="K122" s="67"/>
      <c r="L122" s="3">
        <v>-96.3</v>
      </c>
      <c r="M122" s="5">
        <f t="shared" si="167"/>
        <v>1.9000000000000057</v>
      </c>
      <c r="N122" s="5">
        <f t="shared" si="161"/>
        <v>44.970060517830404</v>
      </c>
      <c r="O122" s="5">
        <f t="shared" si="162"/>
        <v>0.11490159130493915</v>
      </c>
      <c r="P122" s="4">
        <v>4</v>
      </c>
      <c r="Q122" s="5">
        <f t="shared" si="163"/>
        <v>3.4270000000000005</v>
      </c>
      <c r="R122" s="5">
        <f t="shared" si="163"/>
        <v>8.3629999999999996E-2</v>
      </c>
      <c r="S122" s="5">
        <f t="shared" si="164"/>
        <v>2.8555477500000004</v>
      </c>
      <c r="T122" s="5">
        <f t="shared" si="165"/>
        <v>0.17133286500000003</v>
      </c>
      <c r="U122" s="5">
        <f t="shared" si="166"/>
        <v>0.39117092465753434</v>
      </c>
      <c r="V122" s="5">
        <f t="shared" si="159"/>
        <v>0.11490159130493915</v>
      </c>
    </row>
    <row r="123" spans="2:22" x14ac:dyDescent="0.3">
      <c r="B123">
        <v>7</v>
      </c>
      <c r="C123">
        <v>16543.900000000001</v>
      </c>
      <c r="D123">
        <v>47856.1</v>
      </c>
      <c r="E123">
        <v>625.79999999999995</v>
      </c>
      <c r="F123">
        <f t="shared" si="156"/>
        <v>4.7856100000000001</v>
      </c>
      <c r="G123">
        <f t="shared" si="157"/>
        <v>1.6543900000000002</v>
      </c>
      <c r="H123">
        <f t="shared" si="158"/>
        <v>3.1312199999999999</v>
      </c>
      <c r="I123">
        <f t="shared" si="160"/>
        <v>6.2579999999999997E-2</v>
      </c>
      <c r="K123" s="67"/>
      <c r="L123" s="3">
        <v>-95.8</v>
      </c>
      <c r="M123" s="5">
        <f t="shared" si="167"/>
        <v>2.4000000000000057</v>
      </c>
      <c r="N123" s="5">
        <f t="shared" si="161"/>
        <v>52.890724234957723</v>
      </c>
      <c r="O123" s="5">
        <f t="shared" si="162"/>
        <v>8.3064213960254332E-2</v>
      </c>
      <c r="P123" s="4">
        <v>4</v>
      </c>
      <c r="Q123" s="5">
        <f t="shared" si="163"/>
        <v>3.1312199999999999</v>
      </c>
      <c r="R123" s="5">
        <f t="shared" si="163"/>
        <v>6.2579999999999997E-2</v>
      </c>
      <c r="S123" s="5">
        <f t="shared" si="164"/>
        <v>2.6090890650000005</v>
      </c>
      <c r="T123" s="5">
        <f t="shared" si="165"/>
        <v>0.15654534390000002</v>
      </c>
      <c r="U123" s="5">
        <f t="shared" si="166"/>
        <v>0.35740946095890419</v>
      </c>
      <c r="V123" s="5">
        <f t="shared" si="159"/>
        <v>8.3064213960254332E-2</v>
      </c>
    </row>
    <row r="124" spans="2:22" x14ac:dyDescent="0.3">
      <c r="B124">
        <v>8</v>
      </c>
      <c r="C124">
        <v>13644.8</v>
      </c>
      <c r="D124">
        <v>29117.200000000001</v>
      </c>
      <c r="E124">
        <v>2998.2</v>
      </c>
      <c r="F124">
        <f t="shared" si="156"/>
        <v>2.9117199999999999</v>
      </c>
      <c r="G124">
        <f t="shared" si="157"/>
        <v>1.3644799999999999</v>
      </c>
      <c r="H124">
        <f t="shared" si="158"/>
        <v>1.5472399999999999</v>
      </c>
      <c r="I124">
        <f t="shared" si="160"/>
        <v>0.29981999999999998</v>
      </c>
      <c r="K124" s="67"/>
      <c r="L124" s="3">
        <v>-95.5</v>
      </c>
      <c r="M124" s="5">
        <f t="shared" si="167"/>
        <v>2.7000000000000028</v>
      </c>
      <c r="N124" s="5">
        <f t="shared" si="161"/>
        <v>57.756125383651771</v>
      </c>
      <c r="O124" s="5">
        <f t="shared" si="162"/>
        <v>6.9658943982202973E-2</v>
      </c>
      <c r="P124" s="4">
        <v>5</v>
      </c>
      <c r="Q124" s="5">
        <f t="shared" si="163"/>
        <v>1.5472399999999999</v>
      </c>
      <c r="R124" s="5">
        <f t="shared" si="163"/>
        <v>0.29981999999999998</v>
      </c>
      <c r="S124" s="5">
        <f t="shared" si="164"/>
        <v>1.0313901839999999</v>
      </c>
      <c r="T124" s="5">
        <f t="shared" si="165"/>
        <v>6.1883411039999996E-2</v>
      </c>
      <c r="U124" s="5">
        <f t="shared" si="166"/>
        <v>0.14128632657534246</v>
      </c>
      <c r="V124" s="5">
        <f t="shared" si="159"/>
        <v>6.9658943982202973E-2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56"/>
        <v>0</v>
      </c>
      <c r="G125">
        <f t="shared" si="157"/>
        <v>0</v>
      </c>
      <c r="H125">
        <f t="shared" si="158"/>
        <v>0</v>
      </c>
      <c r="I125">
        <f t="shared" si="160"/>
        <v>0</v>
      </c>
      <c r="K125" s="67"/>
      <c r="L125" s="5">
        <v>-95.1</v>
      </c>
      <c r="M125" s="5">
        <f t="shared" si="167"/>
        <v>3.1000000000000085</v>
      </c>
      <c r="N125" s="5">
        <f t="shared" si="161"/>
        <v>64.335352920706185</v>
      </c>
      <c r="O125" s="5">
        <f t="shared" si="162"/>
        <v>5.6140155606467401E-2</v>
      </c>
      <c r="P125" s="4">
        <v>8</v>
      </c>
      <c r="Q125" s="5">
        <f t="shared" si="163"/>
        <v>0</v>
      </c>
      <c r="R125" s="5">
        <f t="shared" si="163"/>
        <v>0</v>
      </c>
      <c r="S125" s="5">
        <f t="shared" si="164"/>
        <v>0</v>
      </c>
      <c r="T125" s="5">
        <f t="shared" si="165"/>
        <v>0</v>
      </c>
      <c r="U125" s="5">
        <f t="shared" si="166"/>
        <v>0</v>
      </c>
      <c r="V125" s="5">
        <f t="shared" si="159"/>
        <v>5.6140155606467401E-2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56"/>
        <v>0</v>
      </c>
      <c r="G126">
        <f t="shared" si="157"/>
        <v>0</v>
      </c>
      <c r="H126">
        <f t="shared" si="158"/>
        <v>0</v>
      </c>
      <c r="I126">
        <f t="shared" si="160"/>
        <v>0</v>
      </c>
      <c r="K126" s="67"/>
      <c r="L126" s="5">
        <v>-94.399999999999991</v>
      </c>
      <c r="M126" s="5">
        <f t="shared" si="167"/>
        <v>3.8000000000000114</v>
      </c>
      <c r="N126" s="5">
        <f t="shared" si="161"/>
        <v>76.025152245972833</v>
      </c>
      <c r="O126" s="5">
        <f t="shared" si="162"/>
        <v>4.0202993378190235E-2</v>
      </c>
      <c r="P126" s="4">
        <v>14</v>
      </c>
      <c r="Q126" s="5">
        <f t="shared" si="163"/>
        <v>0</v>
      </c>
      <c r="R126" s="5">
        <f t="shared" si="163"/>
        <v>0</v>
      </c>
      <c r="S126" s="5">
        <f t="shared" si="164"/>
        <v>0</v>
      </c>
      <c r="T126" s="5">
        <f t="shared" si="165"/>
        <v>0</v>
      </c>
      <c r="U126" s="5">
        <f t="shared" si="166"/>
        <v>0</v>
      </c>
      <c r="V126" s="5">
        <f t="shared" si="159"/>
        <v>4.0202993378190235E-2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56"/>
        <v>0</v>
      </c>
      <c r="G127">
        <f t="shared" si="157"/>
        <v>0</v>
      </c>
      <c r="H127">
        <f t="shared" si="158"/>
        <v>0</v>
      </c>
      <c r="I127">
        <f t="shared" si="160"/>
        <v>0</v>
      </c>
      <c r="K127" s="68"/>
      <c r="L127" s="6">
        <v>-93.3</v>
      </c>
      <c r="M127" s="6">
        <f t="shared" si="167"/>
        <v>4.9000000000000057</v>
      </c>
      <c r="N127" s="6">
        <f t="shared" si="161"/>
        <v>94.671337139281746</v>
      </c>
      <c r="O127" s="6">
        <f t="shared" si="162"/>
        <v>2.5926026770901511E-2</v>
      </c>
      <c r="P127" s="7">
        <v>21</v>
      </c>
      <c r="Q127" s="6">
        <f t="shared" si="163"/>
        <v>0</v>
      </c>
      <c r="R127" s="6">
        <f t="shared" si="163"/>
        <v>0</v>
      </c>
      <c r="S127" s="6">
        <f t="shared" si="164"/>
        <v>0</v>
      </c>
      <c r="T127" s="6">
        <f t="shared" si="165"/>
        <v>0</v>
      </c>
      <c r="U127" s="6">
        <f t="shared" si="166"/>
        <v>0</v>
      </c>
      <c r="V127" s="6">
        <f t="shared" si="159"/>
        <v>2.5926026770901511E-2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743.9</v>
      </c>
      <c r="D131">
        <v>35365</v>
      </c>
      <c r="E131">
        <v>2995.5</v>
      </c>
      <c r="F131">
        <f t="shared" ref="F131:F141" si="168">D131/10000</f>
        <v>3.5365000000000002</v>
      </c>
      <c r="G131">
        <f t="shared" ref="G131:G141" si="169">C131/10000</f>
        <v>7.4389999999999998E-2</v>
      </c>
      <c r="H131">
        <f t="shared" ref="H131:H141" si="170">F131-G131</f>
        <v>3.46211</v>
      </c>
      <c r="I131">
        <f>E131/10000</f>
        <v>0.29954999999999998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0.3303486709000944</v>
      </c>
      <c r="P131" s="2">
        <v>3</v>
      </c>
      <c r="Q131" s="8">
        <f>H131</f>
        <v>3.46211</v>
      </c>
      <c r="R131" s="8">
        <f>I131</f>
        <v>0.29954999999999998</v>
      </c>
      <c r="S131" s="8">
        <f>Q131/10^6*$Z$4*$Z$3/P131*10^12</f>
        <v>3.8464042100000007</v>
      </c>
      <c r="T131" s="8">
        <f>S131*0.06</f>
        <v>0.23078425260000002</v>
      </c>
      <c r="U131" s="8">
        <f>S131/$Z$1</f>
        <v>0.52690468630137</v>
      </c>
      <c r="V131" s="12">
        <f t="shared" ref="V131:V141" si="171">O131</f>
        <v>0.3303486709000944</v>
      </c>
    </row>
    <row r="132" spans="2:22" x14ac:dyDescent="0.3">
      <c r="B132">
        <v>2</v>
      </c>
      <c r="C132">
        <v>8873.6</v>
      </c>
      <c r="D132">
        <v>38831.800000000003</v>
      </c>
      <c r="E132">
        <v>2552.6</v>
      </c>
      <c r="F132">
        <f t="shared" si="168"/>
        <v>3.8831800000000003</v>
      </c>
      <c r="G132">
        <f t="shared" si="169"/>
        <v>0.88736000000000004</v>
      </c>
      <c r="H132">
        <f t="shared" si="170"/>
        <v>2.9958200000000001</v>
      </c>
      <c r="I132">
        <f t="shared" ref="I132:I141" si="172">E132/10000</f>
        <v>0.25525999999999999</v>
      </c>
      <c r="K132" s="67"/>
      <c r="L132" s="3">
        <v>-98</v>
      </c>
      <c r="M132" s="5">
        <f>L132+98.2</f>
        <v>0.20000000000000284</v>
      </c>
      <c r="N132" s="5">
        <f t="shared" ref="N132:N141" si="173">20.56036*SQRT(1+((L132-(-98.58903))*1.03*1095.70644/(3.14159*20.56036^2))^2)</f>
        <v>22.992351577801337</v>
      </c>
      <c r="O132" s="5">
        <f t="shared" ref="O132:O141" si="174">2*$Z$1/$Z$2/PI()/(N132*10^-4)^2/$K$131/$Z$7</f>
        <v>0.29303192968309105</v>
      </c>
      <c r="P132" s="4">
        <v>3</v>
      </c>
      <c r="Q132" s="5">
        <f t="shared" ref="Q132:R141" si="175">H132</f>
        <v>2.9958200000000001</v>
      </c>
      <c r="R132" s="5">
        <f t="shared" si="175"/>
        <v>0.25525999999999999</v>
      </c>
      <c r="S132" s="5">
        <f t="shared" ref="S132:S141" si="176">Q132/10^6*$Z$4*$Z$3/P132*10^12</f>
        <v>3.3283560200000006</v>
      </c>
      <c r="T132" s="5">
        <f t="shared" ref="T132:T141" si="177">S132*0.06</f>
        <v>0.19970136120000004</v>
      </c>
      <c r="U132" s="5">
        <f t="shared" ref="U132:U141" si="178">S132/$Z$1</f>
        <v>0.45593918082191792</v>
      </c>
      <c r="V132" s="5">
        <f t="shared" si="171"/>
        <v>0.29303192968309105</v>
      </c>
    </row>
    <row r="133" spans="2:22" x14ac:dyDescent="0.3">
      <c r="B133">
        <v>3</v>
      </c>
      <c r="C133">
        <v>6103.1</v>
      </c>
      <c r="D133">
        <v>40197.599999999999</v>
      </c>
      <c r="E133">
        <v>3226.2</v>
      </c>
      <c r="F133">
        <f t="shared" si="168"/>
        <v>4.0197599999999998</v>
      </c>
      <c r="G133">
        <f t="shared" si="169"/>
        <v>0.61031000000000002</v>
      </c>
      <c r="H133">
        <f t="shared" si="170"/>
        <v>3.4094499999999996</v>
      </c>
      <c r="I133">
        <f t="shared" si="172"/>
        <v>0.32261999999999996</v>
      </c>
      <c r="K133" s="67"/>
      <c r="L133" s="3">
        <v>-97.8</v>
      </c>
      <c r="M133" s="5">
        <f t="shared" ref="M133:M141" si="179">L133+98.2</f>
        <v>0.40000000000000568</v>
      </c>
      <c r="N133" s="5">
        <f t="shared" si="173"/>
        <v>24.754552179927092</v>
      </c>
      <c r="O133" s="5">
        <f t="shared" si="174"/>
        <v>0.25279680456911685</v>
      </c>
      <c r="P133" s="4">
        <v>3</v>
      </c>
      <c r="Q133" s="5">
        <f t="shared" si="175"/>
        <v>3.4094499999999996</v>
      </c>
      <c r="R133" s="5">
        <f t="shared" si="175"/>
        <v>0.32261999999999996</v>
      </c>
      <c r="S133" s="5">
        <f t="shared" si="176"/>
        <v>3.7878989500000002</v>
      </c>
      <c r="T133" s="5">
        <f t="shared" si="177"/>
        <v>0.22727393700000001</v>
      </c>
      <c r="U133" s="5">
        <f t="shared" si="178"/>
        <v>0.51889026712328767</v>
      </c>
      <c r="V133" s="5">
        <f t="shared" si="171"/>
        <v>0.25279680456911685</v>
      </c>
    </row>
    <row r="134" spans="2:22" x14ac:dyDescent="0.3">
      <c r="B134">
        <v>4</v>
      </c>
      <c r="C134">
        <v>12466.1</v>
      </c>
      <c r="D134">
        <v>44368.800000000003</v>
      </c>
      <c r="E134">
        <v>1801.6</v>
      </c>
      <c r="F134">
        <f t="shared" si="168"/>
        <v>4.4368800000000004</v>
      </c>
      <c r="G134">
        <f t="shared" si="169"/>
        <v>1.24661</v>
      </c>
      <c r="H134">
        <f t="shared" si="170"/>
        <v>3.1902700000000004</v>
      </c>
      <c r="I134">
        <f t="shared" si="172"/>
        <v>0.18015999999999999</v>
      </c>
      <c r="K134" s="67"/>
      <c r="L134" s="3">
        <v>-97.2</v>
      </c>
      <c r="M134" s="5">
        <f t="shared" si="179"/>
        <v>1</v>
      </c>
      <c r="N134" s="5">
        <f t="shared" si="173"/>
        <v>31.807899949628325</v>
      </c>
      <c r="O134" s="5">
        <f t="shared" si="174"/>
        <v>0.15311288336483794</v>
      </c>
      <c r="P134" s="4">
        <v>3</v>
      </c>
      <c r="Q134" s="5">
        <f t="shared" si="175"/>
        <v>3.1902700000000004</v>
      </c>
      <c r="R134" s="5">
        <f t="shared" si="175"/>
        <v>0.18015999999999999</v>
      </c>
      <c r="S134" s="5">
        <f t="shared" si="176"/>
        <v>3.5443899700000001</v>
      </c>
      <c r="T134" s="5">
        <f t="shared" si="177"/>
        <v>0.21266339819999999</v>
      </c>
      <c r="U134" s="5">
        <f t="shared" si="178"/>
        <v>0.48553287260273975</v>
      </c>
      <c r="V134" s="5">
        <f t="shared" si="171"/>
        <v>0.15311288336483794</v>
      </c>
    </row>
    <row r="135" spans="2:22" x14ac:dyDescent="0.3">
      <c r="B135">
        <v>5</v>
      </c>
      <c r="C135">
        <v>12884.3</v>
      </c>
      <c r="D135">
        <v>43364.800000000003</v>
      </c>
      <c r="E135">
        <v>1310.2</v>
      </c>
      <c r="F135">
        <f t="shared" si="168"/>
        <v>4.3364799999999999</v>
      </c>
      <c r="G135">
        <f t="shared" si="169"/>
        <v>1.28843</v>
      </c>
      <c r="H135">
        <f t="shared" si="170"/>
        <v>3.0480499999999999</v>
      </c>
      <c r="I135">
        <f t="shared" si="172"/>
        <v>0.13102</v>
      </c>
      <c r="K135" s="67"/>
      <c r="L135" s="3">
        <v>-96.8</v>
      </c>
      <c r="M135" s="5">
        <f t="shared" si="179"/>
        <v>1.4000000000000057</v>
      </c>
      <c r="N135" s="5">
        <f t="shared" si="173"/>
        <v>37.414240753916886</v>
      </c>
      <c r="O135" s="5">
        <f t="shared" si="174"/>
        <v>0.11066438002735884</v>
      </c>
      <c r="P135" s="4">
        <v>3</v>
      </c>
      <c r="Q135" s="5">
        <f t="shared" si="175"/>
        <v>3.0480499999999999</v>
      </c>
      <c r="R135" s="5">
        <f t="shared" si="175"/>
        <v>0.13102</v>
      </c>
      <c r="S135" s="5">
        <f t="shared" si="176"/>
        <v>3.3863835500000006</v>
      </c>
      <c r="T135" s="5">
        <f t="shared" si="177"/>
        <v>0.20318301300000002</v>
      </c>
      <c r="U135" s="5">
        <f t="shared" si="178"/>
        <v>0.46388815753424667</v>
      </c>
      <c r="V135" s="5">
        <f t="shared" si="171"/>
        <v>0.11066438002735884</v>
      </c>
    </row>
    <row r="136" spans="2:22" x14ac:dyDescent="0.3">
      <c r="B136">
        <v>6</v>
      </c>
      <c r="C136">
        <v>11612.3</v>
      </c>
      <c r="D136">
        <v>48330.8</v>
      </c>
      <c r="E136">
        <v>820</v>
      </c>
      <c r="F136">
        <f t="shared" si="168"/>
        <v>4.8330800000000007</v>
      </c>
      <c r="G136">
        <f t="shared" si="169"/>
        <v>1.16123</v>
      </c>
      <c r="H136">
        <f t="shared" si="170"/>
        <v>3.6718500000000009</v>
      </c>
      <c r="I136">
        <f t="shared" si="172"/>
        <v>8.2000000000000003E-2</v>
      </c>
      <c r="K136" s="67"/>
      <c r="L136" s="3">
        <v>-96.3</v>
      </c>
      <c r="M136" s="5">
        <f t="shared" si="179"/>
        <v>1.9000000000000057</v>
      </c>
      <c r="N136" s="5">
        <f t="shared" si="173"/>
        <v>44.970060517830404</v>
      </c>
      <c r="O136" s="5">
        <f t="shared" si="174"/>
        <v>7.6601060869959436E-2</v>
      </c>
      <c r="P136" s="4">
        <v>4</v>
      </c>
      <c r="Q136" s="5">
        <f t="shared" si="175"/>
        <v>3.6718500000000009</v>
      </c>
      <c r="R136" s="5">
        <f t="shared" si="175"/>
        <v>8.2000000000000003E-2</v>
      </c>
      <c r="S136" s="5">
        <f t="shared" si="176"/>
        <v>3.0595690125000012</v>
      </c>
      <c r="T136" s="5">
        <f t="shared" si="177"/>
        <v>0.18357414075000006</v>
      </c>
      <c r="U136" s="5">
        <f t="shared" si="178"/>
        <v>0.41911904280821938</v>
      </c>
      <c r="V136" s="5">
        <f t="shared" si="171"/>
        <v>7.6601060869959436E-2</v>
      </c>
    </row>
    <row r="137" spans="2:22" x14ac:dyDescent="0.3">
      <c r="B137">
        <v>7</v>
      </c>
      <c r="C137">
        <v>14004.1</v>
      </c>
      <c r="D137">
        <v>36542.800000000003</v>
      </c>
      <c r="E137">
        <v>311.89999999999998</v>
      </c>
      <c r="F137">
        <f t="shared" si="168"/>
        <v>3.6542800000000004</v>
      </c>
      <c r="G137">
        <f t="shared" si="169"/>
        <v>1.4004099999999999</v>
      </c>
      <c r="H137">
        <f t="shared" si="170"/>
        <v>2.2538700000000005</v>
      </c>
      <c r="I137">
        <f t="shared" si="172"/>
        <v>3.1189999999999999E-2</v>
      </c>
      <c r="K137" s="67"/>
      <c r="L137" s="3">
        <v>-95.8</v>
      </c>
      <c r="M137" s="5">
        <f t="shared" si="179"/>
        <v>2.4000000000000057</v>
      </c>
      <c r="N137" s="5">
        <f t="shared" si="173"/>
        <v>52.890724234957723</v>
      </c>
      <c r="O137" s="5">
        <f t="shared" si="174"/>
        <v>5.5376142640169553E-2</v>
      </c>
      <c r="P137" s="4">
        <v>4</v>
      </c>
      <c r="Q137" s="5">
        <f t="shared" si="175"/>
        <v>2.2538700000000005</v>
      </c>
      <c r="R137" s="5">
        <f t="shared" si="175"/>
        <v>3.1189999999999999E-2</v>
      </c>
      <c r="S137" s="5">
        <f t="shared" si="176"/>
        <v>1.8780371775000002</v>
      </c>
      <c r="T137" s="5">
        <f t="shared" si="177"/>
        <v>0.11268223065000001</v>
      </c>
      <c r="U137" s="5">
        <f t="shared" si="178"/>
        <v>0.25726536678082196</v>
      </c>
      <c r="V137" s="5">
        <f t="shared" si="171"/>
        <v>5.5376142640169553E-2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68"/>
        <v>0</v>
      </c>
      <c r="G138">
        <f t="shared" si="169"/>
        <v>0</v>
      </c>
      <c r="H138">
        <f t="shared" si="170"/>
        <v>0</v>
      </c>
      <c r="I138">
        <f t="shared" si="172"/>
        <v>0</v>
      </c>
      <c r="K138" s="67"/>
      <c r="L138" s="3">
        <v>-95.5</v>
      </c>
      <c r="M138" s="5">
        <f t="shared" si="179"/>
        <v>2.7000000000000028</v>
      </c>
      <c r="N138" s="5">
        <f t="shared" si="173"/>
        <v>57.756125383651771</v>
      </c>
      <c r="O138" s="5">
        <f t="shared" si="174"/>
        <v>4.6439295988135315E-2</v>
      </c>
      <c r="P138" s="4">
        <v>5</v>
      </c>
      <c r="Q138" s="5">
        <f t="shared" si="175"/>
        <v>0</v>
      </c>
      <c r="R138" s="5">
        <f t="shared" si="175"/>
        <v>0</v>
      </c>
      <c r="S138" s="5">
        <f t="shared" si="176"/>
        <v>0</v>
      </c>
      <c r="T138" s="5">
        <f t="shared" si="177"/>
        <v>0</v>
      </c>
      <c r="U138" s="5">
        <f t="shared" si="178"/>
        <v>0</v>
      </c>
      <c r="V138" s="5">
        <f t="shared" si="171"/>
        <v>4.6439295988135315E-2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68"/>
        <v>0</v>
      </c>
      <c r="G139">
        <f t="shared" si="169"/>
        <v>0</v>
      </c>
      <c r="H139">
        <f t="shared" si="170"/>
        <v>0</v>
      </c>
      <c r="I139">
        <f t="shared" si="172"/>
        <v>0</v>
      </c>
      <c r="K139" s="67"/>
      <c r="L139" s="5">
        <v>-95.1</v>
      </c>
      <c r="M139" s="5">
        <f t="shared" si="179"/>
        <v>3.1000000000000085</v>
      </c>
      <c r="N139" s="5">
        <f t="shared" si="173"/>
        <v>64.335352920706185</v>
      </c>
      <c r="O139" s="5">
        <f t="shared" si="174"/>
        <v>3.7426770404311603E-2</v>
      </c>
      <c r="P139" s="4">
        <v>8</v>
      </c>
      <c r="Q139" s="5">
        <f t="shared" si="175"/>
        <v>0</v>
      </c>
      <c r="R139" s="5">
        <f t="shared" si="175"/>
        <v>0</v>
      </c>
      <c r="S139" s="5">
        <f t="shared" si="176"/>
        <v>0</v>
      </c>
      <c r="T139" s="5">
        <f t="shared" si="177"/>
        <v>0</v>
      </c>
      <c r="U139" s="5">
        <f t="shared" si="178"/>
        <v>0</v>
      </c>
      <c r="V139" s="5">
        <f t="shared" si="171"/>
        <v>3.7426770404311603E-2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68"/>
        <v>0</v>
      </c>
      <c r="G140">
        <f t="shared" si="169"/>
        <v>0</v>
      </c>
      <c r="H140">
        <f t="shared" si="170"/>
        <v>0</v>
      </c>
      <c r="I140">
        <f t="shared" si="172"/>
        <v>0</v>
      </c>
      <c r="K140" s="67"/>
      <c r="L140" s="5">
        <v>-94.399999999999991</v>
      </c>
      <c r="M140" s="5">
        <f t="shared" si="179"/>
        <v>3.8000000000000114</v>
      </c>
      <c r="N140" s="5">
        <f t="shared" si="173"/>
        <v>76.025152245972833</v>
      </c>
      <c r="O140" s="5">
        <f t="shared" si="174"/>
        <v>2.6801995585460155E-2</v>
      </c>
      <c r="P140" s="4">
        <v>14</v>
      </c>
      <c r="Q140" s="5">
        <f t="shared" si="175"/>
        <v>0</v>
      </c>
      <c r="R140" s="5">
        <f t="shared" si="175"/>
        <v>0</v>
      </c>
      <c r="S140" s="5">
        <f t="shared" si="176"/>
        <v>0</v>
      </c>
      <c r="T140" s="5">
        <f t="shared" si="177"/>
        <v>0</v>
      </c>
      <c r="U140" s="5">
        <f t="shared" si="178"/>
        <v>0</v>
      </c>
      <c r="V140" s="5">
        <f t="shared" si="171"/>
        <v>2.6801995585460155E-2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68"/>
        <v>0</v>
      </c>
      <c r="G141">
        <f t="shared" si="169"/>
        <v>0</v>
      </c>
      <c r="H141">
        <f t="shared" si="170"/>
        <v>0</v>
      </c>
      <c r="I141">
        <f t="shared" si="172"/>
        <v>0</v>
      </c>
      <c r="K141" s="68"/>
      <c r="L141" s="6">
        <v>-93.3</v>
      </c>
      <c r="M141" s="6">
        <f t="shared" si="179"/>
        <v>4.9000000000000057</v>
      </c>
      <c r="N141" s="6">
        <f t="shared" si="173"/>
        <v>94.671337139281746</v>
      </c>
      <c r="O141" s="6">
        <f t="shared" si="174"/>
        <v>1.7284017847267675E-2</v>
      </c>
      <c r="P141" s="7">
        <v>21</v>
      </c>
      <c r="Q141" s="6">
        <f t="shared" si="175"/>
        <v>0</v>
      </c>
      <c r="R141" s="6">
        <f t="shared" si="175"/>
        <v>0</v>
      </c>
      <c r="S141" s="6">
        <f t="shared" si="176"/>
        <v>0</v>
      </c>
      <c r="T141" s="6">
        <f t="shared" si="177"/>
        <v>0</v>
      </c>
      <c r="U141" s="6">
        <f t="shared" si="178"/>
        <v>0</v>
      </c>
      <c r="V141" s="6">
        <f t="shared" si="171"/>
        <v>1.7284017847267675E-2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1672.4</v>
      </c>
      <c r="D145">
        <v>39869.599999999999</v>
      </c>
      <c r="E145">
        <v>3649.3</v>
      </c>
      <c r="F145">
        <f t="shared" ref="F145:F155" si="180">D145/10000</f>
        <v>3.9869599999999998</v>
      </c>
      <c r="G145">
        <f t="shared" ref="G145:G155" si="181">C145/10000</f>
        <v>0.16724</v>
      </c>
      <c r="H145">
        <f t="shared" ref="H145:H155" si="182">F145-G145</f>
        <v>3.8197199999999998</v>
      </c>
      <c r="I145">
        <f>E145/10000</f>
        <v>0.36493000000000003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0.24776150317507079</v>
      </c>
      <c r="P145" s="2">
        <v>3</v>
      </c>
      <c r="Q145" s="8">
        <f>H145</f>
        <v>3.8197199999999998</v>
      </c>
      <c r="R145" s="8">
        <f>I145</f>
        <v>0.36493000000000003</v>
      </c>
      <c r="S145" s="8">
        <f>Q145/10^6*$Z$4*$Z$3/P145*10^12</f>
        <v>4.2437089200000004</v>
      </c>
      <c r="T145" s="8">
        <f>S145*0.06</f>
        <v>0.2546225352</v>
      </c>
      <c r="U145" s="8">
        <f>S145/$Z$1</f>
        <v>0.58132998904109601</v>
      </c>
      <c r="V145" s="12">
        <f t="shared" ref="V145:V155" si="183">O145</f>
        <v>0.24776150317507079</v>
      </c>
    </row>
    <row r="146" spans="2:22" x14ac:dyDescent="0.3">
      <c r="B146">
        <v>2</v>
      </c>
      <c r="C146">
        <v>7845.2</v>
      </c>
      <c r="D146">
        <v>42585.9</v>
      </c>
      <c r="E146">
        <v>4320.8</v>
      </c>
      <c r="F146">
        <f t="shared" si="180"/>
        <v>4.2585899999999999</v>
      </c>
      <c r="G146">
        <f t="shared" si="181"/>
        <v>0.78452</v>
      </c>
      <c r="H146">
        <f t="shared" si="182"/>
        <v>3.4740699999999998</v>
      </c>
      <c r="I146">
        <f t="shared" ref="I146:I155" si="184">E146/10000</f>
        <v>0.43208000000000002</v>
      </c>
      <c r="K146" s="67"/>
      <c r="L146" s="3">
        <v>-98</v>
      </c>
      <c r="M146" s="5">
        <f>L146+98.2</f>
        <v>0.20000000000000284</v>
      </c>
      <c r="N146" s="5">
        <f t="shared" ref="N146:N155" si="185">20.56036*SQRT(1+((L146-(-98.58903))*1.03*1095.70644/(3.14159*20.56036^2))^2)</f>
        <v>22.992351577801337</v>
      </c>
      <c r="O146" s="5">
        <f t="shared" ref="O146:O155" si="186">2*$Z$1/$Z$2/PI()/(N146*10^-4)^2/$K$145/$Z$7</f>
        <v>0.21977394726231828</v>
      </c>
      <c r="P146" s="4">
        <v>3</v>
      </c>
      <c r="Q146" s="5">
        <f t="shared" ref="Q146:R155" si="187">H146</f>
        <v>3.4740699999999998</v>
      </c>
      <c r="R146" s="5">
        <f t="shared" si="187"/>
        <v>0.43208000000000002</v>
      </c>
      <c r="S146" s="5">
        <f t="shared" ref="S146:S155" si="188">Q146/10^6*$Z$4*$Z$3/P146*10^12</f>
        <v>3.85969177</v>
      </c>
      <c r="T146" s="5">
        <f t="shared" ref="T146:T155" si="189">S146*0.06</f>
        <v>0.23158150619999998</v>
      </c>
      <c r="U146" s="5">
        <f t="shared" ref="U146:U155" si="190">S146/$Z$1</f>
        <v>0.52872490000000005</v>
      </c>
      <c r="V146" s="5">
        <f t="shared" si="183"/>
        <v>0.21977394726231828</v>
      </c>
    </row>
    <row r="147" spans="2:22" x14ac:dyDescent="0.3">
      <c r="B147">
        <v>3</v>
      </c>
      <c r="C147">
        <v>8507.5</v>
      </c>
      <c r="D147">
        <v>45788.4</v>
      </c>
      <c r="E147">
        <v>3211.2</v>
      </c>
      <c r="F147">
        <f t="shared" si="180"/>
        <v>4.5788400000000005</v>
      </c>
      <c r="G147">
        <f t="shared" si="181"/>
        <v>0.85075000000000001</v>
      </c>
      <c r="H147">
        <f t="shared" si="182"/>
        <v>3.7280900000000003</v>
      </c>
      <c r="I147">
        <f t="shared" si="184"/>
        <v>0.32111999999999996</v>
      </c>
      <c r="K147" s="67"/>
      <c r="L147" s="3">
        <v>-97.8</v>
      </c>
      <c r="M147" s="5">
        <f t="shared" ref="M147:M155" si="191">L147+98.2</f>
        <v>0.40000000000000568</v>
      </c>
      <c r="N147" s="5">
        <f t="shared" si="185"/>
        <v>24.754552179927092</v>
      </c>
      <c r="O147" s="5">
        <f t="shared" si="186"/>
        <v>0.18959760342683765</v>
      </c>
      <c r="P147" s="4">
        <v>3</v>
      </c>
      <c r="Q147" s="5">
        <f t="shared" si="187"/>
        <v>3.7280900000000003</v>
      </c>
      <c r="R147" s="5">
        <f t="shared" si="187"/>
        <v>0.32111999999999996</v>
      </c>
      <c r="S147" s="5">
        <f t="shared" si="188"/>
        <v>4.1419079900000009</v>
      </c>
      <c r="T147" s="5">
        <f t="shared" si="189"/>
        <v>0.24851447940000004</v>
      </c>
      <c r="U147" s="5">
        <f t="shared" si="190"/>
        <v>0.56738465616438372</v>
      </c>
      <c r="V147" s="5">
        <f t="shared" si="183"/>
        <v>0.18959760342683765</v>
      </c>
    </row>
    <row r="148" spans="2:22" x14ac:dyDescent="0.3">
      <c r="B148">
        <v>4</v>
      </c>
      <c r="C148">
        <v>16688.400000000001</v>
      </c>
      <c r="D148">
        <v>51112.2</v>
      </c>
      <c r="E148">
        <v>3340.3</v>
      </c>
      <c r="F148">
        <f t="shared" si="180"/>
        <v>5.1112199999999994</v>
      </c>
      <c r="G148">
        <f t="shared" si="181"/>
        <v>1.6688400000000001</v>
      </c>
      <c r="H148">
        <f t="shared" si="182"/>
        <v>3.4423799999999991</v>
      </c>
      <c r="I148">
        <f t="shared" si="184"/>
        <v>0.33402999999999999</v>
      </c>
      <c r="K148" s="67"/>
      <c r="L148" s="3">
        <v>-97.2</v>
      </c>
      <c r="M148" s="5">
        <f t="shared" si="191"/>
        <v>1</v>
      </c>
      <c r="N148" s="5">
        <f t="shared" si="185"/>
        <v>31.807899949628325</v>
      </c>
      <c r="O148" s="5">
        <f t="shared" si="186"/>
        <v>0.11483466252362846</v>
      </c>
      <c r="P148" s="4">
        <v>3</v>
      </c>
      <c r="Q148" s="5">
        <f t="shared" si="187"/>
        <v>3.4423799999999991</v>
      </c>
      <c r="R148" s="5">
        <f t="shared" si="187"/>
        <v>0.33402999999999999</v>
      </c>
      <c r="S148" s="5">
        <f t="shared" si="188"/>
        <v>3.8244841799999998</v>
      </c>
      <c r="T148" s="5">
        <f t="shared" si="189"/>
        <v>0.22946905079999999</v>
      </c>
      <c r="U148" s="5">
        <f t="shared" si="190"/>
        <v>0.52390194246575339</v>
      </c>
      <c r="V148" s="5">
        <f t="shared" si="183"/>
        <v>0.11483466252362846</v>
      </c>
    </row>
    <row r="149" spans="2:22" x14ac:dyDescent="0.3">
      <c r="B149">
        <v>5</v>
      </c>
      <c r="C149">
        <v>19109.599999999999</v>
      </c>
      <c r="D149">
        <v>43293.599999999999</v>
      </c>
      <c r="E149">
        <v>2047.1</v>
      </c>
      <c r="F149">
        <f t="shared" si="180"/>
        <v>4.3293599999999994</v>
      </c>
      <c r="G149">
        <f t="shared" si="181"/>
        <v>1.9109599999999998</v>
      </c>
      <c r="H149">
        <f t="shared" si="182"/>
        <v>2.4183999999999997</v>
      </c>
      <c r="I149">
        <f t="shared" si="184"/>
        <v>0.20471</v>
      </c>
      <c r="K149" s="67"/>
      <c r="L149" s="3">
        <v>-96.8</v>
      </c>
      <c r="M149" s="5">
        <f t="shared" si="191"/>
        <v>1.4000000000000057</v>
      </c>
      <c r="N149" s="5">
        <f t="shared" si="185"/>
        <v>37.414240753916886</v>
      </c>
      <c r="O149" s="5">
        <f t="shared" si="186"/>
        <v>8.2998285020519133E-2</v>
      </c>
      <c r="P149" s="4">
        <v>3</v>
      </c>
      <c r="Q149" s="5">
        <f t="shared" si="187"/>
        <v>2.4183999999999997</v>
      </c>
      <c r="R149" s="5">
        <f t="shared" si="187"/>
        <v>0.20471</v>
      </c>
      <c r="S149" s="5">
        <f t="shared" si="188"/>
        <v>2.6868423999999993</v>
      </c>
      <c r="T149" s="5">
        <f t="shared" si="189"/>
        <v>0.16121054399999996</v>
      </c>
      <c r="U149" s="5">
        <f t="shared" si="190"/>
        <v>0.36806060273972596</v>
      </c>
      <c r="V149" s="5">
        <f t="shared" si="183"/>
        <v>8.2998285020519133E-2</v>
      </c>
    </row>
    <row r="150" spans="2:22" x14ac:dyDescent="0.3">
      <c r="B150">
        <v>6</v>
      </c>
      <c r="C150">
        <v>16241.7</v>
      </c>
      <c r="D150">
        <v>43058.7</v>
      </c>
      <c r="E150">
        <v>2194.8000000000002</v>
      </c>
      <c r="F150">
        <f t="shared" si="180"/>
        <v>4.3058699999999996</v>
      </c>
      <c r="G150">
        <f t="shared" si="181"/>
        <v>1.6241700000000001</v>
      </c>
      <c r="H150">
        <f t="shared" si="182"/>
        <v>2.6816999999999993</v>
      </c>
      <c r="I150">
        <f t="shared" si="184"/>
        <v>0.21948000000000001</v>
      </c>
      <c r="K150" s="67"/>
      <c r="L150" s="3">
        <v>-96.3</v>
      </c>
      <c r="M150" s="5">
        <f t="shared" si="191"/>
        <v>1.9000000000000057</v>
      </c>
      <c r="N150" s="5">
        <f t="shared" si="185"/>
        <v>44.970060517830404</v>
      </c>
      <c r="O150" s="5">
        <f t="shared" si="186"/>
        <v>5.7450795652469577E-2</v>
      </c>
      <c r="P150" s="4">
        <v>4</v>
      </c>
      <c r="Q150" s="5">
        <f t="shared" si="187"/>
        <v>2.6816999999999993</v>
      </c>
      <c r="R150" s="5">
        <f t="shared" si="187"/>
        <v>0.21948000000000001</v>
      </c>
      <c r="S150" s="5">
        <f t="shared" si="188"/>
        <v>2.2345265249999993</v>
      </c>
      <c r="T150" s="5">
        <f t="shared" si="189"/>
        <v>0.13407159149999995</v>
      </c>
      <c r="U150" s="5">
        <f t="shared" si="190"/>
        <v>0.30609952397260265</v>
      </c>
      <c r="V150" s="5">
        <f t="shared" si="183"/>
        <v>5.7450795652469577E-2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80"/>
        <v>0</v>
      </c>
      <c r="G151">
        <f t="shared" si="181"/>
        <v>0</v>
      </c>
      <c r="H151">
        <f t="shared" si="182"/>
        <v>0</v>
      </c>
      <c r="I151">
        <f t="shared" si="184"/>
        <v>0</v>
      </c>
      <c r="K151" s="67"/>
      <c r="L151" s="3">
        <v>-95.8</v>
      </c>
      <c r="M151" s="5">
        <f t="shared" si="191"/>
        <v>2.4000000000000057</v>
      </c>
      <c r="N151" s="5">
        <f t="shared" si="185"/>
        <v>52.890724234957723</v>
      </c>
      <c r="O151" s="5">
        <f t="shared" si="186"/>
        <v>4.1532106980127166E-2</v>
      </c>
      <c r="P151" s="4">
        <v>4</v>
      </c>
      <c r="Q151" s="5">
        <f t="shared" si="187"/>
        <v>0</v>
      </c>
      <c r="R151" s="5">
        <f t="shared" si="187"/>
        <v>0</v>
      </c>
      <c r="S151" s="5">
        <f t="shared" si="188"/>
        <v>0</v>
      </c>
      <c r="T151" s="5">
        <f t="shared" si="189"/>
        <v>0</v>
      </c>
      <c r="U151" s="5">
        <f t="shared" si="190"/>
        <v>0</v>
      </c>
      <c r="V151" s="5">
        <f t="shared" si="183"/>
        <v>4.1532106980127166E-2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80"/>
        <v>0</v>
      </c>
      <c r="G152">
        <f t="shared" si="181"/>
        <v>0</v>
      </c>
      <c r="H152">
        <f t="shared" si="182"/>
        <v>0</v>
      </c>
      <c r="I152">
        <f t="shared" si="184"/>
        <v>0</v>
      </c>
      <c r="K152" s="67"/>
      <c r="L152" s="3">
        <v>-95.5</v>
      </c>
      <c r="M152" s="5">
        <f t="shared" si="191"/>
        <v>2.7000000000000028</v>
      </c>
      <c r="N152" s="5">
        <f t="shared" si="185"/>
        <v>57.756125383651771</v>
      </c>
      <c r="O152" s="5">
        <f t="shared" si="186"/>
        <v>3.4829471991101486E-2</v>
      </c>
      <c r="P152" s="4">
        <v>5</v>
      </c>
      <c r="Q152" s="5">
        <f t="shared" si="187"/>
        <v>0</v>
      </c>
      <c r="R152" s="5">
        <f t="shared" si="187"/>
        <v>0</v>
      </c>
      <c r="S152" s="5">
        <f t="shared" si="188"/>
        <v>0</v>
      </c>
      <c r="T152" s="5">
        <f t="shared" si="189"/>
        <v>0</v>
      </c>
      <c r="U152" s="5">
        <f t="shared" si="190"/>
        <v>0</v>
      </c>
      <c r="V152" s="5">
        <f t="shared" si="183"/>
        <v>3.4829471991101486E-2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80"/>
        <v>0</v>
      </c>
      <c r="G153">
        <f t="shared" si="181"/>
        <v>0</v>
      </c>
      <c r="H153">
        <f t="shared" si="182"/>
        <v>0</v>
      </c>
      <c r="I153">
        <f t="shared" si="184"/>
        <v>0</v>
      </c>
      <c r="K153" s="67"/>
      <c r="L153" s="5">
        <v>-95.1</v>
      </c>
      <c r="M153" s="5">
        <f t="shared" si="191"/>
        <v>3.1000000000000085</v>
      </c>
      <c r="N153" s="5">
        <f t="shared" si="185"/>
        <v>64.335352920706185</v>
      </c>
      <c r="O153" s="5">
        <f t="shared" si="186"/>
        <v>2.8070077803233701E-2</v>
      </c>
      <c r="P153" s="4">
        <v>8</v>
      </c>
      <c r="Q153" s="5">
        <f t="shared" si="187"/>
        <v>0</v>
      </c>
      <c r="R153" s="5">
        <f t="shared" si="187"/>
        <v>0</v>
      </c>
      <c r="S153" s="5">
        <f t="shared" si="188"/>
        <v>0</v>
      </c>
      <c r="T153" s="5">
        <f t="shared" si="189"/>
        <v>0</v>
      </c>
      <c r="U153" s="5">
        <f t="shared" si="190"/>
        <v>0</v>
      </c>
      <c r="V153" s="5">
        <f t="shared" si="183"/>
        <v>2.8070077803233701E-2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80"/>
        <v>0</v>
      </c>
      <c r="G154">
        <f t="shared" si="181"/>
        <v>0</v>
      </c>
      <c r="H154">
        <f t="shared" si="182"/>
        <v>0</v>
      </c>
      <c r="I154">
        <f t="shared" si="184"/>
        <v>0</v>
      </c>
      <c r="K154" s="67"/>
      <c r="L154" s="5">
        <v>-94.399999999999991</v>
      </c>
      <c r="M154" s="5">
        <f t="shared" si="191"/>
        <v>3.8000000000000114</v>
      </c>
      <c r="N154" s="5">
        <f t="shared" si="185"/>
        <v>76.025152245972833</v>
      </c>
      <c r="O154" s="5">
        <f t="shared" si="186"/>
        <v>2.0101496689095118E-2</v>
      </c>
      <c r="P154" s="4">
        <v>14</v>
      </c>
      <c r="Q154" s="5">
        <f t="shared" si="187"/>
        <v>0</v>
      </c>
      <c r="R154" s="5">
        <f t="shared" si="187"/>
        <v>0</v>
      </c>
      <c r="S154" s="5">
        <f t="shared" si="188"/>
        <v>0</v>
      </c>
      <c r="T154" s="5">
        <f t="shared" si="189"/>
        <v>0</v>
      </c>
      <c r="U154" s="5">
        <f t="shared" si="190"/>
        <v>0</v>
      </c>
      <c r="V154" s="5">
        <f t="shared" si="183"/>
        <v>2.0101496689095118E-2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80"/>
        <v>0</v>
      </c>
      <c r="G155">
        <f t="shared" si="181"/>
        <v>0</v>
      </c>
      <c r="H155">
        <f t="shared" si="182"/>
        <v>0</v>
      </c>
      <c r="I155">
        <f t="shared" si="184"/>
        <v>0</v>
      </c>
      <c r="K155" s="68"/>
      <c r="L155" s="6">
        <v>-93.3</v>
      </c>
      <c r="M155" s="6">
        <f t="shared" si="191"/>
        <v>4.9000000000000057</v>
      </c>
      <c r="N155" s="6">
        <f t="shared" si="185"/>
        <v>94.671337139281746</v>
      </c>
      <c r="O155" s="6">
        <f t="shared" si="186"/>
        <v>1.2963013385450755E-2</v>
      </c>
      <c r="P155" s="7">
        <v>21</v>
      </c>
      <c r="Q155" s="6">
        <f t="shared" si="187"/>
        <v>0</v>
      </c>
      <c r="R155" s="6">
        <f t="shared" si="187"/>
        <v>0</v>
      </c>
      <c r="S155" s="6">
        <f t="shared" si="188"/>
        <v>0</v>
      </c>
      <c r="T155" s="6">
        <f t="shared" si="189"/>
        <v>0</v>
      </c>
      <c r="U155" s="6">
        <f t="shared" si="190"/>
        <v>0</v>
      </c>
      <c r="V155" s="6">
        <f t="shared" si="183"/>
        <v>1.2963013385450755E-2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1315.1</v>
      </c>
      <c r="D159">
        <v>43061</v>
      </c>
      <c r="E159">
        <v>3532.7</v>
      </c>
      <c r="F159">
        <f t="shared" ref="F159:F169" si="192">D159/10000</f>
        <v>4.3060999999999998</v>
      </c>
      <c r="G159">
        <f t="shared" ref="G159:G169" si="193">C159/10000</f>
        <v>0.13150999999999999</v>
      </c>
      <c r="H159">
        <f t="shared" ref="H159:H169" si="194">F159-G159</f>
        <v>4.1745900000000002</v>
      </c>
      <c r="I159">
        <f>E159/10000</f>
        <v>0.35326999999999997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0.19820920254005664</v>
      </c>
      <c r="P159" s="2">
        <v>3</v>
      </c>
      <c r="Q159" s="8">
        <f>H159</f>
        <v>4.1745900000000002</v>
      </c>
      <c r="R159" s="8">
        <f>I159</f>
        <v>0.35326999999999997</v>
      </c>
      <c r="S159" s="8">
        <f>Q159/10^6*$Z$4*$Z$3/P159*10^12</f>
        <v>4.6379694899999997</v>
      </c>
      <c r="T159" s="8">
        <f>S159*0.06</f>
        <v>0.2782781694</v>
      </c>
      <c r="U159" s="8">
        <f>S159/$Z$1</f>
        <v>0.63533828630136979</v>
      </c>
      <c r="V159" s="12">
        <f t="shared" ref="V159:V169" si="195">O159</f>
        <v>0.19820920254005664</v>
      </c>
    </row>
    <row r="160" spans="2:22" x14ac:dyDescent="0.3">
      <c r="B160">
        <v>2</v>
      </c>
      <c r="C160">
        <v>9658</v>
      </c>
      <c r="D160">
        <v>42348.3</v>
      </c>
      <c r="E160">
        <v>2889.6</v>
      </c>
      <c r="F160">
        <f t="shared" si="192"/>
        <v>4.2348300000000005</v>
      </c>
      <c r="G160">
        <f t="shared" si="193"/>
        <v>0.96579999999999999</v>
      </c>
      <c r="H160">
        <f t="shared" si="194"/>
        <v>3.2690300000000008</v>
      </c>
      <c r="I160">
        <f t="shared" ref="I160:I169" si="196">E160/10000</f>
        <v>0.28895999999999999</v>
      </c>
      <c r="K160" s="67"/>
      <c r="L160" s="3">
        <v>-98</v>
      </c>
      <c r="M160" s="5">
        <f>L160+98.2</f>
        <v>0.20000000000000284</v>
      </c>
      <c r="N160" s="5">
        <f t="shared" ref="N160:N169" si="197">20.56036*SQRT(1+((L160-(-98.58903))*1.03*1095.70644/(3.14159*20.56036^2))^2)</f>
        <v>22.992351577801337</v>
      </c>
      <c r="O160" s="5">
        <f t="shared" ref="O160:O169" si="198">2*$Z$1/$Z$2/PI()/(N160*10^-4)^2/$K$159/$Z$7</f>
        <v>0.1758191578098546</v>
      </c>
      <c r="P160" s="4">
        <v>3</v>
      </c>
      <c r="Q160" s="5">
        <f t="shared" ref="Q160:R169" si="199">H160</f>
        <v>3.2690300000000008</v>
      </c>
      <c r="R160" s="5">
        <f t="shared" si="199"/>
        <v>0.28895999999999999</v>
      </c>
      <c r="S160" s="5">
        <f t="shared" ref="S160:S169" si="200">Q160/10^6*$Z$4*$Z$3/P160*10^12</f>
        <v>3.6318923300000008</v>
      </c>
      <c r="T160" s="5">
        <f t="shared" ref="T160:T169" si="201">S160*0.06</f>
        <v>0.21791353980000003</v>
      </c>
      <c r="U160" s="5">
        <f t="shared" ref="U160:U169" si="202">S160/$Z$1</f>
        <v>0.49751949726027411</v>
      </c>
      <c r="V160" s="5">
        <f t="shared" si="195"/>
        <v>0.1758191578098546</v>
      </c>
    </row>
    <row r="161" spans="2:22" x14ac:dyDescent="0.3">
      <c r="B161">
        <v>3</v>
      </c>
      <c r="C161">
        <v>12729.2</v>
      </c>
      <c r="D161">
        <v>46193.8</v>
      </c>
      <c r="E161">
        <v>3470.9</v>
      </c>
      <c r="F161">
        <f t="shared" si="192"/>
        <v>4.6193800000000005</v>
      </c>
      <c r="G161">
        <f t="shared" si="193"/>
        <v>1.2729200000000001</v>
      </c>
      <c r="H161">
        <f t="shared" si="194"/>
        <v>3.3464600000000004</v>
      </c>
      <c r="I161">
        <f t="shared" si="196"/>
        <v>0.34709000000000001</v>
      </c>
      <c r="K161" s="67"/>
      <c r="L161" s="3">
        <v>-97.8</v>
      </c>
      <c r="M161" s="5">
        <f t="shared" ref="M161:M169" si="203">L161+98.2</f>
        <v>0.40000000000000568</v>
      </c>
      <c r="N161" s="5">
        <f t="shared" si="197"/>
        <v>24.754552179927092</v>
      </c>
      <c r="O161" s="5">
        <f t="shared" si="198"/>
        <v>0.15167808274147013</v>
      </c>
      <c r="P161" s="4">
        <v>3</v>
      </c>
      <c r="Q161" s="5">
        <f t="shared" si="199"/>
        <v>3.3464600000000004</v>
      </c>
      <c r="R161" s="5">
        <f t="shared" si="199"/>
        <v>0.34709000000000001</v>
      </c>
      <c r="S161" s="5">
        <f t="shared" si="200"/>
        <v>3.7179170600000004</v>
      </c>
      <c r="T161" s="5">
        <f t="shared" si="201"/>
        <v>0.22307502360000001</v>
      </c>
      <c r="U161" s="5">
        <f t="shared" si="202"/>
        <v>0.50930370684931514</v>
      </c>
      <c r="V161" s="5">
        <f t="shared" si="195"/>
        <v>0.15167808274147013</v>
      </c>
    </row>
    <row r="162" spans="2:22" x14ac:dyDescent="0.3">
      <c r="B162">
        <v>4</v>
      </c>
      <c r="C162">
        <v>15333.4</v>
      </c>
      <c r="D162">
        <v>43572.3</v>
      </c>
      <c r="E162">
        <v>4507.8999999999996</v>
      </c>
      <c r="F162">
        <f t="shared" si="192"/>
        <v>4.3572300000000004</v>
      </c>
      <c r="G162">
        <f t="shared" si="193"/>
        <v>1.5333399999999999</v>
      </c>
      <c r="H162">
        <f t="shared" si="194"/>
        <v>2.8238900000000005</v>
      </c>
      <c r="I162">
        <f t="shared" si="196"/>
        <v>0.45078999999999997</v>
      </c>
      <c r="K162" s="67"/>
      <c r="L162" s="3">
        <v>-97.2</v>
      </c>
      <c r="M162" s="5">
        <f t="shared" si="203"/>
        <v>1</v>
      </c>
      <c r="N162" s="5">
        <f t="shared" si="197"/>
        <v>31.807899949628325</v>
      </c>
      <c r="O162" s="5">
        <f t="shared" si="198"/>
        <v>9.1867730018902763E-2</v>
      </c>
      <c r="P162" s="4">
        <v>3</v>
      </c>
      <c r="Q162" s="5">
        <f t="shared" si="199"/>
        <v>2.8238900000000005</v>
      </c>
      <c r="R162" s="5">
        <f t="shared" si="199"/>
        <v>0.45078999999999997</v>
      </c>
      <c r="S162" s="5">
        <f t="shared" si="200"/>
        <v>3.1373417900000007</v>
      </c>
      <c r="T162" s="5">
        <f t="shared" si="201"/>
        <v>0.18824050740000003</v>
      </c>
      <c r="U162" s="5">
        <f t="shared" si="202"/>
        <v>0.42977284794520559</v>
      </c>
      <c r="V162" s="5">
        <f t="shared" si="195"/>
        <v>9.1867730018902763E-2</v>
      </c>
    </row>
    <row r="163" spans="2:22" x14ac:dyDescent="0.3">
      <c r="B163">
        <v>5</v>
      </c>
      <c r="C163">
        <v>10812.5</v>
      </c>
      <c r="D163">
        <v>39472.5</v>
      </c>
      <c r="E163">
        <v>1707</v>
      </c>
      <c r="F163">
        <f t="shared" si="192"/>
        <v>3.9472499999999999</v>
      </c>
      <c r="G163">
        <f t="shared" si="193"/>
        <v>1.08125</v>
      </c>
      <c r="H163">
        <f t="shared" si="194"/>
        <v>2.8659999999999997</v>
      </c>
      <c r="I163">
        <f t="shared" si="196"/>
        <v>0.17069999999999999</v>
      </c>
      <c r="K163" s="67"/>
      <c r="L163" s="3">
        <v>-96.8</v>
      </c>
      <c r="M163" s="5">
        <f t="shared" si="203"/>
        <v>1.4000000000000057</v>
      </c>
      <c r="N163" s="5">
        <f t="shared" si="197"/>
        <v>37.414240753916886</v>
      </c>
      <c r="O163" s="5">
        <f t="shared" si="198"/>
        <v>6.6398628016415315E-2</v>
      </c>
      <c r="P163" s="4">
        <v>3</v>
      </c>
      <c r="Q163" s="5">
        <f t="shared" si="199"/>
        <v>2.8659999999999997</v>
      </c>
      <c r="R163" s="5">
        <f t="shared" si="199"/>
        <v>0.17069999999999999</v>
      </c>
      <c r="S163" s="5">
        <f t="shared" si="200"/>
        <v>3.184126</v>
      </c>
      <c r="T163" s="5">
        <f t="shared" si="201"/>
        <v>0.19104756000000001</v>
      </c>
      <c r="U163" s="5">
        <f t="shared" si="202"/>
        <v>0.43618164383561647</v>
      </c>
      <c r="V163" s="5">
        <f t="shared" si="195"/>
        <v>6.6398628016415315E-2</v>
      </c>
    </row>
    <row r="164" spans="2:22" x14ac:dyDescent="0.3">
      <c r="B164">
        <v>6</v>
      </c>
      <c r="C164">
        <v>19819.400000000001</v>
      </c>
      <c r="D164">
        <v>31102.6</v>
      </c>
      <c r="E164">
        <v>1406</v>
      </c>
      <c r="F164">
        <f t="shared" si="192"/>
        <v>3.1102599999999998</v>
      </c>
      <c r="G164">
        <f t="shared" si="193"/>
        <v>1.98194</v>
      </c>
      <c r="H164">
        <f t="shared" si="194"/>
        <v>1.1283199999999998</v>
      </c>
      <c r="I164">
        <f t="shared" si="196"/>
        <v>0.1406</v>
      </c>
      <c r="K164" s="67"/>
      <c r="L164" s="3">
        <v>-96.3</v>
      </c>
      <c r="M164" s="5">
        <f t="shared" si="203"/>
        <v>1.9000000000000057</v>
      </c>
      <c r="N164" s="5">
        <f t="shared" si="197"/>
        <v>44.970060517830404</v>
      </c>
      <c r="O164" s="5">
        <f t="shared" si="198"/>
        <v>4.5960636521975663E-2</v>
      </c>
      <c r="P164" s="4">
        <v>4</v>
      </c>
      <c r="Q164" s="5">
        <f t="shared" si="199"/>
        <v>1.1283199999999998</v>
      </c>
      <c r="R164" s="5">
        <f t="shared" si="199"/>
        <v>0.1406</v>
      </c>
      <c r="S164" s="5">
        <f t="shared" si="200"/>
        <v>0.94017263999999989</v>
      </c>
      <c r="T164" s="5">
        <f t="shared" si="201"/>
        <v>5.6410358399999992E-2</v>
      </c>
      <c r="U164" s="5">
        <f t="shared" si="202"/>
        <v>0.12879077260273972</v>
      </c>
      <c r="V164" s="5">
        <f t="shared" si="195"/>
        <v>4.5960636521975663E-2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92"/>
        <v>0</v>
      </c>
      <c r="G165">
        <f t="shared" si="193"/>
        <v>0</v>
      </c>
      <c r="H165">
        <f t="shared" si="194"/>
        <v>0</v>
      </c>
      <c r="I165">
        <f t="shared" si="196"/>
        <v>0</v>
      </c>
      <c r="K165" s="67"/>
      <c r="L165" s="3">
        <v>-95.8</v>
      </c>
      <c r="M165" s="5">
        <f t="shared" si="203"/>
        <v>2.4000000000000057</v>
      </c>
      <c r="N165" s="5">
        <f t="shared" si="197"/>
        <v>52.890724234957723</v>
      </c>
      <c r="O165" s="5">
        <f t="shared" si="198"/>
        <v>3.322568558410173E-2</v>
      </c>
      <c r="P165" s="4">
        <v>4</v>
      </c>
      <c r="Q165" s="5">
        <f t="shared" si="199"/>
        <v>0</v>
      </c>
      <c r="R165" s="5">
        <f t="shared" si="199"/>
        <v>0</v>
      </c>
      <c r="S165" s="5">
        <f t="shared" si="200"/>
        <v>0</v>
      </c>
      <c r="T165" s="5">
        <f t="shared" si="201"/>
        <v>0</v>
      </c>
      <c r="U165" s="5">
        <f t="shared" si="202"/>
        <v>0</v>
      </c>
      <c r="V165" s="5">
        <f t="shared" si="195"/>
        <v>3.322568558410173E-2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92"/>
        <v>0</v>
      </c>
      <c r="G166">
        <f t="shared" si="193"/>
        <v>0</v>
      </c>
      <c r="H166">
        <f t="shared" si="194"/>
        <v>0</v>
      </c>
      <c r="I166">
        <f t="shared" si="196"/>
        <v>0</v>
      </c>
      <c r="K166" s="67"/>
      <c r="L166" s="3">
        <v>-95.5</v>
      </c>
      <c r="M166" s="5">
        <f t="shared" si="203"/>
        <v>2.7000000000000028</v>
      </c>
      <c r="N166" s="5">
        <f t="shared" si="197"/>
        <v>57.756125383651771</v>
      </c>
      <c r="O166" s="5">
        <f t="shared" si="198"/>
        <v>2.7863577592881189E-2</v>
      </c>
      <c r="P166" s="4">
        <v>5</v>
      </c>
      <c r="Q166" s="5">
        <f t="shared" si="199"/>
        <v>0</v>
      </c>
      <c r="R166" s="5">
        <f t="shared" si="199"/>
        <v>0</v>
      </c>
      <c r="S166" s="5">
        <f t="shared" si="200"/>
        <v>0</v>
      </c>
      <c r="T166" s="5">
        <f t="shared" si="201"/>
        <v>0</v>
      </c>
      <c r="U166" s="5">
        <f t="shared" si="202"/>
        <v>0</v>
      </c>
      <c r="V166" s="5">
        <f t="shared" si="195"/>
        <v>2.7863577592881189E-2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92"/>
        <v>0</v>
      </c>
      <c r="G167">
        <f t="shared" si="193"/>
        <v>0</v>
      </c>
      <c r="H167">
        <f t="shared" si="194"/>
        <v>0</v>
      </c>
      <c r="I167">
        <f t="shared" si="196"/>
        <v>0</v>
      </c>
      <c r="K167" s="67"/>
      <c r="L167" s="5">
        <v>-95.1</v>
      </c>
      <c r="M167" s="5">
        <f t="shared" si="203"/>
        <v>3.1000000000000085</v>
      </c>
      <c r="N167" s="5">
        <f t="shared" si="197"/>
        <v>64.335352920706185</v>
      </c>
      <c r="O167" s="5">
        <f t="shared" si="198"/>
        <v>2.245606224258696E-2</v>
      </c>
      <c r="P167" s="4">
        <v>8</v>
      </c>
      <c r="Q167" s="5">
        <f t="shared" si="199"/>
        <v>0</v>
      </c>
      <c r="R167" s="5">
        <f t="shared" si="199"/>
        <v>0</v>
      </c>
      <c r="S167" s="5">
        <f t="shared" si="200"/>
        <v>0</v>
      </c>
      <c r="T167" s="5">
        <f t="shared" si="201"/>
        <v>0</v>
      </c>
      <c r="U167" s="5">
        <f t="shared" si="202"/>
        <v>0</v>
      </c>
      <c r="V167" s="5">
        <f t="shared" si="195"/>
        <v>2.245606224258696E-2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92"/>
        <v>0</v>
      </c>
      <c r="G168">
        <f t="shared" si="193"/>
        <v>0</v>
      </c>
      <c r="H168">
        <f t="shared" si="194"/>
        <v>0</v>
      </c>
      <c r="I168">
        <f t="shared" si="196"/>
        <v>0</v>
      </c>
      <c r="K168" s="67"/>
      <c r="L168" s="5">
        <v>-94.399999999999991</v>
      </c>
      <c r="M168" s="5">
        <f t="shared" si="203"/>
        <v>3.8000000000000114</v>
      </c>
      <c r="N168" s="5">
        <f t="shared" si="197"/>
        <v>76.025152245972833</v>
      </c>
      <c r="O168" s="5">
        <f t="shared" si="198"/>
        <v>1.6081197351276093E-2</v>
      </c>
      <c r="P168" s="4">
        <v>14</v>
      </c>
      <c r="Q168" s="5">
        <f t="shared" si="199"/>
        <v>0</v>
      </c>
      <c r="R168" s="5">
        <f t="shared" si="199"/>
        <v>0</v>
      </c>
      <c r="S168" s="5">
        <f t="shared" si="200"/>
        <v>0</v>
      </c>
      <c r="T168" s="5">
        <f t="shared" si="201"/>
        <v>0</v>
      </c>
      <c r="U168" s="5">
        <f t="shared" si="202"/>
        <v>0</v>
      </c>
      <c r="V168" s="5">
        <f t="shared" si="195"/>
        <v>1.6081197351276093E-2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92"/>
        <v>0</v>
      </c>
      <c r="G169">
        <f t="shared" si="193"/>
        <v>0</v>
      </c>
      <c r="H169">
        <f t="shared" si="194"/>
        <v>0</v>
      </c>
      <c r="I169">
        <f t="shared" si="196"/>
        <v>0</v>
      </c>
      <c r="K169" s="68"/>
      <c r="L169" s="6">
        <v>-93.3</v>
      </c>
      <c r="M169" s="6">
        <f t="shared" si="203"/>
        <v>4.9000000000000057</v>
      </c>
      <c r="N169" s="6">
        <f t="shared" si="197"/>
        <v>94.671337139281746</v>
      </c>
      <c r="O169" s="6">
        <f t="shared" si="198"/>
        <v>1.0370410708360605E-2</v>
      </c>
      <c r="P169" s="7">
        <v>21</v>
      </c>
      <c r="Q169" s="6">
        <f t="shared" si="199"/>
        <v>0</v>
      </c>
      <c r="R169" s="6">
        <f t="shared" si="199"/>
        <v>0</v>
      </c>
      <c r="S169" s="6">
        <f t="shared" si="200"/>
        <v>0</v>
      </c>
      <c r="T169" s="6">
        <f t="shared" si="201"/>
        <v>0</v>
      </c>
      <c r="U169" s="6">
        <f t="shared" si="202"/>
        <v>0</v>
      </c>
      <c r="V169" s="6">
        <f t="shared" si="195"/>
        <v>1.0370410708360605E-2</v>
      </c>
    </row>
    <row r="170" spans="2:22" ht="15" thickTop="1" x14ac:dyDescent="0.3"/>
  </sheetData>
  <mergeCells count="13">
    <mergeCell ref="Y27:AJ27"/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Q170"/>
  <sheetViews>
    <sheetView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382.1</v>
      </c>
      <c r="D5">
        <v>117083.6</v>
      </c>
      <c r="E5">
        <v>3719.6</v>
      </c>
      <c r="F5">
        <f t="shared" ref="F5:F15" si="0">D5/10000</f>
        <v>11.708360000000001</v>
      </c>
      <c r="G5">
        <f t="shared" ref="G5:G15" si="1">C5/10000</f>
        <v>3.8210000000000001E-2</v>
      </c>
      <c r="H5">
        <f t="shared" ref="H5:H15" si="2">F5-G5</f>
        <v>11.670150000000001</v>
      </c>
      <c r="I5">
        <f>E5/10000</f>
        <v>0.37196000000000001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1.651743354500472</v>
      </c>
      <c r="P5" s="2">
        <v>3</v>
      </c>
      <c r="Q5" s="8">
        <f>H5</f>
        <v>11.670150000000001</v>
      </c>
      <c r="R5" s="8">
        <f>I5</f>
        <v>0.37196000000000001</v>
      </c>
      <c r="S5" s="8">
        <f>Q5/10^6*$Z$4*$Z$3/P5*10^12</f>
        <v>12.965536650000004</v>
      </c>
      <c r="T5" s="8">
        <f>S5*0.06</f>
        <v>0.77793219900000021</v>
      </c>
      <c r="U5" s="8">
        <f>S5/$Z$1</f>
        <v>1.7761009109589048</v>
      </c>
      <c r="V5" s="12">
        <f t="shared" ref="V5:V15" si="4">O5</f>
        <v>1.651743354500472</v>
      </c>
    </row>
    <row r="6" spans="2:95" x14ac:dyDescent="0.3">
      <c r="B6">
        <v>2</v>
      </c>
      <c r="C6">
        <v>5896.2</v>
      </c>
      <c r="D6">
        <v>122948.2</v>
      </c>
      <c r="E6">
        <v>4067</v>
      </c>
      <c r="F6">
        <f t="shared" si="0"/>
        <v>12.29482</v>
      </c>
      <c r="G6">
        <f t="shared" si="1"/>
        <v>0.58962000000000003</v>
      </c>
      <c r="H6">
        <f t="shared" si="2"/>
        <v>11.7052</v>
      </c>
      <c r="I6">
        <f t="shared" ref="I6:I15" si="5">E6/10000</f>
        <v>0.40670000000000001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1.4651596484154552</v>
      </c>
      <c r="P6" s="4">
        <v>3</v>
      </c>
      <c r="Q6" s="5">
        <f t="shared" ref="Q6:R15" si="7">H6</f>
        <v>11.7052</v>
      </c>
      <c r="R6" s="5">
        <f t="shared" si="7"/>
        <v>0.40670000000000001</v>
      </c>
      <c r="S6" s="5">
        <f t="shared" ref="S6:S15" si="8">Q6/10^6*$Z$4*$Z$3/P6*10^12</f>
        <v>13.004477199999998</v>
      </c>
      <c r="T6" s="5">
        <f t="shared" ref="T6:T15" si="9">S6*0.06</f>
        <v>0.78026863199999985</v>
      </c>
      <c r="U6" s="5">
        <f t="shared" ref="U6:U15" si="10">S6/$Z$1</f>
        <v>1.7814352328767122</v>
      </c>
      <c r="V6" s="5">
        <f t="shared" si="4"/>
        <v>1.4651596484154552</v>
      </c>
    </row>
    <row r="7" spans="2:95" x14ac:dyDescent="0.3">
      <c r="B7">
        <v>3</v>
      </c>
      <c r="C7">
        <v>10428</v>
      </c>
      <c r="D7">
        <v>128427</v>
      </c>
      <c r="E7">
        <v>3551</v>
      </c>
      <c r="F7">
        <f t="shared" si="0"/>
        <v>12.842700000000001</v>
      </c>
      <c r="G7">
        <f t="shared" si="1"/>
        <v>1.0427999999999999</v>
      </c>
      <c r="H7">
        <f t="shared" si="2"/>
        <v>11.799900000000001</v>
      </c>
      <c r="I7">
        <f t="shared" si="5"/>
        <v>0.35510000000000003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1.2639840228455843</v>
      </c>
      <c r="P7" s="4">
        <v>3</v>
      </c>
      <c r="Q7" s="5">
        <f t="shared" si="7"/>
        <v>11.799900000000001</v>
      </c>
      <c r="R7" s="5">
        <f t="shared" si="7"/>
        <v>0.35510000000000003</v>
      </c>
      <c r="S7" s="5">
        <f t="shared" si="8"/>
        <v>13.109688900000004</v>
      </c>
      <c r="T7" s="5">
        <f t="shared" si="9"/>
        <v>0.78658133400000019</v>
      </c>
      <c r="U7" s="5">
        <f t="shared" si="10"/>
        <v>1.7958477945205484</v>
      </c>
      <c r="V7" s="5">
        <f t="shared" si="4"/>
        <v>1.2639840228455843</v>
      </c>
      <c r="Y7" t="s">
        <v>41</v>
      </c>
      <c r="Z7">
        <v>3</v>
      </c>
    </row>
    <row r="8" spans="2:95" x14ac:dyDescent="0.3">
      <c r="B8">
        <v>4</v>
      </c>
      <c r="C8">
        <v>13443.5</v>
      </c>
      <c r="D8">
        <v>131577.4</v>
      </c>
      <c r="E8">
        <v>1539</v>
      </c>
      <c r="F8">
        <f t="shared" si="0"/>
        <v>13.157739999999999</v>
      </c>
      <c r="G8">
        <f t="shared" si="1"/>
        <v>1.3443499999999999</v>
      </c>
      <c r="H8">
        <f t="shared" si="2"/>
        <v>11.813389999999998</v>
      </c>
      <c r="I8">
        <f t="shared" si="5"/>
        <v>0.15390000000000001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0.76556441682418974</v>
      </c>
      <c r="P8" s="4">
        <v>3</v>
      </c>
      <c r="Q8" s="5">
        <f t="shared" si="7"/>
        <v>11.813389999999998</v>
      </c>
      <c r="R8" s="5">
        <f t="shared" si="7"/>
        <v>0.15390000000000001</v>
      </c>
      <c r="S8" s="5">
        <f t="shared" si="8"/>
        <v>13.124676289999998</v>
      </c>
      <c r="T8" s="5">
        <f t="shared" si="9"/>
        <v>0.78748057739999988</v>
      </c>
      <c r="U8" s="5">
        <f t="shared" si="10"/>
        <v>1.7979008616438354</v>
      </c>
      <c r="V8" s="5">
        <f t="shared" si="4"/>
        <v>0.76556441682418974</v>
      </c>
    </row>
    <row r="9" spans="2:95" x14ac:dyDescent="0.3">
      <c r="B9">
        <v>5</v>
      </c>
      <c r="C9">
        <v>13301.7</v>
      </c>
      <c r="D9">
        <v>129224.6</v>
      </c>
      <c r="E9">
        <v>1982.4</v>
      </c>
      <c r="F9">
        <f t="shared" si="0"/>
        <v>12.922460000000001</v>
      </c>
      <c r="G9">
        <f t="shared" si="1"/>
        <v>1.3301700000000001</v>
      </c>
      <c r="H9">
        <f t="shared" si="2"/>
        <v>11.59229</v>
      </c>
      <c r="I9">
        <f t="shared" si="5"/>
        <v>0.19824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0.55332190013679428</v>
      </c>
      <c r="P9" s="4">
        <v>3</v>
      </c>
      <c r="Q9" s="5">
        <f t="shared" si="7"/>
        <v>11.59229</v>
      </c>
      <c r="R9" s="5">
        <f t="shared" si="7"/>
        <v>0.19824</v>
      </c>
      <c r="S9" s="5">
        <f t="shared" si="8"/>
        <v>12.879034189999999</v>
      </c>
      <c r="T9" s="5">
        <f t="shared" si="9"/>
        <v>0.77274205139999985</v>
      </c>
      <c r="U9" s="5">
        <f t="shared" si="10"/>
        <v>1.7642512589041095</v>
      </c>
      <c r="V9" s="5">
        <f t="shared" si="4"/>
        <v>0.55332190013679428</v>
      </c>
    </row>
    <row r="10" spans="2:95" ht="15" thickBot="1" x14ac:dyDescent="0.35">
      <c r="B10">
        <v>6</v>
      </c>
      <c r="C10">
        <v>15847</v>
      </c>
      <c r="D10">
        <v>120755.3</v>
      </c>
      <c r="E10">
        <v>1225.5</v>
      </c>
      <c r="F10">
        <f t="shared" si="0"/>
        <v>12.075530000000001</v>
      </c>
      <c r="G10">
        <f t="shared" si="1"/>
        <v>1.5847</v>
      </c>
      <c r="H10">
        <f t="shared" si="2"/>
        <v>10.490830000000001</v>
      </c>
      <c r="I10">
        <f t="shared" si="5"/>
        <v>0.12255000000000001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0.38300530434979718</v>
      </c>
      <c r="P10" s="4">
        <v>4</v>
      </c>
      <c r="Q10" s="5">
        <f t="shared" si="7"/>
        <v>10.490830000000001</v>
      </c>
      <c r="R10" s="5">
        <f t="shared" si="7"/>
        <v>0.12255000000000001</v>
      </c>
      <c r="S10" s="5">
        <f t="shared" si="8"/>
        <v>8.741484097499999</v>
      </c>
      <c r="T10" s="5">
        <f t="shared" si="9"/>
        <v>0.52448904584999989</v>
      </c>
      <c r="U10" s="5">
        <f t="shared" si="10"/>
        <v>1.197463575</v>
      </c>
      <c r="V10" s="5">
        <f t="shared" si="4"/>
        <v>0.38300530434979718</v>
      </c>
    </row>
    <row r="11" spans="2:95" ht="15.6" thickTop="1" thickBot="1" x14ac:dyDescent="0.35">
      <c r="B11">
        <v>7</v>
      </c>
      <c r="C11">
        <v>13485.9</v>
      </c>
      <c r="D11">
        <v>82084.399999999994</v>
      </c>
      <c r="E11">
        <v>2856.7</v>
      </c>
      <c r="F11">
        <f t="shared" si="0"/>
        <v>8.2084399999999995</v>
      </c>
      <c r="G11">
        <f t="shared" si="1"/>
        <v>1.34859</v>
      </c>
      <c r="H11">
        <f t="shared" si="2"/>
        <v>6.8598499999999998</v>
      </c>
      <c r="I11">
        <f t="shared" si="5"/>
        <v>0.28566999999999998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0.27688071320084778</v>
      </c>
      <c r="P11" s="4">
        <v>4</v>
      </c>
      <c r="Q11" s="5">
        <f t="shared" si="7"/>
        <v>6.8598499999999998</v>
      </c>
      <c r="R11" s="5">
        <f t="shared" si="7"/>
        <v>0.28566999999999998</v>
      </c>
      <c r="S11" s="5">
        <f t="shared" si="8"/>
        <v>5.7159700124999997</v>
      </c>
      <c r="T11" s="5">
        <f t="shared" si="9"/>
        <v>0.34295820074999994</v>
      </c>
      <c r="U11" s="5">
        <f t="shared" si="10"/>
        <v>0.78300959075342469</v>
      </c>
      <c r="V11" s="5">
        <f t="shared" si="4"/>
        <v>0.27688071320084778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12923.7</v>
      </c>
      <c r="D12">
        <v>76573.8</v>
      </c>
      <c r="E12">
        <v>1330.1</v>
      </c>
      <c r="F12">
        <f t="shared" si="0"/>
        <v>7.6573799999999999</v>
      </c>
      <c r="G12">
        <f t="shared" si="1"/>
        <v>1.29237</v>
      </c>
      <c r="H12">
        <f t="shared" si="2"/>
        <v>6.3650099999999998</v>
      </c>
      <c r="I12">
        <f t="shared" si="5"/>
        <v>0.13300999999999999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0.23219647994067658</v>
      </c>
      <c r="P12" s="4">
        <v>5</v>
      </c>
      <c r="Q12" s="5">
        <f t="shared" si="7"/>
        <v>6.3650099999999998</v>
      </c>
      <c r="R12" s="5">
        <f t="shared" si="7"/>
        <v>0.13300999999999999</v>
      </c>
      <c r="S12" s="5">
        <f t="shared" si="8"/>
        <v>4.242915666</v>
      </c>
      <c r="T12" s="5">
        <f t="shared" si="9"/>
        <v>0.25457493995999997</v>
      </c>
      <c r="U12" s="5">
        <f t="shared" si="10"/>
        <v>0.58122132410958904</v>
      </c>
      <c r="V12" s="5">
        <f t="shared" si="4"/>
        <v>0.23219647994067658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7418</v>
      </c>
      <c r="D13">
        <v>80196.5</v>
      </c>
      <c r="E13">
        <v>3387.3</v>
      </c>
      <c r="F13">
        <f t="shared" si="0"/>
        <v>8.0196500000000004</v>
      </c>
      <c r="G13">
        <f t="shared" si="1"/>
        <v>0.74180000000000001</v>
      </c>
      <c r="H13">
        <f t="shared" si="2"/>
        <v>7.2778500000000008</v>
      </c>
      <c r="I13">
        <f t="shared" si="5"/>
        <v>0.33873000000000003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0.18713385202155799</v>
      </c>
      <c r="P13" s="4">
        <v>8</v>
      </c>
      <c r="Q13" s="5">
        <f t="shared" si="7"/>
        <v>7.2778500000000008</v>
      </c>
      <c r="R13" s="5">
        <f t="shared" si="7"/>
        <v>0.33873000000000003</v>
      </c>
      <c r="S13" s="5">
        <f t="shared" si="8"/>
        <v>3.0321342562500004</v>
      </c>
      <c r="T13" s="5">
        <f t="shared" si="9"/>
        <v>0.18192805537500001</v>
      </c>
      <c r="U13" s="5">
        <f t="shared" si="10"/>
        <v>0.41536085702054804</v>
      </c>
      <c r="V13" s="5">
        <f t="shared" si="4"/>
        <v>0.18713385202155799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0</v>
      </c>
      <c r="D14">
        <v>0</v>
      </c>
      <c r="E14">
        <v>0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5"/>
        <v>0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0.13400997792730077</v>
      </c>
      <c r="P14" s="4">
        <v>14</v>
      </c>
      <c r="Q14" s="5">
        <f t="shared" si="7"/>
        <v>0</v>
      </c>
      <c r="R14" s="5">
        <f t="shared" si="7"/>
        <v>0</v>
      </c>
      <c r="S14" s="5">
        <f t="shared" si="8"/>
        <v>0</v>
      </c>
      <c r="T14" s="5">
        <f t="shared" si="9"/>
        <v>0</v>
      </c>
      <c r="U14" s="5">
        <f t="shared" si="10"/>
        <v>0</v>
      </c>
      <c r="V14" s="5">
        <f t="shared" si="4"/>
        <v>0.13400997792730077</v>
      </c>
      <c r="X14" s="31">
        <f t="shared" ref="X14:X22" si="12">O5</f>
        <v>1.651743354500472</v>
      </c>
      <c r="Y14" s="32">
        <f t="shared" ref="Y14:AA22" si="13">S5</f>
        <v>12.965536650000004</v>
      </c>
      <c r="Z14" s="32">
        <f t="shared" si="13"/>
        <v>0.77793219900000021</v>
      </c>
      <c r="AA14" s="32">
        <f t="shared" si="13"/>
        <v>1.7761009109589048</v>
      </c>
      <c r="AB14" s="41">
        <f>I5/H5</f>
        <v>3.1872769415988655E-2</v>
      </c>
      <c r="AC14" s="33">
        <f t="shared" ref="AC14:AC22" si="14">R5</f>
        <v>0.37196000000000001</v>
      </c>
      <c r="AD14" s="31">
        <f t="shared" ref="AD14:AD22" si="15">O19</f>
        <v>1.101162236333648</v>
      </c>
      <c r="AE14" s="32">
        <f t="shared" ref="AE14:AG22" si="16">S19</f>
        <v>8.1155105900000013</v>
      </c>
      <c r="AF14" s="32">
        <f t="shared" si="16"/>
        <v>0.48693063540000003</v>
      </c>
      <c r="AG14" s="32">
        <f t="shared" si="16"/>
        <v>1.1117137794520551</v>
      </c>
      <c r="AH14" s="41">
        <f>I19/H19</f>
        <v>4.8075962155820433E-2</v>
      </c>
      <c r="AI14" s="33">
        <f>R19</f>
        <v>0.35117999999999999</v>
      </c>
      <c r="AJ14" s="31">
        <f t="shared" ref="AJ14:AJ22" si="17">O33</f>
        <v>0.82587167725023602</v>
      </c>
      <c r="AK14" s="32">
        <f t="shared" ref="AK14:AM22" si="18">S33</f>
        <v>6.7799108300000004</v>
      </c>
      <c r="AL14" s="32">
        <f t="shared" si="18"/>
        <v>0.40679464980000002</v>
      </c>
      <c r="AM14" s="32">
        <f t="shared" si="18"/>
        <v>0.92875490821917817</v>
      </c>
      <c r="AN14" s="41">
        <f>I33/H33</f>
        <v>6.2334802123053888E-2</v>
      </c>
      <c r="AO14" s="33">
        <f>R33</f>
        <v>0.38040000000000002</v>
      </c>
      <c r="AP14" s="31">
        <f t="shared" ref="AP14:AP22" si="19">O47</f>
        <v>0.6606973418001888</v>
      </c>
      <c r="AQ14" s="32">
        <f t="shared" ref="AQ14:AS22" si="20">S47</f>
        <v>6.1399526099999999</v>
      </c>
      <c r="AR14" s="32">
        <f t="shared" si="20"/>
        <v>0.3683971566</v>
      </c>
      <c r="AS14" s="32">
        <f t="shared" si="20"/>
        <v>0.84108939863013699</v>
      </c>
      <c r="AT14" s="41">
        <f>I47/H47</f>
        <v>6.4438497351854973E-2</v>
      </c>
      <c r="AU14" s="33">
        <f>R47</f>
        <v>0.35611999999999999</v>
      </c>
      <c r="AV14" s="31">
        <f t="shared" ref="AV14:AV21" si="21">O61</f>
        <v>0.55058111816682398</v>
      </c>
      <c r="AW14" s="32">
        <f t="shared" ref="AW14:AY21" si="22">S61</f>
        <v>5.277572189999999</v>
      </c>
      <c r="AX14" s="32">
        <f t="shared" si="22"/>
        <v>0.31665433139999993</v>
      </c>
      <c r="AY14" s="32">
        <f t="shared" si="22"/>
        <v>0.72295509452054785</v>
      </c>
      <c r="AZ14" s="41">
        <f>I61/H61</f>
        <v>7.9508829987221849E-2</v>
      </c>
      <c r="BA14" s="33">
        <f>R61</f>
        <v>0.37769000000000003</v>
      </c>
      <c r="BB14" s="31">
        <f t="shared" ref="BB14:BB20" si="23">O75</f>
        <v>0.47192667271442051</v>
      </c>
      <c r="BC14" s="32">
        <f t="shared" ref="BC14:BE20" si="24">S75</f>
        <v>4.8175626400000002</v>
      </c>
      <c r="BD14" s="32">
        <f t="shared" si="24"/>
        <v>0.28905375840000003</v>
      </c>
      <c r="BE14" s="32">
        <f t="shared" si="24"/>
        <v>0.65994008767123291</v>
      </c>
      <c r="BF14" s="41">
        <f>I75/H75</f>
        <v>6.9567182628267804E-2</v>
      </c>
      <c r="BG14" s="33">
        <f>R75</f>
        <v>0.30165999999999998</v>
      </c>
      <c r="BH14" s="31">
        <f t="shared" ref="BH14:BH20" si="25">O89</f>
        <v>0.41293583862511801</v>
      </c>
      <c r="BI14" s="32">
        <f t="shared" ref="BI14:BK20" si="26">S89</f>
        <v>4.683631590000001</v>
      </c>
      <c r="BJ14" s="32">
        <f t="shared" si="26"/>
        <v>0.28101789540000005</v>
      </c>
      <c r="BK14" s="32">
        <f t="shared" si="26"/>
        <v>0.64159336849315085</v>
      </c>
      <c r="BL14" s="41">
        <f>I89/H89</f>
        <v>8.5124855005942079E-2</v>
      </c>
      <c r="BM14" s="33">
        <f>R89</f>
        <v>0.35886000000000001</v>
      </c>
      <c r="BN14" s="31">
        <f t="shared" ref="BN14:BN19" si="27">O103</f>
        <v>0.36705407877788265</v>
      </c>
      <c r="BO14" s="32">
        <f t="shared" ref="BO14:BQ19" si="28">S103</f>
        <v>4.44090031</v>
      </c>
      <c r="BP14" s="32">
        <f t="shared" si="28"/>
        <v>0.26645401860000001</v>
      </c>
      <c r="BQ14" s="32">
        <f t="shared" si="28"/>
        <v>0.60834250821917812</v>
      </c>
      <c r="BR14" s="41">
        <f>I103/H103</f>
        <v>8.3358142304257227E-2</v>
      </c>
      <c r="BS14" s="33">
        <f>R103</f>
        <v>0.3332</v>
      </c>
      <c r="BT14" s="31">
        <f t="shared" ref="BT14:BT19" si="29">O117</f>
        <v>0.3303486709000944</v>
      </c>
      <c r="BU14" s="32">
        <f t="shared" ref="BU14:BW19" si="30">S117</f>
        <v>4.3688075199999998</v>
      </c>
      <c r="BV14" s="32">
        <f t="shared" si="30"/>
        <v>0.2621284512</v>
      </c>
      <c r="BW14" s="32">
        <f t="shared" si="30"/>
        <v>0.59846678356164384</v>
      </c>
      <c r="BX14" s="41">
        <f>I117/H117</f>
        <v>7.7615758636123217E-2</v>
      </c>
      <c r="BY14" s="33">
        <f>R117</f>
        <v>0.30520999999999998</v>
      </c>
      <c r="BZ14" s="31">
        <f t="shared" ref="BZ14:BZ19" si="31">O131</f>
        <v>0.22023244726672961</v>
      </c>
      <c r="CA14" s="32">
        <f t="shared" ref="CA14:CC19" si="32">S131</f>
        <v>4.4986945300000016</v>
      </c>
      <c r="CB14" s="32">
        <f t="shared" si="32"/>
        <v>0.2699216718000001</v>
      </c>
      <c r="CC14" s="32">
        <f t="shared" si="32"/>
        <v>0.61625952465753453</v>
      </c>
      <c r="CD14" s="41">
        <f>I131/H131</f>
        <v>9.1140784791182511E-2</v>
      </c>
      <c r="CE14" s="33">
        <f>R131</f>
        <v>0.36904999999999999</v>
      </c>
      <c r="CF14" s="31">
        <f t="shared" ref="CF14:CF18" si="33">O145</f>
        <v>0.1651743354500472</v>
      </c>
      <c r="CG14" s="32">
        <f t="shared" ref="CG14:CI18" si="34">S145</f>
        <v>4.5657656000000006</v>
      </c>
      <c r="CH14" s="32">
        <f t="shared" si="34"/>
        <v>0.273945936</v>
      </c>
      <c r="CI14" s="32">
        <f t="shared" si="34"/>
        <v>0.62544734246575351</v>
      </c>
      <c r="CJ14" s="41">
        <f>I145/H145</f>
        <v>0.11456346116410357</v>
      </c>
      <c r="CK14" s="33">
        <f>R145</f>
        <v>0.47081000000000006</v>
      </c>
      <c r="CL14" s="31">
        <f t="shared" ref="CL14:CL18" si="35">O159</f>
        <v>0.13213946836003776</v>
      </c>
      <c r="CM14" s="32">
        <f t="shared" ref="CM14:CO18" si="36">S159</f>
        <v>4.8990878200000001</v>
      </c>
      <c r="CN14" s="32">
        <f t="shared" si="36"/>
        <v>0.29394526919999997</v>
      </c>
      <c r="CO14" s="32">
        <f t="shared" si="36"/>
        <v>0.67110792054794521</v>
      </c>
      <c r="CP14" s="41">
        <f>I159/H159</f>
        <v>0.12211936629460136</v>
      </c>
      <c r="CQ14" s="33">
        <f>R159</f>
        <v>0.53849999999999998</v>
      </c>
    </row>
    <row r="15" spans="2:95" ht="15" thickBot="1" x14ac:dyDescent="0.35">
      <c r="B15">
        <v>11</v>
      </c>
      <c r="C15">
        <v>0</v>
      </c>
      <c r="D15">
        <v>0</v>
      </c>
      <c r="E15">
        <v>0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5"/>
        <v>0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8.6420089236338371E-2</v>
      </c>
      <c r="P15" s="7">
        <v>21</v>
      </c>
      <c r="Q15" s="6">
        <f t="shared" si="7"/>
        <v>0</v>
      </c>
      <c r="R15" s="6">
        <f t="shared" si="7"/>
        <v>0</v>
      </c>
      <c r="S15" s="6">
        <f t="shared" si="8"/>
        <v>0</v>
      </c>
      <c r="T15" s="6">
        <f t="shared" si="9"/>
        <v>0</v>
      </c>
      <c r="U15" s="6">
        <f t="shared" si="10"/>
        <v>0</v>
      </c>
      <c r="V15" s="6">
        <f t="shared" si="4"/>
        <v>8.6420089236338371E-2</v>
      </c>
      <c r="X15" s="34">
        <f t="shared" si="12"/>
        <v>1.4651596484154552</v>
      </c>
      <c r="Y15" s="35">
        <f t="shared" si="13"/>
        <v>13.004477199999998</v>
      </c>
      <c r="Z15" s="35">
        <f t="shared" si="13"/>
        <v>0.78026863199999985</v>
      </c>
      <c r="AA15" s="35">
        <f t="shared" si="13"/>
        <v>1.7814352328767122</v>
      </c>
      <c r="AB15" s="42">
        <f t="shared" ref="AB15:AB22" si="37">I6/H6</f>
        <v>3.4745241431158806E-2</v>
      </c>
      <c r="AC15" s="36">
        <f t="shared" si="14"/>
        <v>0.40670000000000001</v>
      </c>
      <c r="AD15" s="34">
        <f t="shared" si="15"/>
        <v>0.97677309894363684</v>
      </c>
      <c r="AE15" s="35">
        <f t="shared" si="16"/>
        <v>7.9442610500000015</v>
      </c>
      <c r="AF15" s="35">
        <f t="shared" si="16"/>
        <v>0.47665566300000006</v>
      </c>
      <c r="AG15" s="35">
        <f t="shared" si="16"/>
        <v>1.0882549383561646</v>
      </c>
      <c r="AH15" s="42">
        <f t="shared" ref="AH15:AH22" si="38">I20/H20</f>
        <v>5.8285027025893103E-2</v>
      </c>
      <c r="AI15" s="36">
        <f t="shared" ref="AI15:AI22" si="39">R20</f>
        <v>0.41676999999999997</v>
      </c>
      <c r="AJ15" s="34">
        <f t="shared" si="17"/>
        <v>0.7325798242077276</v>
      </c>
      <c r="AK15" s="35">
        <f t="shared" si="18"/>
        <v>6.8150184300000003</v>
      </c>
      <c r="AL15" s="35">
        <f t="shared" si="18"/>
        <v>0.4089011058</v>
      </c>
      <c r="AM15" s="35">
        <f t="shared" si="18"/>
        <v>0.93356416849315071</v>
      </c>
      <c r="AN15" s="42">
        <f t="shared" ref="AN15:AN22" si="40">I34/H34</f>
        <v>6.0975232021492867E-2</v>
      </c>
      <c r="AO15" s="36">
        <f t="shared" ref="AO15:AO22" si="41">R34</f>
        <v>0.37403000000000003</v>
      </c>
      <c r="AP15" s="34">
        <f t="shared" si="19"/>
        <v>0.5860638593661821</v>
      </c>
      <c r="AQ15" s="35">
        <f t="shared" si="20"/>
        <v>5.8904997800000007</v>
      </c>
      <c r="AR15" s="35">
        <f t="shared" si="20"/>
        <v>0.35342998680000004</v>
      </c>
      <c r="AS15" s="35">
        <f t="shared" si="20"/>
        <v>0.80691777808219189</v>
      </c>
      <c r="AT15" s="42">
        <f t="shared" ref="AT15:AT22" si="42">I48/H48</f>
        <v>6.6744876442385678E-2</v>
      </c>
      <c r="AU15" s="36">
        <f t="shared" ref="AU15:AU21" si="43">R48</f>
        <v>0.35388000000000003</v>
      </c>
      <c r="AV15" s="34">
        <f t="shared" si="21"/>
        <v>0.48838654947181842</v>
      </c>
      <c r="AW15" s="35">
        <f t="shared" si="22"/>
        <v>5.3815284599999993</v>
      </c>
      <c r="AX15" s="35">
        <f t="shared" si="22"/>
        <v>0.32289170759999997</v>
      </c>
      <c r="AY15" s="35">
        <f t="shared" si="22"/>
        <v>0.73719567945205466</v>
      </c>
      <c r="AZ15" s="42">
        <f t="shared" ref="AZ15:AZ21" si="44">I62/H62</f>
        <v>7.4419987365448234E-2</v>
      </c>
      <c r="BA15" s="36">
        <f t="shared" ref="BA15:BA21" si="45">R62</f>
        <v>0.36048000000000002</v>
      </c>
      <c r="BB15" s="34">
        <f t="shared" si="23"/>
        <v>0.41861704240441577</v>
      </c>
      <c r="BC15" s="35">
        <f t="shared" si="24"/>
        <v>4.8979101599999995</v>
      </c>
      <c r="BD15" s="35">
        <f t="shared" si="24"/>
        <v>0.29387460959999995</v>
      </c>
      <c r="BE15" s="35">
        <f t="shared" si="24"/>
        <v>0.67094659726027395</v>
      </c>
      <c r="BF15" s="42">
        <f t="shared" ref="BF15:BF20" si="46">I76/H76</f>
        <v>6.4113905674415231E-2</v>
      </c>
      <c r="BG15" s="36">
        <f t="shared" ref="BG15:BG20" si="47">R76</f>
        <v>0.28265000000000001</v>
      </c>
      <c r="BH15" s="34">
        <f t="shared" si="25"/>
        <v>0.3662899121038638</v>
      </c>
      <c r="BI15" s="35">
        <f t="shared" si="26"/>
        <v>4.7112066100000005</v>
      </c>
      <c r="BJ15" s="35">
        <f t="shared" si="26"/>
        <v>0.28267239660000004</v>
      </c>
      <c r="BK15" s="35">
        <f t="shared" si="26"/>
        <v>0.64537076849315078</v>
      </c>
      <c r="BL15" s="42">
        <f t="shared" ref="BL15:BL20" si="48">I90/H90</f>
        <v>6.3157497565151349E-2</v>
      </c>
      <c r="BM15" s="36">
        <f t="shared" ref="BM15:BM20" si="49">R90</f>
        <v>0.26782</v>
      </c>
      <c r="BN15" s="34">
        <f t="shared" si="27"/>
        <v>0.32559103298121223</v>
      </c>
      <c r="BO15" s="35">
        <f t="shared" si="28"/>
        <v>4.2736725900000003</v>
      </c>
      <c r="BP15" s="35">
        <f t="shared" si="28"/>
        <v>0.25642035540000002</v>
      </c>
      <c r="BQ15" s="35">
        <f t="shared" si="28"/>
        <v>0.58543460136986303</v>
      </c>
      <c r="BR15" s="42">
        <f t="shared" ref="BR15:BR19" si="50">I104/H104</f>
        <v>6.6828884053562923E-2</v>
      </c>
      <c r="BS15" s="36">
        <f t="shared" ref="BS15:BS19" si="51">R104</f>
        <v>0.25706999999999997</v>
      </c>
      <c r="BT15" s="34">
        <f t="shared" si="29"/>
        <v>0.29303192968309105</v>
      </c>
      <c r="BU15" s="35">
        <f t="shared" si="30"/>
        <v>4.2832827399999998</v>
      </c>
      <c r="BV15" s="35">
        <f t="shared" si="30"/>
        <v>0.25699696439999997</v>
      </c>
      <c r="BW15" s="35">
        <f t="shared" si="30"/>
        <v>0.58675106027397261</v>
      </c>
      <c r="BX15" s="42">
        <f t="shared" ref="BX15:BX19" si="52">I118/H118</f>
        <v>8.0978590733891173E-2</v>
      </c>
      <c r="BY15" s="36">
        <f t="shared" ref="BY15:BY19" si="53">R118</f>
        <v>0.31219999999999998</v>
      </c>
      <c r="BZ15" s="34">
        <f t="shared" si="31"/>
        <v>0.19535461978872737</v>
      </c>
      <c r="CA15" s="35">
        <f t="shared" si="32"/>
        <v>4.3214455900000015</v>
      </c>
      <c r="CB15" s="35">
        <f t="shared" si="32"/>
        <v>0.25928673540000008</v>
      </c>
      <c r="CC15" s="35">
        <f t="shared" si="32"/>
        <v>0.59197884794520572</v>
      </c>
      <c r="CD15" s="42">
        <f t="shared" ref="CD15:CD19" si="54">I132/H132</f>
        <v>8.2942342448884085E-2</v>
      </c>
      <c r="CE15" s="36">
        <f t="shared" ref="CE15:CE19" si="55">R132</f>
        <v>0.32261999999999996</v>
      </c>
      <c r="CF15" s="34">
        <f t="shared" si="33"/>
        <v>0.14651596484154553</v>
      </c>
      <c r="CG15" s="35">
        <f t="shared" si="34"/>
        <v>4.5397459800000011</v>
      </c>
      <c r="CH15" s="35">
        <f t="shared" si="34"/>
        <v>0.27238475880000007</v>
      </c>
      <c r="CI15" s="35">
        <f t="shared" si="34"/>
        <v>0.6218830109589043</v>
      </c>
      <c r="CJ15" s="42">
        <f t="shared" ref="CJ15:CJ18" si="56">I146/H146</f>
        <v>8.9303457018535634E-2</v>
      </c>
      <c r="CK15" s="36">
        <f t="shared" ref="CK15:CK18" si="57">R146</f>
        <v>0.36491000000000001</v>
      </c>
      <c r="CL15" s="34">
        <f t="shared" si="35"/>
        <v>0.11721277187323641</v>
      </c>
      <c r="CM15" s="35">
        <f t="shared" si="36"/>
        <v>4.3969158199999994</v>
      </c>
      <c r="CN15" s="35">
        <f t="shared" si="36"/>
        <v>0.26381494919999993</v>
      </c>
      <c r="CO15" s="35">
        <f t="shared" si="36"/>
        <v>0.60231723561643824</v>
      </c>
      <c r="CP15" s="42">
        <f t="shared" ref="CP15:CP18" si="58">I160/H160</f>
        <v>0.11603185753053605</v>
      </c>
      <c r="CQ15" s="36">
        <f t="shared" ref="CQ15:CQ18" si="59">R160</f>
        <v>0.45921000000000006</v>
      </c>
    </row>
    <row r="16" spans="2:95" ht="15" thickTop="1" x14ac:dyDescent="0.3">
      <c r="X16" s="34">
        <f t="shared" si="12"/>
        <v>1.2639840228455843</v>
      </c>
      <c r="Y16" s="35">
        <f t="shared" si="13"/>
        <v>13.109688900000004</v>
      </c>
      <c r="Z16" s="35">
        <f t="shared" si="13"/>
        <v>0.78658133400000019</v>
      </c>
      <c r="AA16" s="35">
        <f t="shared" si="13"/>
        <v>1.7958477945205484</v>
      </c>
      <c r="AB16" s="42">
        <f t="shared" si="37"/>
        <v>3.0093475368435325E-2</v>
      </c>
      <c r="AC16" s="36">
        <f t="shared" si="14"/>
        <v>0.35510000000000003</v>
      </c>
      <c r="AD16" s="34">
        <f t="shared" si="15"/>
        <v>0.84265601523038958</v>
      </c>
      <c r="AE16" s="35">
        <f t="shared" si="16"/>
        <v>7.6696885100000003</v>
      </c>
      <c r="AF16" s="35">
        <f t="shared" si="16"/>
        <v>0.4601813106</v>
      </c>
      <c r="AG16" s="35">
        <f t="shared" si="16"/>
        <v>1.0506422616438358</v>
      </c>
      <c r="AH16" s="42">
        <f t="shared" si="38"/>
        <v>4.4747450897455028E-2</v>
      </c>
      <c r="AI16" s="36">
        <f t="shared" si="39"/>
        <v>0.30891000000000002</v>
      </c>
      <c r="AJ16" s="34">
        <f t="shared" si="17"/>
        <v>0.63199201142279215</v>
      </c>
      <c r="AK16" s="35">
        <f t="shared" si="18"/>
        <v>6.3224121399999991</v>
      </c>
      <c r="AL16" s="35">
        <f t="shared" si="18"/>
        <v>0.37934472839999994</v>
      </c>
      <c r="AM16" s="35">
        <f t="shared" si="18"/>
        <v>0.86608385479452044</v>
      </c>
      <c r="AN16" s="42">
        <f t="shared" si="40"/>
        <v>6.6397340240460831E-2</v>
      </c>
      <c r="AO16" s="36">
        <f t="shared" si="41"/>
        <v>0.37785000000000002</v>
      </c>
      <c r="AP16" s="34">
        <f t="shared" si="19"/>
        <v>0.5055936091382337</v>
      </c>
      <c r="AQ16" s="35">
        <f t="shared" si="20"/>
        <v>5.5214255800000007</v>
      </c>
      <c r="AR16" s="35">
        <f t="shared" si="20"/>
        <v>0.3312855348</v>
      </c>
      <c r="AS16" s="35">
        <f t="shared" si="20"/>
        <v>0.75635966849315084</v>
      </c>
      <c r="AT16" s="42">
        <f t="shared" si="42"/>
        <v>6.313559151511737E-2</v>
      </c>
      <c r="AU16" s="36">
        <f t="shared" si="43"/>
        <v>0.31376999999999999</v>
      </c>
      <c r="AV16" s="34">
        <f t="shared" si="21"/>
        <v>0.42132800761519479</v>
      </c>
      <c r="AW16" s="35">
        <f t="shared" si="22"/>
        <v>5.0250863300000006</v>
      </c>
      <c r="AX16" s="35">
        <f t="shared" si="22"/>
        <v>0.30150517980000002</v>
      </c>
      <c r="AY16" s="35">
        <f t="shared" si="22"/>
        <v>0.68836799041095897</v>
      </c>
      <c r="AZ16" s="42">
        <f t="shared" si="44"/>
        <v>6.9292045376661213E-2</v>
      </c>
      <c r="BA16" s="36">
        <f t="shared" si="45"/>
        <v>0.31340999999999997</v>
      </c>
      <c r="BB16" s="34">
        <f t="shared" si="23"/>
        <v>0.36113829224159555</v>
      </c>
      <c r="BC16" s="35">
        <f t="shared" si="24"/>
        <v>4.7845881599999993</v>
      </c>
      <c r="BD16" s="35">
        <f t="shared" si="24"/>
        <v>0.28707528959999995</v>
      </c>
      <c r="BE16" s="35">
        <f t="shared" si="24"/>
        <v>0.65542303561643833</v>
      </c>
      <c r="BF16" s="42">
        <f t="shared" si="46"/>
        <v>5.3738947094664896E-2</v>
      </c>
      <c r="BG16" s="36">
        <f t="shared" si="47"/>
        <v>0.23143000000000002</v>
      </c>
      <c r="BH16" s="34">
        <f t="shared" si="25"/>
        <v>0.31599600571139608</v>
      </c>
      <c r="BI16" s="35">
        <f t="shared" si="26"/>
        <v>4.4584763299999999</v>
      </c>
      <c r="BJ16" s="35">
        <f t="shared" si="26"/>
        <v>0.26750857979999998</v>
      </c>
      <c r="BK16" s="35">
        <f t="shared" si="26"/>
        <v>0.61075018219178079</v>
      </c>
      <c r="BL16" s="42">
        <f t="shared" si="48"/>
        <v>6.0403236457240543E-2</v>
      </c>
      <c r="BM16" s="36">
        <f t="shared" si="49"/>
        <v>0.2424</v>
      </c>
      <c r="BN16" s="34">
        <f t="shared" si="27"/>
        <v>0.28088533841012986</v>
      </c>
      <c r="BO16" s="35">
        <f t="shared" si="28"/>
        <v>4.3029696599999996</v>
      </c>
      <c r="BP16" s="35">
        <f t="shared" si="28"/>
        <v>0.25817817959999995</v>
      </c>
      <c r="BQ16" s="35">
        <f t="shared" si="28"/>
        <v>0.58944789863013691</v>
      </c>
      <c r="BR16" s="42">
        <f t="shared" si="50"/>
        <v>6.3353007699338507E-2</v>
      </c>
      <c r="BS16" s="36">
        <f t="shared" si="51"/>
        <v>0.24536999999999998</v>
      </c>
      <c r="BT16" s="34">
        <f t="shared" si="29"/>
        <v>0.25279680456911685</v>
      </c>
      <c r="BU16" s="35">
        <f t="shared" si="30"/>
        <v>4.1948138099999994</v>
      </c>
      <c r="BV16" s="35">
        <f t="shared" si="30"/>
        <v>0.25168882859999997</v>
      </c>
      <c r="BW16" s="35">
        <f t="shared" si="30"/>
        <v>0.57463202876712327</v>
      </c>
      <c r="BX16" s="42">
        <f t="shared" si="52"/>
        <v>8.1131760648990525E-2</v>
      </c>
      <c r="BY16" s="36">
        <f t="shared" si="53"/>
        <v>0.30632999999999999</v>
      </c>
      <c r="BZ16" s="34">
        <f t="shared" si="31"/>
        <v>0.16853120304607791</v>
      </c>
      <c r="CA16" s="35">
        <f t="shared" si="32"/>
        <v>4.5248141399999993</v>
      </c>
      <c r="CB16" s="35">
        <f t="shared" si="32"/>
        <v>0.27148884839999993</v>
      </c>
      <c r="CC16" s="35">
        <f t="shared" si="32"/>
        <v>0.61983755342465741</v>
      </c>
      <c r="CD16" s="42">
        <f t="shared" si="54"/>
        <v>7.9052431532580028E-2</v>
      </c>
      <c r="CE16" s="36">
        <f t="shared" si="55"/>
        <v>0.32195999999999997</v>
      </c>
      <c r="CF16" s="34">
        <f t="shared" si="33"/>
        <v>0.12639840228455843</v>
      </c>
      <c r="CG16" s="35">
        <f t="shared" si="34"/>
        <v>4.4758634800000001</v>
      </c>
      <c r="CH16" s="35">
        <f t="shared" si="34"/>
        <v>0.26855180880000001</v>
      </c>
      <c r="CI16" s="35">
        <f t="shared" si="34"/>
        <v>0.61313198356164389</v>
      </c>
      <c r="CJ16" s="42">
        <f t="shared" si="56"/>
        <v>9.1923409156348987E-2</v>
      </c>
      <c r="CK16" s="36">
        <f t="shared" si="57"/>
        <v>0.37032999999999999</v>
      </c>
      <c r="CL16" s="34">
        <f t="shared" si="35"/>
        <v>0.10111872182764675</v>
      </c>
      <c r="CM16" s="35">
        <f t="shared" si="36"/>
        <v>4.515692829999999</v>
      </c>
      <c r="CN16" s="35">
        <f t="shared" si="36"/>
        <v>0.27094156979999995</v>
      </c>
      <c r="CO16" s="35">
        <f t="shared" si="36"/>
        <v>0.61858805890410951</v>
      </c>
      <c r="CP16" s="42">
        <f t="shared" si="58"/>
        <v>0.10837907457934867</v>
      </c>
      <c r="CQ16" s="36">
        <f t="shared" si="59"/>
        <v>0.44051000000000001</v>
      </c>
    </row>
    <row r="17" spans="2:95" ht="15" thickBot="1" x14ac:dyDescent="0.35">
      <c r="X17" s="34">
        <f t="shared" si="12"/>
        <v>0.76556441682418974</v>
      </c>
      <c r="Y17" s="35">
        <f t="shared" si="13"/>
        <v>13.124676289999998</v>
      </c>
      <c r="Z17" s="35">
        <f t="shared" si="13"/>
        <v>0.78748057739999988</v>
      </c>
      <c r="AA17" s="35">
        <f t="shared" si="13"/>
        <v>1.7979008616438354</v>
      </c>
      <c r="AB17" s="42">
        <f t="shared" si="37"/>
        <v>1.3027589878942456E-2</v>
      </c>
      <c r="AC17" s="36">
        <f t="shared" si="14"/>
        <v>0.15390000000000001</v>
      </c>
      <c r="AD17" s="34">
        <f t="shared" si="15"/>
        <v>0.51037627788279316</v>
      </c>
      <c r="AE17" s="35">
        <f t="shared" si="16"/>
        <v>4.9035318200000004</v>
      </c>
      <c r="AF17" s="35">
        <f t="shared" si="16"/>
        <v>0.29421190920000001</v>
      </c>
      <c r="AG17" s="35">
        <f t="shared" si="16"/>
        <v>0.67171668767123294</v>
      </c>
      <c r="AH17" s="42">
        <f t="shared" si="38"/>
        <v>3.9035984067500147E-2</v>
      </c>
      <c r="AI17" s="36">
        <f t="shared" si="39"/>
        <v>0.17229</v>
      </c>
      <c r="AJ17" s="34">
        <f t="shared" si="17"/>
        <v>0.38278220841209487</v>
      </c>
      <c r="AK17" s="35">
        <f t="shared" si="18"/>
        <v>4.60482836</v>
      </c>
      <c r="AL17" s="35">
        <f t="shared" si="18"/>
        <v>0.27628970159999999</v>
      </c>
      <c r="AM17" s="35">
        <f t="shared" si="18"/>
        <v>0.6307984054794521</v>
      </c>
      <c r="AN17" s="42">
        <f t="shared" si="40"/>
        <v>3.8530578368831975E-2</v>
      </c>
      <c r="AO17" s="36">
        <f t="shared" si="41"/>
        <v>0.15970000000000001</v>
      </c>
      <c r="AP17" s="34">
        <f t="shared" si="19"/>
        <v>0.30622576672967589</v>
      </c>
      <c r="AQ17" s="35">
        <f t="shared" si="20"/>
        <v>3.5651545600000007</v>
      </c>
      <c r="AR17" s="35">
        <f t="shared" si="20"/>
        <v>0.21390927360000003</v>
      </c>
      <c r="AS17" s="35">
        <f t="shared" si="20"/>
        <v>0.48837733698630148</v>
      </c>
      <c r="AT17" s="42">
        <f t="shared" si="42"/>
        <v>5.3481501794974073E-2</v>
      </c>
      <c r="AU17" s="36">
        <f t="shared" si="43"/>
        <v>0.17161999999999999</v>
      </c>
      <c r="AV17" s="34">
        <f t="shared" si="21"/>
        <v>0.25518813894139658</v>
      </c>
      <c r="AW17" s="35">
        <f t="shared" si="22"/>
        <v>3.6628670100000007</v>
      </c>
      <c r="AX17" s="35">
        <f t="shared" si="22"/>
        <v>0.21977202060000003</v>
      </c>
      <c r="AY17" s="35">
        <f t="shared" si="22"/>
        <v>0.50176260410958917</v>
      </c>
      <c r="AZ17" s="42">
        <f t="shared" si="44"/>
        <v>3.3494999863508554E-2</v>
      </c>
      <c r="BA17" s="36">
        <f t="shared" si="45"/>
        <v>0.11043</v>
      </c>
      <c r="BB17" s="34">
        <f t="shared" si="23"/>
        <v>0.21873269052119707</v>
      </c>
      <c r="BC17" s="35">
        <f t="shared" si="24"/>
        <v>3.4914397100000008</v>
      </c>
      <c r="BD17" s="35">
        <f t="shared" si="24"/>
        <v>0.20948638260000005</v>
      </c>
      <c r="BE17" s="35">
        <f t="shared" si="24"/>
        <v>0.47827941232876725</v>
      </c>
      <c r="BF17" s="42">
        <f t="shared" si="46"/>
        <v>3.2266173658201301E-2</v>
      </c>
      <c r="BG17" s="36">
        <f t="shared" si="47"/>
        <v>0.1014</v>
      </c>
      <c r="BH17" s="34">
        <f t="shared" si="25"/>
        <v>0.19139110420604744</v>
      </c>
      <c r="BI17" s="35">
        <f t="shared" si="26"/>
        <v>3.2320323199999992</v>
      </c>
      <c r="BJ17" s="35">
        <f t="shared" si="26"/>
        <v>0.19392193919999995</v>
      </c>
      <c r="BK17" s="35">
        <f t="shared" si="26"/>
        <v>0.44274415342465745</v>
      </c>
      <c r="BL17" s="42">
        <f t="shared" si="48"/>
        <v>6.503684963150369E-2</v>
      </c>
      <c r="BM17" s="36">
        <f t="shared" si="49"/>
        <v>0.18920000000000001</v>
      </c>
      <c r="BN17" s="34">
        <f t="shared" si="27"/>
        <v>0.17012542596093105</v>
      </c>
      <c r="BO17" s="35">
        <f t="shared" si="28"/>
        <v>3.1674498899999994</v>
      </c>
      <c r="BP17" s="35">
        <f t="shared" si="28"/>
        <v>0.19004699339999995</v>
      </c>
      <c r="BQ17" s="35">
        <f t="shared" si="28"/>
        <v>0.4338972452054794</v>
      </c>
      <c r="BR17" s="42">
        <f t="shared" si="50"/>
        <v>6.5373782440485598E-2</v>
      </c>
      <c r="BS17" s="36">
        <f t="shared" si="51"/>
        <v>0.18637999999999999</v>
      </c>
      <c r="BT17" s="34">
        <f t="shared" si="29"/>
        <v>0.15311288336483794</v>
      </c>
      <c r="BU17" s="35">
        <f t="shared" si="30"/>
        <v>2.8863668899999997</v>
      </c>
      <c r="BV17" s="35">
        <f t="shared" si="30"/>
        <v>0.17318201339999997</v>
      </c>
      <c r="BW17" s="35">
        <f t="shared" si="30"/>
        <v>0.39539272465753422</v>
      </c>
      <c r="BX17" s="42">
        <f t="shared" si="52"/>
        <v>0.10587030742997472</v>
      </c>
      <c r="BY17" s="36">
        <f t="shared" si="53"/>
        <v>0.27505000000000002</v>
      </c>
      <c r="BZ17" s="34">
        <f t="shared" si="31"/>
        <v>0.10207525557655862</v>
      </c>
      <c r="CA17" s="35">
        <f t="shared" si="32"/>
        <v>3.6174382199999999</v>
      </c>
      <c r="CB17" s="35">
        <f t="shared" si="32"/>
        <v>0.21704629319999999</v>
      </c>
      <c r="CC17" s="35">
        <f t="shared" si="32"/>
        <v>0.49553948219178084</v>
      </c>
      <c r="CD17" s="42">
        <f t="shared" si="54"/>
        <v>7.5583073814042931E-2</v>
      </c>
      <c r="CE17" s="36">
        <f t="shared" si="55"/>
        <v>0.24610000000000001</v>
      </c>
      <c r="CF17" s="34">
        <f t="shared" si="33"/>
        <v>7.6556441682418971E-2</v>
      </c>
      <c r="CG17" s="35">
        <f t="shared" si="34"/>
        <v>3.1257873900000002</v>
      </c>
      <c r="CH17" s="35">
        <f t="shared" si="34"/>
        <v>0.18754724340000001</v>
      </c>
      <c r="CI17" s="35">
        <f t="shared" si="34"/>
        <v>0.42819005342465755</v>
      </c>
      <c r="CJ17" s="42">
        <f t="shared" si="56"/>
        <v>0.12218632374737426</v>
      </c>
      <c r="CK17" s="36">
        <f t="shared" si="57"/>
        <v>0.34376999999999996</v>
      </c>
      <c r="CL17" s="34">
        <f t="shared" si="35"/>
        <v>6.1245153345935173E-2</v>
      </c>
      <c r="CM17" s="35">
        <f t="shared" si="36"/>
        <v>2.1185881200000001</v>
      </c>
      <c r="CN17" s="35">
        <f t="shared" si="36"/>
        <v>0.12711528720000001</v>
      </c>
      <c r="CO17" s="35">
        <f t="shared" si="36"/>
        <v>0.29021755068493155</v>
      </c>
      <c r="CP17" s="42">
        <f t="shared" si="58"/>
        <v>0.2320600759339668</v>
      </c>
      <c r="CQ17" s="36">
        <f t="shared" si="59"/>
        <v>0.44251999999999997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0.55332190013679428</v>
      </c>
      <c r="Y18" s="35">
        <f t="shared" si="13"/>
        <v>12.879034189999999</v>
      </c>
      <c r="Z18" s="35">
        <f t="shared" si="13"/>
        <v>0.77274205139999985</v>
      </c>
      <c r="AA18" s="35">
        <f t="shared" si="13"/>
        <v>1.7642512589041095</v>
      </c>
      <c r="AB18" s="42">
        <f t="shared" si="37"/>
        <v>1.7101021454777269E-2</v>
      </c>
      <c r="AC18" s="36">
        <f t="shared" si="14"/>
        <v>0.19824</v>
      </c>
      <c r="AD18" s="34">
        <f t="shared" si="15"/>
        <v>0.36888126675786287</v>
      </c>
      <c r="AE18" s="35">
        <f t="shared" si="16"/>
        <v>4.4360896800000011</v>
      </c>
      <c r="AF18" s="35">
        <f t="shared" si="16"/>
        <v>0.26616538080000007</v>
      </c>
      <c r="AG18" s="35">
        <f t="shared" si="16"/>
        <v>0.60768351780821939</v>
      </c>
      <c r="AH18" s="42">
        <f t="shared" si="38"/>
        <v>2.0313658311794994E-2</v>
      </c>
      <c r="AI18" s="36">
        <f t="shared" si="39"/>
        <v>8.1110000000000002E-2</v>
      </c>
      <c r="AJ18" s="34">
        <f t="shared" si="17"/>
        <v>0.27666095006839714</v>
      </c>
      <c r="AK18" s="35">
        <f t="shared" si="18"/>
        <v>3.6745991700000009</v>
      </c>
      <c r="AL18" s="35">
        <f t="shared" si="18"/>
        <v>0.22047595020000005</v>
      </c>
      <c r="AM18" s="35">
        <f t="shared" si="18"/>
        <v>0.50336974931506862</v>
      </c>
      <c r="AN18" s="42">
        <f t="shared" si="40"/>
        <v>2.2579191950342706E-2</v>
      </c>
      <c r="AO18" s="36">
        <f t="shared" si="41"/>
        <v>7.4679999999999996E-2</v>
      </c>
      <c r="AP18" s="34">
        <f t="shared" si="19"/>
        <v>0.22132876005471769</v>
      </c>
      <c r="AQ18" s="35">
        <f t="shared" si="20"/>
        <v>3.4701307300000006</v>
      </c>
      <c r="AR18" s="35">
        <f t="shared" si="20"/>
        <v>0.20820784380000004</v>
      </c>
      <c r="AS18" s="35">
        <f t="shared" si="20"/>
        <v>0.47536037397260283</v>
      </c>
      <c r="AT18" s="42">
        <f t="shared" si="42"/>
        <v>1.7929007533384771E-2</v>
      </c>
      <c r="AU18" s="36">
        <f t="shared" si="43"/>
        <v>5.6000000000000001E-2</v>
      </c>
      <c r="AV18" s="34">
        <f t="shared" si="21"/>
        <v>0.18444063337893143</v>
      </c>
      <c r="AW18" s="35">
        <f t="shared" si="22"/>
        <v>3.1337199299999994</v>
      </c>
      <c r="AX18" s="35">
        <f t="shared" si="22"/>
        <v>0.18802319579999996</v>
      </c>
      <c r="AY18" s="35">
        <f t="shared" si="22"/>
        <v>0.42927670273972596</v>
      </c>
      <c r="AZ18" s="42">
        <f t="shared" si="44"/>
        <v>2.4125815863831841E-2</v>
      </c>
      <c r="BA18" s="36">
        <f t="shared" si="45"/>
        <v>6.8049999999999999E-2</v>
      </c>
      <c r="BB18" s="34">
        <f t="shared" si="23"/>
        <v>0.1580919714676555</v>
      </c>
      <c r="BC18" s="35">
        <f t="shared" si="24"/>
        <v>3.015254000000001</v>
      </c>
      <c r="BD18" s="35">
        <f t="shared" si="24"/>
        <v>0.18091524000000006</v>
      </c>
      <c r="BE18" s="35">
        <f t="shared" si="24"/>
        <v>0.41304849315068509</v>
      </c>
      <c r="BF18" s="42">
        <f t="shared" si="46"/>
        <v>5.0335298452468667E-2</v>
      </c>
      <c r="BG18" s="36">
        <f t="shared" si="47"/>
        <v>0.13660999999999998</v>
      </c>
      <c r="BH18" s="34">
        <f t="shared" si="25"/>
        <v>0.13833047503419857</v>
      </c>
      <c r="BI18" s="35">
        <f t="shared" si="26"/>
        <v>3.3137463700000009</v>
      </c>
      <c r="BJ18" s="35">
        <f t="shared" si="26"/>
        <v>0.19882478220000005</v>
      </c>
      <c r="BK18" s="35">
        <f t="shared" si="26"/>
        <v>0.4539378589041097</v>
      </c>
      <c r="BL18" s="42">
        <f t="shared" si="48"/>
        <v>3.0556514800497533E-2</v>
      </c>
      <c r="BM18" s="36">
        <f t="shared" si="49"/>
        <v>9.1139999999999999E-2</v>
      </c>
      <c r="BN18" s="34">
        <f t="shared" si="27"/>
        <v>0.12296042225262094</v>
      </c>
      <c r="BO18" s="35">
        <f t="shared" si="28"/>
        <v>2.8419157799999999</v>
      </c>
      <c r="BP18" s="35">
        <f t="shared" si="28"/>
        <v>0.17051494679999998</v>
      </c>
      <c r="BQ18" s="35">
        <f t="shared" si="28"/>
        <v>0.38930353150684932</v>
      </c>
      <c r="BR18" s="42">
        <f t="shared" si="50"/>
        <v>2.419487251659513E-2</v>
      </c>
      <c r="BS18" s="36">
        <f t="shared" si="51"/>
        <v>6.1890000000000001E-2</v>
      </c>
      <c r="BT18" s="34">
        <f t="shared" si="29"/>
        <v>0.11066438002735884</v>
      </c>
      <c r="BU18" s="35">
        <f t="shared" si="30"/>
        <v>2.6681998199999999</v>
      </c>
      <c r="BV18" s="35">
        <f t="shared" si="30"/>
        <v>0.16009198919999998</v>
      </c>
      <c r="BW18" s="35">
        <f t="shared" si="30"/>
        <v>0.36550682465753426</v>
      </c>
      <c r="BX18" s="42">
        <f t="shared" si="52"/>
        <v>3.0200448030912461E-2</v>
      </c>
      <c r="BY18" s="36">
        <f t="shared" si="53"/>
        <v>7.2529999999999997E-2</v>
      </c>
      <c r="BZ18" s="34">
        <f t="shared" si="31"/>
        <v>7.3776253351572563E-2</v>
      </c>
      <c r="CA18" s="35">
        <f t="shared" si="32"/>
        <v>2.2761723600000003</v>
      </c>
      <c r="CB18" s="35">
        <f t="shared" si="32"/>
        <v>0.13657034160000001</v>
      </c>
      <c r="CC18" s="35">
        <f t="shared" si="32"/>
        <v>0.31180443287671239</v>
      </c>
      <c r="CD18" s="42">
        <f t="shared" si="54"/>
        <v>0.22329604248423435</v>
      </c>
      <c r="CE18" s="36">
        <f t="shared" si="55"/>
        <v>0.45748</v>
      </c>
      <c r="CF18" s="34">
        <f t="shared" si="33"/>
        <v>5.5332190013679422E-2</v>
      </c>
      <c r="CG18" s="35">
        <f t="shared" si="34"/>
        <v>1.6257707400000001</v>
      </c>
      <c r="CH18" s="35">
        <f t="shared" si="34"/>
        <v>9.754624440000001E-2</v>
      </c>
      <c r="CI18" s="35">
        <f t="shared" si="34"/>
        <v>0.22270832054794523</v>
      </c>
      <c r="CJ18" s="42">
        <f t="shared" si="56"/>
        <v>4.7371082591878853E-2</v>
      </c>
      <c r="CK18" s="36">
        <f t="shared" si="57"/>
        <v>6.9320000000000007E-2</v>
      </c>
      <c r="CL18" s="34">
        <f t="shared" si="35"/>
        <v>4.4265752010943543E-2</v>
      </c>
      <c r="CM18" s="35">
        <f t="shared" si="36"/>
        <v>0.82603961000000026</v>
      </c>
      <c r="CN18" s="35">
        <f t="shared" si="36"/>
        <v>4.9562376600000013E-2</v>
      </c>
      <c r="CO18" s="35">
        <f t="shared" si="36"/>
        <v>0.11315611095890414</v>
      </c>
      <c r="CP18" s="42">
        <f t="shared" si="58"/>
        <v>9.937862301784775E-2</v>
      </c>
      <c r="CQ18" s="36">
        <f t="shared" si="59"/>
        <v>7.3888999999999996E-2</v>
      </c>
    </row>
    <row r="19" spans="2:95" ht="15" thickTop="1" x14ac:dyDescent="0.3">
      <c r="B19">
        <v>1</v>
      </c>
      <c r="C19">
        <v>-116.3</v>
      </c>
      <c r="D19">
        <v>72930.600000000006</v>
      </c>
      <c r="E19">
        <v>3511.8</v>
      </c>
      <c r="F19">
        <f t="shared" ref="F19:F29" si="60">D19/10000</f>
        <v>7.2930600000000005</v>
      </c>
      <c r="G19">
        <f t="shared" ref="G19:G29" si="61">C19/10000</f>
        <v>-1.163E-2</v>
      </c>
      <c r="H19">
        <f t="shared" ref="H19:H29" si="62">F19-G19</f>
        <v>7.3046900000000008</v>
      </c>
      <c r="I19">
        <f>E19/10000</f>
        <v>0.35117999999999999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1.101162236333648</v>
      </c>
      <c r="P19" s="2">
        <v>3</v>
      </c>
      <c r="Q19" s="8">
        <f>H19</f>
        <v>7.3046900000000008</v>
      </c>
      <c r="R19" s="8">
        <f>I19</f>
        <v>0.35117999999999999</v>
      </c>
      <c r="S19" s="8">
        <f>Q19/10^6*$Z$4*$Z$3/P19*10^12</f>
        <v>8.1155105900000013</v>
      </c>
      <c r="T19" s="8">
        <f>S19*0.06</f>
        <v>0.48693063540000003</v>
      </c>
      <c r="U19" s="8">
        <f>S19/$Z$1</f>
        <v>1.1117137794520551</v>
      </c>
      <c r="V19" s="12">
        <f t="shared" ref="V19:V29" si="63">O19</f>
        <v>1.101162236333648</v>
      </c>
      <c r="W19" s="19"/>
      <c r="X19" s="34">
        <f t="shared" si="12"/>
        <v>0.38300530434979718</v>
      </c>
      <c r="Y19" s="35">
        <f t="shared" si="13"/>
        <v>8.741484097499999</v>
      </c>
      <c r="Z19" s="35">
        <f t="shared" si="13"/>
        <v>0.52448904584999989</v>
      </c>
      <c r="AA19" s="35">
        <f t="shared" si="13"/>
        <v>1.197463575</v>
      </c>
      <c r="AB19" s="42">
        <f t="shared" si="37"/>
        <v>1.1681630528757019E-2</v>
      </c>
      <c r="AC19" s="36">
        <f t="shared" si="14"/>
        <v>0.12255000000000001</v>
      </c>
      <c r="AD19" s="34">
        <f t="shared" si="15"/>
        <v>0.25533686956653145</v>
      </c>
      <c r="AE19" s="35">
        <f t="shared" si="16"/>
        <v>3.9487384199999997</v>
      </c>
      <c r="AF19" s="35">
        <f t="shared" si="16"/>
        <v>0.23692430519999996</v>
      </c>
      <c r="AG19" s="35">
        <f t="shared" si="16"/>
        <v>0.54092307123287664</v>
      </c>
      <c r="AH19" s="42">
        <f t="shared" si="38"/>
        <v>1.4669885375694245E-2</v>
      </c>
      <c r="AI19" s="36">
        <f t="shared" si="39"/>
        <v>6.9519999999999998E-2</v>
      </c>
      <c r="AJ19" s="34">
        <f t="shared" si="17"/>
        <v>0.19150265217489859</v>
      </c>
      <c r="AK19" s="35">
        <f t="shared" si="18"/>
        <v>3.2873878950000002</v>
      </c>
      <c r="AL19" s="35">
        <f t="shared" si="18"/>
        <v>0.1972432737</v>
      </c>
      <c r="AM19" s="35">
        <f t="shared" si="18"/>
        <v>0.4503271089041096</v>
      </c>
      <c r="AN19" s="42">
        <f t="shared" si="40"/>
        <v>1.9651429817046279E-2</v>
      </c>
      <c r="AO19" s="36">
        <f t="shared" si="41"/>
        <v>7.7530000000000002E-2</v>
      </c>
      <c r="AP19" s="34">
        <f t="shared" si="19"/>
        <v>0.15320212173991887</v>
      </c>
      <c r="AQ19" s="35">
        <f t="shared" si="20"/>
        <v>2.7493667025000001</v>
      </c>
      <c r="AR19" s="35">
        <f t="shared" si="20"/>
        <v>0.16496200215000001</v>
      </c>
      <c r="AS19" s="35">
        <f t="shared" si="20"/>
        <v>0.37662557568493155</v>
      </c>
      <c r="AT19" s="42">
        <f t="shared" si="42"/>
        <v>4.3105616792491148E-2</v>
      </c>
      <c r="AU19" s="36">
        <f t="shared" si="43"/>
        <v>0.14223</v>
      </c>
      <c r="AV19" s="34">
        <f t="shared" si="21"/>
        <v>0.12766843478326573</v>
      </c>
      <c r="AW19" s="35">
        <f t="shared" si="22"/>
        <v>2.8864613249999995</v>
      </c>
      <c r="AX19" s="35">
        <f t="shared" si="22"/>
        <v>0.17318767949999997</v>
      </c>
      <c r="AY19" s="35">
        <f t="shared" si="22"/>
        <v>0.39540566095890406</v>
      </c>
      <c r="AZ19" s="42">
        <f t="shared" si="44"/>
        <v>2.3567448976646178E-2</v>
      </c>
      <c r="BA19" s="36">
        <f t="shared" si="45"/>
        <v>8.1640000000000004E-2</v>
      </c>
      <c r="BB19" s="34">
        <f t="shared" si="23"/>
        <v>0.10943008695708491</v>
      </c>
      <c r="BC19" s="35">
        <f t="shared" si="24"/>
        <v>2.7258023924999999</v>
      </c>
      <c r="BD19" s="35">
        <f t="shared" si="24"/>
        <v>0.16354814355</v>
      </c>
      <c r="BE19" s="35">
        <f t="shared" si="24"/>
        <v>0.3733975880136986</v>
      </c>
      <c r="BF19" s="42">
        <f t="shared" si="46"/>
        <v>2.8398582822067135E-2</v>
      </c>
      <c r="BG19" s="36">
        <f t="shared" si="47"/>
        <v>9.2899999999999996E-2</v>
      </c>
      <c r="BH19" s="34">
        <f t="shared" si="25"/>
        <v>9.5751326087449296E-2</v>
      </c>
      <c r="BI19" s="35">
        <f t="shared" si="26"/>
        <v>2.5584357975000001</v>
      </c>
      <c r="BJ19" s="35">
        <f t="shared" si="26"/>
        <v>0.15350614785</v>
      </c>
      <c r="BK19" s="35">
        <f t="shared" si="26"/>
        <v>0.35047065719178083</v>
      </c>
      <c r="BL19" s="42">
        <f t="shared" si="48"/>
        <v>1.637555651814241E-2</v>
      </c>
      <c r="BM19" s="36">
        <f t="shared" si="49"/>
        <v>5.0279999999999998E-2</v>
      </c>
      <c r="BN19" s="34">
        <f t="shared" si="27"/>
        <v>8.511228985551049E-2</v>
      </c>
      <c r="BO19" s="35">
        <f t="shared" si="28"/>
        <v>2.2541328974999995</v>
      </c>
      <c r="BP19" s="35">
        <f t="shared" si="28"/>
        <v>0.13524797384999995</v>
      </c>
      <c r="BQ19" s="35">
        <f t="shared" si="28"/>
        <v>0.30878532842465745</v>
      </c>
      <c r="BR19" s="42">
        <f t="shared" si="50"/>
        <v>1.9203542767158435E-2</v>
      </c>
      <c r="BS19" s="36">
        <f t="shared" si="51"/>
        <v>5.1950000000000003E-2</v>
      </c>
      <c r="BT19" s="34">
        <f t="shared" si="29"/>
        <v>7.6601060869959436E-2</v>
      </c>
      <c r="BU19" s="35">
        <f t="shared" si="30"/>
        <v>2.0565359925000002</v>
      </c>
      <c r="BV19" s="35">
        <f t="shared" si="30"/>
        <v>0.12339215955000001</v>
      </c>
      <c r="BW19" s="35">
        <f t="shared" si="30"/>
        <v>0.28171725924657537</v>
      </c>
      <c r="BX19" s="42">
        <f t="shared" si="52"/>
        <v>2.0432804314267309E-2</v>
      </c>
      <c r="BY19" s="36">
        <f t="shared" si="53"/>
        <v>5.0430000000000003E-2</v>
      </c>
      <c r="BZ19" s="34">
        <f t="shared" si="31"/>
        <v>5.1067373913306291E-2</v>
      </c>
      <c r="CA19" s="35">
        <f t="shared" si="32"/>
        <v>1.0102406325000002</v>
      </c>
      <c r="CB19" s="35">
        <f t="shared" si="32"/>
        <v>6.0614437950000009E-2</v>
      </c>
      <c r="CC19" s="35">
        <f t="shared" si="32"/>
        <v>0.13838912773972606</v>
      </c>
      <c r="CD19" s="42">
        <f t="shared" si="54"/>
        <v>0.17232619328444995</v>
      </c>
      <c r="CE19" s="36">
        <f t="shared" si="55"/>
        <v>0.20893</v>
      </c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5669</v>
      </c>
      <c r="D20">
        <v>77174.5</v>
      </c>
      <c r="E20">
        <v>4167.7</v>
      </c>
      <c r="F20">
        <f t="shared" si="60"/>
        <v>7.7174500000000004</v>
      </c>
      <c r="G20">
        <f t="shared" si="61"/>
        <v>0.56689999999999996</v>
      </c>
      <c r="H20">
        <f t="shared" si="62"/>
        <v>7.1505500000000008</v>
      </c>
      <c r="I20">
        <f t="shared" ref="I20:I29" si="64">E20/10000</f>
        <v>0.41676999999999997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0.97677309894363684</v>
      </c>
      <c r="P20" s="4">
        <v>3</v>
      </c>
      <c r="Q20" s="5">
        <f t="shared" ref="Q20:R29" si="67">H20</f>
        <v>7.1505500000000008</v>
      </c>
      <c r="R20" s="5">
        <f t="shared" si="67"/>
        <v>0.41676999999999997</v>
      </c>
      <c r="S20" s="5">
        <f t="shared" ref="S20:S29" si="68">Q20/10^6*$Z$4*$Z$3/P20*10^12</f>
        <v>7.9442610500000015</v>
      </c>
      <c r="T20" s="5">
        <f t="shared" ref="T20:T29" si="69">S20*0.06</f>
        <v>0.47665566300000006</v>
      </c>
      <c r="U20" s="5">
        <f t="shared" ref="U20:U29" si="70">S20/$Z$1</f>
        <v>1.0882549383561646</v>
      </c>
      <c r="V20" s="5">
        <f t="shared" si="63"/>
        <v>0.97677309894363684</v>
      </c>
      <c r="W20" s="19"/>
      <c r="X20" s="34">
        <f t="shared" si="12"/>
        <v>0.27688071320084778</v>
      </c>
      <c r="Y20" s="35">
        <f t="shared" si="13"/>
        <v>5.7159700124999997</v>
      </c>
      <c r="Z20" s="35">
        <f t="shared" si="13"/>
        <v>0.34295820074999994</v>
      </c>
      <c r="AA20" s="35">
        <f t="shared" si="13"/>
        <v>0.78300959075342469</v>
      </c>
      <c r="AB20" s="42">
        <f t="shared" si="37"/>
        <v>4.164376772086853E-2</v>
      </c>
      <c r="AC20" s="36">
        <f t="shared" si="14"/>
        <v>0.28566999999999998</v>
      </c>
      <c r="AD20" s="34">
        <f t="shared" si="15"/>
        <v>0.18458714213389851</v>
      </c>
      <c r="AE20" s="35">
        <f t="shared" si="16"/>
        <v>3.8842032075000001</v>
      </c>
      <c r="AF20" s="35">
        <f t="shared" si="16"/>
        <v>0.23305219245</v>
      </c>
      <c r="AG20" s="35">
        <f t="shared" si="16"/>
        <v>0.53208263116438359</v>
      </c>
      <c r="AH20" s="42">
        <f t="shared" si="38"/>
        <v>2.4444868722795832E-2</v>
      </c>
      <c r="AI20" s="36">
        <f t="shared" si="39"/>
        <v>0.11395</v>
      </c>
      <c r="AJ20" s="34">
        <f t="shared" si="17"/>
        <v>0.13844035660042389</v>
      </c>
      <c r="AK20" s="35">
        <f t="shared" si="18"/>
        <v>2.7431756550000004</v>
      </c>
      <c r="AL20" s="35">
        <f t="shared" si="18"/>
        <v>0.1645905393</v>
      </c>
      <c r="AM20" s="35">
        <f t="shared" si="18"/>
        <v>0.37577748698630142</v>
      </c>
      <c r="AN20" s="42">
        <f t="shared" si="40"/>
        <v>2.9485380330119618E-2</v>
      </c>
      <c r="AO20" s="36">
        <f t="shared" si="41"/>
        <v>9.7070000000000004E-2</v>
      </c>
      <c r="AP20" s="34">
        <f t="shared" si="19"/>
        <v>0.11075228528033911</v>
      </c>
      <c r="AQ20" s="35">
        <f t="shared" si="20"/>
        <v>2.1080308424999998</v>
      </c>
      <c r="AR20" s="35">
        <f t="shared" si="20"/>
        <v>0.12648185055</v>
      </c>
      <c r="AS20" s="35">
        <f t="shared" si="20"/>
        <v>0.2887713482876712</v>
      </c>
      <c r="AT20" s="42">
        <f t="shared" si="42"/>
        <v>2.1119495314025509E-2</v>
      </c>
      <c r="AU20" s="36">
        <f t="shared" si="43"/>
        <v>5.3429999999999998E-2</v>
      </c>
      <c r="AV20" s="34">
        <f t="shared" si="21"/>
        <v>9.2293571066949256E-2</v>
      </c>
      <c r="AW20" s="35">
        <f t="shared" si="22"/>
        <v>1.5105822600000001</v>
      </c>
      <c r="AX20" s="35">
        <f t="shared" si="22"/>
        <v>9.0634935599999994E-2</v>
      </c>
      <c r="AY20" s="35">
        <f t="shared" si="22"/>
        <v>0.20692907671232877</v>
      </c>
      <c r="AZ20" s="42">
        <f t="shared" si="44"/>
        <v>9.8859273641939915E-2</v>
      </c>
      <c r="BA20" s="36">
        <f t="shared" si="45"/>
        <v>0.17922000000000002</v>
      </c>
      <c r="BB20" s="34">
        <f t="shared" si="23"/>
        <v>7.9108775200242218E-2</v>
      </c>
      <c r="BC20" s="35">
        <f t="shared" si="24"/>
        <v>0.71155383750000023</v>
      </c>
      <c r="BD20" s="35">
        <f t="shared" si="24"/>
        <v>4.2693230250000012E-2</v>
      </c>
      <c r="BE20" s="35">
        <f t="shared" si="24"/>
        <v>9.7473128424657565E-2</v>
      </c>
      <c r="BF20" s="42">
        <f t="shared" si="46"/>
        <v>0.34438784472158784</v>
      </c>
      <c r="BG20" s="36">
        <f t="shared" si="47"/>
        <v>0.29409000000000002</v>
      </c>
      <c r="BH20" s="34">
        <f t="shared" si="25"/>
        <v>6.9220178300211946E-2</v>
      </c>
      <c r="BI20" s="35">
        <f t="shared" si="26"/>
        <v>0.5056744274999998</v>
      </c>
      <c r="BJ20" s="35">
        <f t="shared" si="26"/>
        <v>3.0340465649999988E-2</v>
      </c>
      <c r="BK20" s="35">
        <f t="shared" si="26"/>
        <v>6.9270469520547925E-2</v>
      </c>
      <c r="BL20" s="42">
        <f t="shared" si="48"/>
        <v>0.35645195840954413</v>
      </c>
      <c r="BM20" s="36">
        <f t="shared" si="49"/>
        <v>0.21631999999999998</v>
      </c>
      <c r="BN20" s="34"/>
      <c r="BO20" s="35"/>
      <c r="BP20" s="35"/>
      <c r="BQ20" s="35"/>
      <c r="BR20" s="42"/>
      <c r="BS20" s="36"/>
      <c r="BT20" s="34"/>
      <c r="BU20" s="35"/>
      <c r="BV20" s="35"/>
      <c r="BW20" s="35"/>
      <c r="BX20" s="42"/>
      <c r="BY20" s="36"/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9212.2999999999993</v>
      </c>
      <c r="D21">
        <v>78246.399999999994</v>
      </c>
      <c r="E21">
        <v>3089.1</v>
      </c>
      <c r="F21">
        <f t="shared" si="60"/>
        <v>7.8246399999999996</v>
      </c>
      <c r="G21">
        <f t="shared" si="61"/>
        <v>0.92122999999999988</v>
      </c>
      <c r="H21">
        <f t="shared" si="62"/>
        <v>6.90341</v>
      </c>
      <c r="I21">
        <f t="shared" si="64"/>
        <v>0.30891000000000002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0.84265601523038958</v>
      </c>
      <c r="P21" s="4">
        <v>3</v>
      </c>
      <c r="Q21" s="5">
        <f t="shared" si="67"/>
        <v>6.90341</v>
      </c>
      <c r="R21" s="5">
        <f t="shared" si="67"/>
        <v>0.30891000000000002</v>
      </c>
      <c r="S21" s="5">
        <f t="shared" si="68"/>
        <v>7.6696885100000003</v>
      </c>
      <c r="T21" s="5">
        <f t="shared" si="69"/>
        <v>0.4601813106</v>
      </c>
      <c r="U21" s="5">
        <f t="shared" si="70"/>
        <v>1.0506422616438358</v>
      </c>
      <c r="V21" s="5">
        <f t="shared" si="63"/>
        <v>0.84265601523038958</v>
      </c>
      <c r="W21" s="19"/>
      <c r="X21" s="34">
        <f t="shared" si="12"/>
        <v>0.23219647994067658</v>
      </c>
      <c r="Y21" s="35">
        <f t="shared" si="13"/>
        <v>4.242915666</v>
      </c>
      <c r="Z21" s="35">
        <f t="shared" si="13"/>
        <v>0.25457493995999997</v>
      </c>
      <c r="AA21" s="35">
        <f t="shared" si="13"/>
        <v>0.58122132410958904</v>
      </c>
      <c r="AB21" s="42">
        <f t="shared" si="37"/>
        <v>2.0897060648765672E-2</v>
      </c>
      <c r="AC21" s="36">
        <f t="shared" si="14"/>
        <v>0.13300999999999999</v>
      </c>
      <c r="AD21" s="34">
        <f t="shared" si="15"/>
        <v>0.15479765329378439</v>
      </c>
      <c r="AE21" s="35">
        <f t="shared" si="16"/>
        <v>3.5113554960000011</v>
      </c>
      <c r="AF21" s="35">
        <f t="shared" si="16"/>
        <v>0.21068132976000006</v>
      </c>
      <c r="AG21" s="35">
        <f t="shared" si="16"/>
        <v>0.48100760219178096</v>
      </c>
      <c r="AH21" s="42">
        <f t="shared" si="38"/>
        <v>3.2648892466341145E-2</v>
      </c>
      <c r="AI21" s="36">
        <f t="shared" si="39"/>
        <v>0.17197999999999999</v>
      </c>
      <c r="AJ21" s="34">
        <f t="shared" si="17"/>
        <v>0.11609823997033829</v>
      </c>
      <c r="AK21" s="35">
        <f t="shared" si="18"/>
        <v>2.0867912999999993</v>
      </c>
      <c r="AL21" s="35">
        <f t="shared" si="18"/>
        <v>0.12520747799999996</v>
      </c>
      <c r="AM21" s="35">
        <f t="shared" si="18"/>
        <v>0.28586182191780812</v>
      </c>
      <c r="AN21" s="42">
        <f t="shared" si="40"/>
        <v>0.12505350582973968</v>
      </c>
      <c r="AO21" s="36">
        <f t="shared" si="41"/>
        <v>0.39147999999999999</v>
      </c>
      <c r="AP21" s="34">
        <f t="shared" si="19"/>
        <v>9.287859197627063E-2</v>
      </c>
      <c r="AQ21" s="35">
        <f t="shared" si="20"/>
        <v>0.77660233199999984</v>
      </c>
      <c r="AR21" s="35">
        <f t="shared" si="20"/>
        <v>4.6596139919999988E-2</v>
      </c>
      <c r="AS21" s="35">
        <f t="shared" si="20"/>
        <v>0.10638388109589039</v>
      </c>
      <c r="AT21" s="42">
        <f t="shared" si="42"/>
        <v>0.48804312372319797</v>
      </c>
      <c r="AU21" s="36">
        <f t="shared" si="43"/>
        <v>0.56857999999999997</v>
      </c>
      <c r="AV21" s="34">
        <f t="shared" si="21"/>
        <v>7.7398826646892196E-2</v>
      </c>
      <c r="AW21" s="35">
        <f t="shared" si="22"/>
        <v>0.78714794399999999</v>
      </c>
      <c r="AX21" s="35">
        <f t="shared" si="22"/>
        <v>4.722887664E-2</v>
      </c>
      <c r="AY21" s="35">
        <f t="shared" si="22"/>
        <v>0.10782848547945205</v>
      </c>
      <c r="AZ21" s="42">
        <f t="shared" si="44"/>
        <v>0.22013990040987774</v>
      </c>
      <c r="BA21" s="36">
        <f t="shared" si="45"/>
        <v>0.25995000000000001</v>
      </c>
      <c r="BB21" s="34"/>
      <c r="BC21" s="35"/>
      <c r="BD21" s="35"/>
      <c r="BE21" s="35"/>
      <c r="BF21" s="42"/>
      <c r="BG21" s="36"/>
      <c r="BH21" s="34"/>
      <c r="BI21" s="35"/>
      <c r="BJ21" s="35"/>
      <c r="BK21" s="35"/>
      <c r="BL21" s="42"/>
      <c r="BM21" s="36"/>
      <c r="BN21" s="34"/>
      <c r="BO21" s="35"/>
      <c r="BP21" s="35"/>
      <c r="BQ21" s="35"/>
      <c r="BR21" s="42"/>
      <c r="BS21" s="36"/>
      <c r="BT21" s="34"/>
      <c r="BU21" s="35"/>
      <c r="BV21" s="35"/>
      <c r="BW21" s="35"/>
      <c r="BX21" s="42"/>
      <c r="BY21" s="36"/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12880.3</v>
      </c>
      <c r="D22">
        <v>57016.5</v>
      </c>
      <c r="E22">
        <v>1722.9</v>
      </c>
      <c r="F22">
        <f t="shared" si="60"/>
        <v>5.7016499999999999</v>
      </c>
      <c r="G22">
        <f t="shared" si="61"/>
        <v>1.28803</v>
      </c>
      <c r="H22">
        <f t="shared" si="62"/>
        <v>4.4136199999999999</v>
      </c>
      <c r="I22">
        <f t="shared" si="64"/>
        <v>0.17229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0.51037627788279316</v>
      </c>
      <c r="P22" s="4">
        <v>3</v>
      </c>
      <c r="Q22" s="5">
        <f t="shared" si="67"/>
        <v>4.4136199999999999</v>
      </c>
      <c r="R22" s="5">
        <f t="shared" si="67"/>
        <v>0.17229</v>
      </c>
      <c r="S22" s="5">
        <f t="shared" si="68"/>
        <v>4.9035318200000004</v>
      </c>
      <c r="T22" s="5">
        <f t="shared" si="69"/>
        <v>0.29421190920000001</v>
      </c>
      <c r="U22" s="5">
        <f t="shared" si="70"/>
        <v>0.67171668767123294</v>
      </c>
      <c r="V22" s="5">
        <f t="shared" si="63"/>
        <v>0.51037627788279316</v>
      </c>
      <c r="W22" s="19"/>
      <c r="X22" s="34">
        <f t="shared" si="12"/>
        <v>0.18713385202155799</v>
      </c>
      <c r="Y22" s="35">
        <f t="shared" si="13"/>
        <v>3.0321342562500004</v>
      </c>
      <c r="Z22" s="35">
        <f t="shared" si="13"/>
        <v>0.18192805537500001</v>
      </c>
      <c r="AA22" s="35">
        <f t="shared" si="13"/>
        <v>0.41536085702054804</v>
      </c>
      <c r="AB22" s="42">
        <f t="shared" si="37"/>
        <v>4.6542591562068469E-2</v>
      </c>
      <c r="AC22" s="36">
        <f t="shared" si="14"/>
        <v>0.33873000000000003</v>
      </c>
      <c r="AD22" s="34">
        <f t="shared" si="15"/>
        <v>0.12475590134770533</v>
      </c>
      <c r="AE22" s="35">
        <f t="shared" si="16"/>
        <v>1.522731045</v>
      </c>
      <c r="AF22" s="35">
        <f t="shared" si="16"/>
        <v>9.1363862699999993E-2</v>
      </c>
      <c r="AG22" s="35">
        <f t="shared" si="16"/>
        <v>0.20859329383561645</v>
      </c>
      <c r="AH22" s="42">
        <f t="shared" si="38"/>
        <v>0.1541757411926937</v>
      </c>
      <c r="AI22" s="36">
        <f t="shared" si="39"/>
        <v>0.5635</v>
      </c>
      <c r="AJ22" s="34">
        <f t="shared" si="17"/>
        <v>9.3566926010778997E-2</v>
      </c>
      <c r="AK22" s="35">
        <f t="shared" si="18"/>
        <v>0.75064576125000004</v>
      </c>
      <c r="AL22" s="35">
        <f t="shared" si="18"/>
        <v>4.5038745674999998E-2</v>
      </c>
      <c r="AM22" s="35">
        <f t="shared" si="18"/>
        <v>0.10282818647260275</v>
      </c>
      <c r="AN22" s="42">
        <f t="shared" si="40"/>
        <v>0.55846325476070224</v>
      </c>
      <c r="AO22" s="36">
        <f t="shared" si="41"/>
        <v>1.0062</v>
      </c>
      <c r="AP22" s="34">
        <f t="shared" si="19"/>
        <v>7.4853540808623206E-2</v>
      </c>
      <c r="AQ22" s="35">
        <f t="shared" si="20"/>
        <v>0.42309935249999991</v>
      </c>
      <c r="AR22" s="35">
        <f t="shared" si="20"/>
        <v>2.5385961149999994E-2</v>
      </c>
      <c r="AS22" s="35">
        <f t="shared" si="20"/>
        <v>5.7958815410958896E-2</v>
      </c>
      <c r="AT22" s="42">
        <f t="shared" si="42"/>
        <v>0.73305827441558191</v>
      </c>
      <c r="AU22" s="36"/>
      <c r="AV22" s="34"/>
      <c r="AW22" s="35"/>
      <c r="AX22" s="35"/>
      <c r="AY22" s="35"/>
      <c r="AZ22" s="42"/>
      <c r="BA22" s="36"/>
      <c r="BB22" s="34"/>
      <c r="BC22" s="35"/>
      <c r="BD22" s="35"/>
      <c r="BE22" s="35"/>
      <c r="BF22" s="42"/>
      <c r="BG22" s="36"/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11282.1</v>
      </c>
      <c r="D23">
        <v>51210.9</v>
      </c>
      <c r="E23">
        <v>811.1</v>
      </c>
      <c r="F23">
        <f t="shared" si="60"/>
        <v>5.1210900000000006</v>
      </c>
      <c r="G23">
        <f t="shared" si="61"/>
        <v>1.1282099999999999</v>
      </c>
      <c r="H23">
        <f t="shared" si="62"/>
        <v>3.9928800000000004</v>
      </c>
      <c r="I23">
        <f t="shared" si="64"/>
        <v>8.1110000000000002E-2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0.36888126675786287</v>
      </c>
      <c r="P23" s="4">
        <v>3</v>
      </c>
      <c r="Q23" s="5">
        <f t="shared" si="67"/>
        <v>3.9928800000000004</v>
      </c>
      <c r="R23" s="5">
        <f t="shared" si="67"/>
        <v>8.1110000000000002E-2</v>
      </c>
      <c r="S23" s="5">
        <f t="shared" si="68"/>
        <v>4.4360896800000011</v>
      </c>
      <c r="T23" s="5">
        <f t="shared" si="69"/>
        <v>0.26616538080000007</v>
      </c>
      <c r="U23" s="5">
        <f t="shared" si="70"/>
        <v>0.60768351780821939</v>
      </c>
      <c r="V23" s="5">
        <f t="shared" si="63"/>
        <v>0.36888126675786287</v>
      </c>
      <c r="W23" s="19"/>
      <c r="X23" s="34"/>
      <c r="Y23" s="35"/>
      <c r="Z23" s="35"/>
      <c r="AA23" s="35"/>
      <c r="AB23" s="42"/>
      <c r="AC23" s="36"/>
      <c r="AD23" s="34"/>
      <c r="AE23" s="35"/>
      <c r="AF23" s="35"/>
      <c r="AG23" s="35"/>
      <c r="AH23" s="42"/>
      <c r="AI23" s="36"/>
      <c r="AJ23" s="34"/>
      <c r="AK23" s="35"/>
      <c r="AL23" s="35"/>
      <c r="AM23" s="35"/>
      <c r="AN23" s="42"/>
      <c r="AO23" s="36"/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11986</v>
      </c>
      <c r="D24">
        <v>59375.6</v>
      </c>
      <c r="E24">
        <v>695.2</v>
      </c>
      <c r="F24">
        <f t="shared" si="60"/>
        <v>5.9375599999999995</v>
      </c>
      <c r="G24">
        <f t="shared" si="61"/>
        <v>1.1986000000000001</v>
      </c>
      <c r="H24">
        <f t="shared" si="62"/>
        <v>4.7389599999999996</v>
      </c>
      <c r="I24">
        <f t="shared" si="64"/>
        <v>6.9519999999999998E-2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0.25533686956653145</v>
      </c>
      <c r="P24" s="4">
        <v>4</v>
      </c>
      <c r="Q24" s="5">
        <f t="shared" si="67"/>
        <v>4.7389599999999996</v>
      </c>
      <c r="R24" s="5">
        <f t="shared" si="67"/>
        <v>6.9519999999999998E-2</v>
      </c>
      <c r="S24" s="5">
        <f t="shared" si="68"/>
        <v>3.9487384199999997</v>
      </c>
      <c r="T24" s="5">
        <f t="shared" si="69"/>
        <v>0.23692430519999996</v>
      </c>
      <c r="U24" s="5">
        <f t="shared" si="70"/>
        <v>0.54092307123287664</v>
      </c>
      <c r="V24" s="5">
        <f t="shared" si="63"/>
        <v>0.25533686956653145</v>
      </c>
      <c r="W24" s="19"/>
      <c r="X24" s="37"/>
      <c r="Y24" s="38"/>
      <c r="Z24" s="38"/>
      <c r="AA24" s="38"/>
      <c r="AB24" s="43"/>
      <c r="AC24" s="39"/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8633</v>
      </c>
      <c r="D25">
        <v>55248.1</v>
      </c>
      <c r="E25">
        <v>1139.5</v>
      </c>
      <c r="F25">
        <f t="shared" si="60"/>
        <v>5.5248099999999996</v>
      </c>
      <c r="G25">
        <f t="shared" si="61"/>
        <v>0.86329999999999996</v>
      </c>
      <c r="H25">
        <f t="shared" si="62"/>
        <v>4.6615099999999998</v>
      </c>
      <c r="I25">
        <f t="shared" si="64"/>
        <v>0.11395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0.18458714213389851</v>
      </c>
      <c r="P25" s="4">
        <v>4</v>
      </c>
      <c r="Q25" s="5">
        <f t="shared" si="67"/>
        <v>4.6615099999999998</v>
      </c>
      <c r="R25" s="5">
        <f t="shared" si="67"/>
        <v>0.11395</v>
      </c>
      <c r="S25" s="5">
        <f t="shared" si="68"/>
        <v>3.8842032075000001</v>
      </c>
      <c r="T25" s="5">
        <f t="shared" si="69"/>
        <v>0.23305219245</v>
      </c>
      <c r="U25" s="5">
        <f t="shared" si="70"/>
        <v>0.53208263116438359</v>
      </c>
      <c r="V25" s="5">
        <f t="shared" si="63"/>
        <v>0.18458714213389851</v>
      </c>
      <c r="W25" s="19"/>
      <c r="X25" s="20"/>
      <c r="Y25" s="21"/>
      <c r="Z25" s="18"/>
    </row>
    <row r="26" spans="2:95" x14ac:dyDescent="0.3">
      <c r="B26">
        <v>8</v>
      </c>
      <c r="C26">
        <v>13091.2</v>
      </c>
      <c r="D26">
        <v>65766.8</v>
      </c>
      <c r="E26">
        <v>1719.8</v>
      </c>
      <c r="F26">
        <f t="shared" si="60"/>
        <v>6.5766800000000005</v>
      </c>
      <c r="G26">
        <f t="shared" si="61"/>
        <v>1.3091200000000001</v>
      </c>
      <c r="H26">
        <f t="shared" si="62"/>
        <v>5.2675600000000005</v>
      </c>
      <c r="I26">
        <f t="shared" si="64"/>
        <v>0.17197999999999999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0.15479765329378439</v>
      </c>
      <c r="P26" s="4">
        <v>5</v>
      </c>
      <c r="Q26" s="5">
        <f t="shared" si="67"/>
        <v>5.2675600000000005</v>
      </c>
      <c r="R26" s="5">
        <f t="shared" si="67"/>
        <v>0.17197999999999999</v>
      </c>
      <c r="S26" s="5">
        <f t="shared" si="68"/>
        <v>3.5113554960000011</v>
      </c>
      <c r="T26" s="5">
        <f t="shared" si="69"/>
        <v>0.21068132976000006</v>
      </c>
      <c r="U26" s="5">
        <f t="shared" si="70"/>
        <v>0.48100760219178096</v>
      </c>
      <c r="V26" s="5">
        <f t="shared" si="63"/>
        <v>0.15479765329378439</v>
      </c>
      <c r="W26" s="19"/>
      <c r="X26" s="20"/>
      <c r="Y26" s="21"/>
      <c r="Z26" s="18"/>
    </row>
    <row r="27" spans="2:95" x14ac:dyDescent="0.3">
      <c r="B27">
        <v>9</v>
      </c>
      <c r="C27">
        <v>12100.9</v>
      </c>
      <c r="D27">
        <v>48650.1</v>
      </c>
      <c r="E27">
        <v>5635</v>
      </c>
      <c r="F27">
        <f t="shared" si="60"/>
        <v>4.8650099999999998</v>
      </c>
      <c r="G27">
        <f t="shared" si="61"/>
        <v>1.2100899999999999</v>
      </c>
      <c r="H27">
        <f t="shared" si="62"/>
        <v>3.6549199999999997</v>
      </c>
      <c r="I27">
        <f t="shared" si="64"/>
        <v>0.5635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0.12475590134770533</v>
      </c>
      <c r="P27" s="4">
        <v>8</v>
      </c>
      <c r="Q27" s="5">
        <f t="shared" si="67"/>
        <v>3.6549199999999997</v>
      </c>
      <c r="R27" s="5">
        <f t="shared" si="67"/>
        <v>0.5635</v>
      </c>
      <c r="S27" s="5">
        <f t="shared" si="68"/>
        <v>1.522731045</v>
      </c>
      <c r="T27" s="5">
        <f t="shared" si="69"/>
        <v>9.1363862699999993E-2</v>
      </c>
      <c r="U27" s="5">
        <f t="shared" si="70"/>
        <v>0.20859329383561645</v>
      </c>
      <c r="V27" s="5">
        <f t="shared" si="63"/>
        <v>0.12475590134770533</v>
      </c>
      <c r="W27" s="19"/>
      <c r="X27" s="20"/>
      <c r="Y27" s="21"/>
      <c r="Z27" s="17"/>
    </row>
    <row r="28" spans="2:95" x14ac:dyDescent="0.3">
      <c r="B28">
        <v>10</v>
      </c>
      <c r="C28">
        <v>0</v>
      </c>
      <c r="D28">
        <v>0</v>
      </c>
      <c r="E28">
        <v>0</v>
      </c>
      <c r="F28">
        <f t="shared" si="60"/>
        <v>0</v>
      </c>
      <c r="G28">
        <f t="shared" si="61"/>
        <v>0</v>
      </c>
      <c r="H28">
        <f t="shared" si="62"/>
        <v>0</v>
      </c>
      <c r="I28">
        <f t="shared" si="64"/>
        <v>0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8.9339985284867182E-2</v>
      </c>
      <c r="P28" s="4">
        <v>14</v>
      </c>
      <c r="Q28" s="5">
        <f t="shared" si="67"/>
        <v>0</v>
      </c>
      <c r="R28" s="5">
        <f t="shared" si="67"/>
        <v>0</v>
      </c>
      <c r="S28" s="5">
        <f t="shared" si="68"/>
        <v>0</v>
      </c>
      <c r="T28" s="5">
        <f t="shared" si="69"/>
        <v>0</v>
      </c>
      <c r="U28" s="5">
        <f t="shared" si="70"/>
        <v>0</v>
      </c>
      <c r="V28" s="5">
        <f t="shared" si="63"/>
        <v>8.9339985284867182E-2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5.7613392824225583E-2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5.7613392824225583E-2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58.2</v>
      </c>
      <c r="D33">
        <v>61083.5</v>
      </c>
      <c r="E33">
        <v>3804</v>
      </c>
      <c r="F33">
        <f t="shared" ref="F33:F43" si="72">D33/10000</f>
        <v>6.1083499999999997</v>
      </c>
      <c r="G33">
        <f t="shared" ref="G33:G43" si="73">C33/10000</f>
        <v>5.8200000000000005E-3</v>
      </c>
      <c r="H33">
        <f t="shared" ref="H33:H43" si="74">F33-G33</f>
        <v>6.1025299999999998</v>
      </c>
      <c r="I33">
        <f>E33/10000</f>
        <v>0.38040000000000002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0.82587167725023602</v>
      </c>
      <c r="P33" s="2">
        <v>3</v>
      </c>
      <c r="Q33" s="8">
        <f>H33</f>
        <v>6.1025299999999998</v>
      </c>
      <c r="R33" s="8">
        <f>I33</f>
        <v>0.38040000000000002</v>
      </c>
      <c r="S33" s="8">
        <f>Q33/10^6*$Z$4*$Z$3/P33*10^12</f>
        <v>6.7799108300000004</v>
      </c>
      <c r="T33" s="8">
        <f>S33*0.06</f>
        <v>0.40679464980000002</v>
      </c>
      <c r="U33" s="8">
        <f>S33/$Z$1</f>
        <v>0.92875490821917817</v>
      </c>
      <c r="V33" s="12">
        <f t="shared" ref="V33:V43" si="75">O33</f>
        <v>0.82587167725023602</v>
      </c>
    </row>
    <row r="34" spans="2:22" x14ac:dyDescent="0.3">
      <c r="B34">
        <v>2</v>
      </c>
      <c r="C34">
        <v>3536.5</v>
      </c>
      <c r="D34">
        <v>64877.8</v>
      </c>
      <c r="E34">
        <v>3740.3</v>
      </c>
      <c r="F34">
        <f t="shared" si="72"/>
        <v>6.4877799999999999</v>
      </c>
      <c r="G34">
        <f t="shared" si="73"/>
        <v>0.35365000000000002</v>
      </c>
      <c r="H34">
        <f t="shared" si="74"/>
        <v>6.1341299999999999</v>
      </c>
      <c r="I34">
        <f t="shared" ref="I34:I43" si="76">E34/10000</f>
        <v>0.37403000000000003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0.7325798242077276</v>
      </c>
      <c r="P34" s="4">
        <v>3</v>
      </c>
      <c r="Q34" s="5">
        <f t="shared" ref="Q34:R43" si="79">H34</f>
        <v>6.1341299999999999</v>
      </c>
      <c r="R34" s="5">
        <f t="shared" si="79"/>
        <v>0.37403000000000003</v>
      </c>
      <c r="S34" s="5">
        <f t="shared" ref="S34:S43" si="80">Q34/10^6*$Z$4*$Z$3/P34*10^12</f>
        <v>6.8150184300000003</v>
      </c>
      <c r="T34" s="5">
        <f t="shared" ref="T34:T43" si="81">S34*0.06</f>
        <v>0.4089011058</v>
      </c>
      <c r="U34" s="5">
        <f t="shared" ref="U34:U43" si="82">S34/$Z$1</f>
        <v>0.93356416849315071</v>
      </c>
      <c r="V34" s="5">
        <f t="shared" si="75"/>
        <v>0.7325798242077276</v>
      </c>
    </row>
    <row r="35" spans="2:22" x14ac:dyDescent="0.3">
      <c r="B35">
        <v>3</v>
      </c>
      <c r="C35">
        <v>7593.3</v>
      </c>
      <c r="D35">
        <v>64500.7</v>
      </c>
      <c r="E35">
        <v>3778.5</v>
      </c>
      <c r="F35">
        <f t="shared" si="72"/>
        <v>6.4500699999999993</v>
      </c>
      <c r="G35">
        <f t="shared" si="73"/>
        <v>0.75933000000000006</v>
      </c>
      <c r="H35">
        <f t="shared" si="74"/>
        <v>5.690739999999999</v>
      </c>
      <c r="I35">
        <f t="shared" si="76"/>
        <v>0.37785000000000002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0.63199201142279215</v>
      </c>
      <c r="P35" s="4">
        <v>3</v>
      </c>
      <c r="Q35" s="5">
        <f t="shared" si="79"/>
        <v>5.690739999999999</v>
      </c>
      <c r="R35" s="5">
        <f t="shared" si="79"/>
        <v>0.37785000000000002</v>
      </c>
      <c r="S35" s="5">
        <f t="shared" si="80"/>
        <v>6.3224121399999991</v>
      </c>
      <c r="T35" s="5">
        <f t="shared" si="81"/>
        <v>0.37934472839999994</v>
      </c>
      <c r="U35" s="5">
        <f t="shared" si="82"/>
        <v>0.86608385479452044</v>
      </c>
      <c r="V35" s="5">
        <f t="shared" si="75"/>
        <v>0.63199201142279215</v>
      </c>
    </row>
    <row r="36" spans="2:22" x14ac:dyDescent="0.3">
      <c r="B36">
        <v>4</v>
      </c>
      <c r="C36">
        <v>9182.2999999999993</v>
      </c>
      <c r="D36">
        <v>50629.9</v>
      </c>
      <c r="E36">
        <v>1597</v>
      </c>
      <c r="F36">
        <f t="shared" si="72"/>
        <v>5.0629900000000001</v>
      </c>
      <c r="G36">
        <f t="shared" si="73"/>
        <v>0.91822999999999988</v>
      </c>
      <c r="H36">
        <f t="shared" si="74"/>
        <v>4.1447599999999998</v>
      </c>
      <c r="I36">
        <f t="shared" si="76"/>
        <v>0.15970000000000001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0.38278220841209487</v>
      </c>
      <c r="P36" s="4">
        <v>3</v>
      </c>
      <c r="Q36" s="5">
        <f t="shared" si="79"/>
        <v>4.1447599999999998</v>
      </c>
      <c r="R36" s="5">
        <f t="shared" si="79"/>
        <v>0.15970000000000001</v>
      </c>
      <c r="S36" s="5">
        <f t="shared" si="80"/>
        <v>4.60482836</v>
      </c>
      <c r="T36" s="5">
        <f t="shared" si="81"/>
        <v>0.27628970159999999</v>
      </c>
      <c r="U36" s="5">
        <f t="shared" si="82"/>
        <v>0.6307984054794521</v>
      </c>
      <c r="V36" s="5">
        <f t="shared" si="75"/>
        <v>0.38278220841209487</v>
      </c>
    </row>
    <row r="37" spans="2:22" x14ac:dyDescent="0.3">
      <c r="B37">
        <v>5</v>
      </c>
      <c r="C37">
        <v>17273.400000000001</v>
      </c>
      <c r="D37">
        <v>50348.1</v>
      </c>
      <c r="E37">
        <v>746.8</v>
      </c>
      <c r="F37">
        <f t="shared" si="72"/>
        <v>5.0348100000000002</v>
      </c>
      <c r="G37">
        <f t="shared" si="73"/>
        <v>1.7273400000000001</v>
      </c>
      <c r="H37">
        <f t="shared" si="74"/>
        <v>3.3074700000000004</v>
      </c>
      <c r="I37">
        <f t="shared" si="76"/>
        <v>7.4679999999999996E-2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0.27666095006839714</v>
      </c>
      <c r="P37" s="4">
        <v>3</v>
      </c>
      <c r="Q37" s="5">
        <f t="shared" si="79"/>
        <v>3.3074700000000004</v>
      </c>
      <c r="R37" s="5">
        <f t="shared" si="79"/>
        <v>7.4679999999999996E-2</v>
      </c>
      <c r="S37" s="5">
        <f t="shared" si="80"/>
        <v>3.6745991700000009</v>
      </c>
      <c r="T37" s="5">
        <f t="shared" si="81"/>
        <v>0.22047595020000005</v>
      </c>
      <c r="U37" s="5">
        <f t="shared" si="82"/>
        <v>0.50336974931506862</v>
      </c>
      <c r="V37" s="5">
        <f t="shared" si="75"/>
        <v>0.27666095006839714</v>
      </c>
    </row>
    <row r="38" spans="2:22" x14ac:dyDescent="0.3">
      <c r="B38">
        <v>6</v>
      </c>
      <c r="C38">
        <v>17740.900000000001</v>
      </c>
      <c r="D38">
        <v>57193.5</v>
      </c>
      <c r="E38">
        <v>775.3</v>
      </c>
      <c r="F38">
        <f t="shared" si="72"/>
        <v>5.7193500000000004</v>
      </c>
      <c r="G38">
        <f t="shared" si="73"/>
        <v>1.7740900000000002</v>
      </c>
      <c r="H38">
        <f t="shared" si="74"/>
        <v>3.9452600000000002</v>
      </c>
      <c r="I38">
        <f t="shared" si="76"/>
        <v>7.7530000000000002E-2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0.19150265217489859</v>
      </c>
      <c r="P38" s="4">
        <v>4</v>
      </c>
      <c r="Q38" s="5">
        <f t="shared" si="79"/>
        <v>3.9452600000000002</v>
      </c>
      <c r="R38" s="5">
        <f t="shared" si="79"/>
        <v>7.7530000000000002E-2</v>
      </c>
      <c r="S38" s="5">
        <f t="shared" si="80"/>
        <v>3.2873878950000002</v>
      </c>
      <c r="T38" s="5">
        <f t="shared" si="81"/>
        <v>0.1972432737</v>
      </c>
      <c r="U38" s="5">
        <f t="shared" si="82"/>
        <v>0.4503271089041096</v>
      </c>
      <c r="V38" s="5">
        <f t="shared" si="75"/>
        <v>0.19150265217489859</v>
      </c>
    </row>
    <row r="39" spans="2:22" x14ac:dyDescent="0.3">
      <c r="B39">
        <v>7</v>
      </c>
      <c r="C39">
        <v>16188.9</v>
      </c>
      <c r="D39">
        <v>49110.3</v>
      </c>
      <c r="E39">
        <v>970.7</v>
      </c>
      <c r="F39">
        <f t="shared" si="72"/>
        <v>4.9110300000000002</v>
      </c>
      <c r="G39">
        <f t="shared" si="73"/>
        <v>1.6188899999999999</v>
      </c>
      <c r="H39">
        <f t="shared" si="74"/>
        <v>3.2921400000000003</v>
      </c>
      <c r="I39">
        <f t="shared" si="76"/>
        <v>9.7070000000000004E-2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0.13844035660042389</v>
      </c>
      <c r="P39" s="4">
        <v>4</v>
      </c>
      <c r="Q39" s="5">
        <f t="shared" si="79"/>
        <v>3.2921400000000003</v>
      </c>
      <c r="R39" s="5">
        <f t="shared" si="79"/>
        <v>9.7070000000000004E-2</v>
      </c>
      <c r="S39" s="5">
        <f t="shared" si="80"/>
        <v>2.7431756550000004</v>
      </c>
      <c r="T39" s="5">
        <f t="shared" si="81"/>
        <v>0.1645905393</v>
      </c>
      <c r="U39" s="5">
        <f t="shared" si="82"/>
        <v>0.37577748698630142</v>
      </c>
      <c r="V39" s="5">
        <f t="shared" si="75"/>
        <v>0.13844035660042389</v>
      </c>
    </row>
    <row r="40" spans="2:22" x14ac:dyDescent="0.3">
      <c r="B40">
        <v>8</v>
      </c>
      <c r="C40">
        <v>17815.599999999999</v>
      </c>
      <c r="D40">
        <v>49120.6</v>
      </c>
      <c r="E40">
        <v>3914.8</v>
      </c>
      <c r="F40">
        <f t="shared" si="72"/>
        <v>4.9120599999999994</v>
      </c>
      <c r="G40">
        <f t="shared" si="73"/>
        <v>1.7815599999999998</v>
      </c>
      <c r="H40">
        <f t="shared" si="74"/>
        <v>3.1304999999999996</v>
      </c>
      <c r="I40">
        <f t="shared" si="76"/>
        <v>0.39147999999999999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0.11609823997033829</v>
      </c>
      <c r="P40" s="4">
        <v>5</v>
      </c>
      <c r="Q40" s="5">
        <f t="shared" si="79"/>
        <v>3.1304999999999996</v>
      </c>
      <c r="R40" s="5">
        <f t="shared" si="79"/>
        <v>0.39147999999999999</v>
      </c>
      <c r="S40" s="5">
        <f t="shared" si="80"/>
        <v>2.0867912999999993</v>
      </c>
      <c r="T40" s="5">
        <f t="shared" si="81"/>
        <v>0.12520747799999996</v>
      </c>
      <c r="U40" s="5">
        <f t="shared" si="82"/>
        <v>0.28586182191780812</v>
      </c>
      <c r="V40" s="5">
        <f t="shared" si="75"/>
        <v>0.11609823997033829</v>
      </c>
    </row>
    <row r="41" spans="2:22" x14ac:dyDescent="0.3">
      <c r="B41">
        <v>9</v>
      </c>
      <c r="C41">
        <v>13365</v>
      </c>
      <c r="D41">
        <v>31382.3</v>
      </c>
      <c r="E41">
        <v>10062</v>
      </c>
      <c r="F41">
        <f t="shared" si="72"/>
        <v>3.1382300000000001</v>
      </c>
      <c r="G41">
        <f t="shared" si="73"/>
        <v>1.3365</v>
      </c>
      <c r="H41">
        <f t="shared" si="74"/>
        <v>1.8017300000000001</v>
      </c>
      <c r="I41">
        <f t="shared" si="76"/>
        <v>1.0062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9.3566926010778997E-2</v>
      </c>
      <c r="P41" s="4">
        <v>8</v>
      </c>
      <c r="Q41" s="5">
        <f t="shared" si="79"/>
        <v>1.8017300000000001</v>
      </c>
      <c r="R41" s="5">
        <f t="shared" si="79"/>
        <v>1.0062</v>
      </c>
      <c r="S41" s="5">
        <f t="shared" si="80"/>
        <v>0.75064576125000004</v>
      </c>
      <c r="T41" s="5">
        <f t="shared" si="81"/>
        <v>4.5038745674999998E-2</v>
      </c>
      <c r="U41" s="5">
        <f t="shared" si="82"/>
        <v>0.10282818647260275</v>
      </c>
      <c r="V41" s="5">
        <f t="shared" si="75"/>
        <v>9.3566926010778997E-2</v>
      </c>
    </row>
    <row r="42" spans="2:22" x14ac:dyDescent="0.3">
      <c r="B42">
        <v>10</v>
      </c>
      <c r="C42">
        <v>0</v>
      </c>
      <c r="D42">
        <v>0</v>
      </c>
      <c r="E42">
        <v>0</v>
      </c>
      <c r="F42">
        <f t="shared" si="72"/>
        <v>0</v>
      </c>
      <c r="G42">
        <f t="shared" si="73"/>
        <v>0</v>
      </c>
      <c r="H42">
        <f t="shared" si="74"/>
        <v>0</v>
      </c>
      <c r="I42">
        <f t="shared" si="76"/>
        <v>0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6.7004988963650383E-2</v>
      </c>
      <c r="P42" s="4">
        <v>14</v>
      </c>
      <c r="Q42" s="5">
        <f t="shared" si="79"/>
        <v>0</v>
      </c>
      <c r="R42" s="5">
        <f t="shared" si="79"/>
        <v>0</v>
      </c>
      <c r="S42" s="5">
        <f t="shared" si="80"/>
        <v>0</v>
      </c>
      <c r="T42" s="5">
        <f t="shared" si="81"/>
        <v>0</v>
      </c>
      <c r="U42" s="5">
        <f t="shared" si="82"/>
        <v>0</v>
      </c>
      <c r="V42" s="5">
        <f t="shared" si="75"/>
        <v>6.7004988963650383E-2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4.3210044618169186E-2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4.3210044618169186E-2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213.9</v>
      </c>
      <c r="D47">
        <v>55479</v>
      </c>
      <c r="E47">
        <v>3561.2</v>
      </c>
      <c r="F47">
        <f t="shared" ref="F47:F57" si="84">D47/10000</f>
        <v>5.5479000000000003</v>
      </c>
      <c r="G47">
        <f t="shared" ref="G47:G57" si="85">C47/10000</f>
        <v>2.1389999999999999E-2</v>
      </c>
      <c r="H47">
        <f t="shared" ref="H47:H57" si="86">F47-G47</f>
        <v>5.52651</v>
      </c>
      <c r="I47">
        <f>E47/10000</f>
        <v>0.35611999999999999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0.6606973418001888</v>
      </c>
      <c r="P47" s="2">
        <v>3</v>
      </c>
      <c r="Q47" s="8">
        <f>H47</f>
        <v>5.52651</v>
      </c>
      <c r="R47" s="8">
        <f>I47</f>
        <v>0.35611999999999999</v>
      </c>
      <c r="S47" s="8">
        <f>Q47/10^6*$Z$4*$Z$3/P47*10^12</f>
        <v>6.1399526099999999</v>
      </c>
      <c r="T47" s="8">
        <f>S47*0.06</f>
        <v>0.3683971566</v>
      </c>
      <c r="U47" s="8">
        <f>S47/$Z$1</f>
        <v>0.84108939863013699</v>
      </c>
      <c r="V47" s="12">
        <f t="shared" ref="V47:V57" si="87">O47</f>
        <v>0.6606973418001888</v>
      </c>
    </row>
    <row r="48" spans="2:22" x14ac:dyDescent="0.3">
      <c r="B48">
        <v>2</v>
      </c>
      <c r="C48">
        <v>6731</v>
      </c>
      <c r="D48">
        <v>59750.8</v>
      </c>
      <c r="E48">
        <v>3538.8</v>
      </c>
      <c r="F48">
        <f t="shared" si="84"/>
        <v>5.9750800000000002</v>
      </c>
      <c r="G48">
        <f t="shared" si="85"/>
        <v>0.67310000000000003</v>
      </c>
      <c r="H48">
        <f t="shared" si="86"/>
        <v>5.3019800000000004</v>
      </c>
      <c r="I48">
        <f t="shared" ref="I48:I57" si="88">E48/10000</f>
        <v>0.35388000000000003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0.5860638593661821</v>
      </c>
      <c r="P48" s="4">
        <v>3</v>
      </c>
      <c r="Q48" s="5">
        <f t="shared" ref="Q48:R57" si="91">H48</f>
        <v>5.3019800000000004</v>
      </c>
      <c r="R48" s="5">
        <f t="shared" si="91"/>
        <v>0.35388000000000003</v>
      </c>
      <c r="S48" s="5">
        <f t="shared" ref="S48:S57" si="92">Q48/10^6*$Z$4*$Z$3/P48*10^12</f>
        <v>5.8904997800000007</v>
      </c>
      <c r="T48" s="5">
        <f t="shared" ref="T48:T57" si="93">S48*0.06</f>
        <v>0.35342998680000004</v>
      </c>
      <c r="U48" s="5">
        <f t="shared" ref="U48:U57" si="94">S48/$Z$1</f>
        <v>0.80691777808219189</v>
      </c>
      <c r="V48" s="5">
        <f t="shared" si="87"/>
        <v>0.5860638593661821</v>
      </c>
    </row>
    <row r="49" spans="2:22" x14ac:dyDescent="0.3">
      <c r="B49">
        <v>3</v>
      </c>
      <c r="C49">
        <v>10147.4</v>
      </c>
      <c r="D49">
        <v>59845.2</v>
      </c>
      <c r="E49">
        <v>3137.7</v>
      </c>
      <c r="F49">
        <f t="shared" si="84"/>
        <v>5.9845199999999998</v>
      </c>
      <c r="G49">
        <f t="shared" si="85"/>
        <v>1.01474</v>
      </c>
      <c r="H49">
        <f t="shared" si="86"/>
        <v>4.9697800000000001</v>
      </c>
      <c r="I49">
        <f t="shared" si="88"/>
        <v>0.31376999999999999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0.5055936091382337</v>
      </c>
      <c r="P49" s="4">
        <v>3</v>
      </c>
      <c r="Q49" s="5">
        <f t="shared" si="91"/>
        <v>4.9697800000000001</v>
      </c>
      <c r="R49" s="5">
        <f t="shared" si="91"/>
        <v>0.31376999999999999</v>
      </c>
      <c r="S49" s="5">
        <f t="shared" si="92"/>
        <v>5.5214255800000007</v>
      </c>
      <c r="T49" s="5">
        <f t="shared" si="93"/>
        <v>0.3312855348</v>
      </c>
      <c r="U49" s="5">
        <f t="shared" si="94"/>
        <v>0.75635966849315084</v>
      </c>
      <c r="V49" s="5">
        <f t="shared" si="87"/>
        <v>0.5055936091382337</v>
      </c>
    </row>
    <row r="50" spans="2:22" x14ac:dyDescent="0.3">
      <c r="B50">
        <v>4</v>
      </c>
      <c r="C50">
        <v>12042.6</v>
      </c>
      <c r="D50">
        <v>44132.2</v>
      </c>
      <c r="E50">
        <v>1716.2</v>
      </c>
      <c r="F50">
        <f t="shared" si="84"/>
        <v>4.4132199999999999</v>
      </c>
      <c r="G50">
        <f t="shared" si="85"/>
        <v>1.2042600000000001</v>
      </c>
      <c r="H50">
        <f t="shared" si="86"/>
        <v>3.2089599999999998</v>
      </c>
      <c r="I50">
        <f t="shared" si="88"/>
        <v>0.17161999999999999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0.30622576672967589</v>
      </c>
      <c r="P50" s="4">
        <v>3</v>
      </c>
      <c r="Q50" s="5">
        <f t="shared" si="91"/>
        <v>3.2089599999999998</v>
      </c>
      <c r="R50" s="5">
        <f t="shared" si="91"/>
        <v>0.17161999999999999</v>
      </c>
      <c r="S50" s="5">
        <f t="shared" si="92"/>
        <v>3.5651545600000007</v>
      </c>
      <c r="T50" s="5">
        <f t="shared" si="93"/>
        <v>0.21390927360000003</v>
      </c>
      <c r="U50" s="5">
        <f t="shared" si="94"/>
        <v>0.48837733698630148</v>
      </c>
      <c r="V50" s="5">
        <f t="shared" si="87"/>
        <v>0.30622576672967589</v>
      </c>
    </row>
    <row r="51" spans="2:22" x14ac:dyDescent="0.3">
      <c r="B51">
        <v>5</v>
      </c>
      <c r="C51">
        <v>10276</v>
      </c>
      <c r="D51">
        <v>41510.300000000003</v>
      </c>
      <c r="E51">
        <v>560</v>
      </c>
      <c r="F51">
        <f t="shared" si="84"/>
        <v>4.1510300000000004</v>
      </c>
      <c r="G51">
        <f t="shared" si="85"/>
        <v>1.0276000000000001</v>
      </c>
      <c r="H51">
        <f t="shared" si="86"/>
        <v>3.1234300000000004</v>
      </c>
      <c r="I51">
        <f t="shared" si="88"/>
        <v>5.6000000000000001E-2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0.22132876005471769</v>
      </c>
      <c r="P51" s="4">
        <v>3</v>
      </c>
      <c r="Q51" s="5">
        <f t="shared" si="91"/>
        <v>3.1234300000000004</v>
      </c>
      <c r="R51" s="5">
        <f t="shared" si="91"/>
        <v>5.6000000000000001E-2</v>
      </c>
      <c r="S51" s="5">
        <f t="shared" si="92"/>
        <v>3.4701307300000006</v>
      </c>
      <c r="T51" s="5">
        <f t="shared" si="93"/>
        <v>0.20820784380000004</v>
      </c>
      <c r="U51" s="5">
        <f t="shared" si="94"/>
        <v>0.47536037397260283</v>
      </c>
      <c r="V51" s="5">
        <f t="shared" si="87"/>
        <v>0.22132876005471769</v>
      </c>
    </row>
    <row r="52" spans="2:22" x14ac:dyDescent="0.3">
      <c r="B52">
        <v>6</v>
      </c>
      <c r="C52">
        <v>11038.7</v>
      </c>
      <c r="D52">
        <v>44034.400000000001</v>
      </c>
      <c r="E52">
        <v>1422.3</v>
      </c>
      <c r="F52">
        <f t="shared" si="84"/>
        <v>4.4034399999999998</v>
      </c>
      <c r="G52">
        <f t="shared" si="85"/>
        <v>1.1038700000000001</v>
      </c>
      <c r="H52">
        <f t="shared" si="86"/>
        <v>3.2995699999999997</v>
      </c>
      <c r="I52">
        <f t="shared" si="88"/>
        <v>0.14223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0.15320212173991887</v>
      </c>
      <c r="P52" s="4">
        <v>4</v>
      </c>
      <c r="Q52" s="5">
        <f t="shared" si="91"/>
        <v>3.2995699999999997</v>
      </c>
      <c r="R52" s="5">
        <f t="shared" si="91"/>
        <v>0.14223</v>
      </c>
      <c r="S52" s="5">
        <f t="shared" si="92"/>
        <v>2.7493667025000001</v>
      </c>
      <c r="T52" s="5">
        <f t="shared" si="93"/>
        <v>0.16496200215000001</v>
      </c>
      <c r="U52" s="5">
        <f t="shared" si="94"/>
        <v>0.37662557568493155</v>
      </c>
      <c r="V52" s="5">
        <f t="shared" si="87"/>
        <v>0.15320212173991887</v>
      </c>
    </row>
    <row r="53" spans="2:22" x14ac:dyDescent="0.3">
      <c r="B53">
        <v>7</v>
      </c>
      <c r="C53">
        <v>9688.4</v>
      </c>
      <c r="D53">
        <v>34987.300000000003</v>
      </c>
      <c r="E53">
        <v>534.29999999999995</v>
      </c>
      <c r="F53">
        <f t="shared" si="84"/>
        <v>3.4987300000000001</v>
      </c>
      <c r="G53">
        <f t="shared" si="85"/>
        <v>0.96883999999999992</v>
      </c>
      <c r="H53">
        <f t="shared" si="86"/>
        <v>2.52989</v>
      </c>
      <c r="I53">
        <f t="shared" si="88"/>
        <v>5.3429999999999998E-2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0.11075228528033911</v>
      </c>
      <c r="P53" s="4">
        <v>4</v>
      </c>
      <c r="Q53" s="5">
        <f t="shared" si="91"/>
        <v>2.52989</v>
      </c>
      <c r="R53" s="5">
        <f t="shared" si="91"/>
        <v>5.3429999999999998E-2</v>
      </c>
      <c r="S53" s="5">
        <f t="shared" si="92"/>
        <v>2.1080308424999998</v>
      </c>
      <c r="T53" s="5">
        <f t="shared" si="93"/>
        <v>0.12648185055</v>
      </c>
      <c r="U53" s="5">
        <f t="shared" si="94"/>
        <v>0.2887713482876712</v>
      </c>
      <c r="V53" s="5">
        <f t="shared" si="87"/>
        <v>0.11075228528033911</v>
      </c>
    </row>
    <row r="54" spans="2:22" x14ac:dyDescent="0.3">
      <c r="B54">
        <v>8</v>
      </c>
      <c r="C54">
        <v>9458.4</v>
      </c>
      <c r="D54">
        <v>21108.6</v>
      </c>
      <c r="E54">
        <v>5685.8</v>
      </c>
      <c r="F54">
        <f t="shared" si="84"/>
        <v>2.1108599999999997</v>
      </c>
      <c r="G54">
        <f t="shared" si="85"/>
        <v>0.94584000000000001</v>
      </c>
      <c r="H54">
        <f t="shared" si="86"/>
        <v>1.1650199999999997</v>
      </c>
      <c r="I54">
        <f t="shared" si="88"/>
        <v>0.56857999999999997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9.287859197627063E-2</v>
      </c>
      <c r="P54" s="4">
        <v>5</v>
      </c>
      <c r="Q54" s="5">
        <f t="shared" si="91"/>
        <v>1.1650199999999997</v>
      </c>
      <c r="R54" s="5">
        <f t="shared" si="91"/>
        <v>0.56857999999999997</v>
      </c>
      <c r="S54" s="5">
        <f t="shared" si="92"/>
        <v>0.77660233199999984</v>
      </c>
      <c r="T54" s="5">
        <f t="shared" si="93"/>
        <v>4.6596139919999988E-2</v>
      </c>
      <c r="U54" s="5">
        <f t="shared" si="94"/>
        <v>0.10638388109589039</v>
      </c>
      <c r="V54" s="5">
        <f t="shared" si="87"/>
        <v>9.287859197627063E-2</v>
      </c>
    </row>
    <row r="55" spans="2:22" x14ac:dyDescent="0.3">
      <c r="B55">
        <v>9</v>
      </c>
      <c r="C55">
        <v>6248.2</v>
      </c>
      <c r="D55">
        <v>16403.599999999999</v>
      </c>
      <c r="E55">
        <v>7444.5</v>
      </c>
      <c r="F55">
        <f t="shared" si="84"/>
        <v>1.6403599999999998</v>
      </c>
      <c r="G55">
        <f t="shared" si="85"/>
        <v>0.62481999999999993</v>
      </c>
      <c r="H55">
        <f t="shared" si="86"/>
        <v>1.0155399999999999</v>
      </c>
      <c r="I55">
        <f t="shared" si="88"/>
        <v>0.74444999999999995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7.4853540808623206E-2</v>
      </c>
      <c r="P55" s="4">
        <v>8</v>
      </c>
      <c r="Q55" s="5">
        <f t="shared" si="91"/>
        <v>1.0155399999999999</v>
      </c>
      <c r="R55" s="5">
        <f t="shared" si="91"/>
        <v>0.74444999999999995</v>
      </c>
      <c r="S55" s="5">
        <f t="shared" si="92"/>
        <v>0.42309935249999991</v>
      </c>
      <c r="T55" s="5">
        <f t="shared" si="93"/>
        <v>2.5385961149999994E-2</v>
      </c>
      <c r="U55" s="5">
        <f t="shared" si="94"/>
        <v>5.7958815410958896E-2</v>
      </c>
      <c r="V55" s="5">
        <f t="shared" si="87"/>
        <v>7.4853540808623206E-2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84"/>
        <v>0</v>
      </c>
      <c r="G56">
        <f t="shared" si="85"/>
        <v>0</v>
      </c>
      <c r="H56">
        <f t="shared" si="86"/>
        <v>0</v>
      </c>
      <c r="I56">
        <f t="shared" si="88"/>
        <v>0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5.3603991170920316E-2</v>
      </c>
      <c r="P56" s="4">
        <v>14</v>
      </c>
      <c r="Q56" s="5">
        <f t="shared" si="91"/>
        <v>0</v>
      </c>
      <c r="R56" s="5">
        <f t="shared" si="91"/>
        <v>0</v>
      </c>
      <c r="S56" s="5">
        <f t="shared" si="92"/>
        <v>0</v>
      </c>
      <c r="T56" s="5">
        <f t="shared" si="93"/>
        <v>0</v>
      </c>
      <c r="U56" s="5">
        <f t="shared" si="94"/>
        <v>0</v>
      </c>
      <c r="V56" s="5">
        <f t="shared" si="87"/>
        <v>5.3603991170920316E-2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3.456803569453535E-2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3.456803569453535E-2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-202.2</v>
      </c>
      <c r="D61">
        <v>47300.7</v>
      </c>
      <c r="E61">
        <v>3776.9</v>
      </c>
      <c r="F61">
        <f t="shared" ref="F61:F71" si="96">D61/10000</f>
        <v>4.7300699999999996</v>
      </c>
      <c r="G61">
        <f t="shared" ref="G61:G71" si="97">C61/10000</f>
        <v>-2.0219999999999998E-2</v>
      </c>
      <c r="H61">
        <f t="shared" ref="H61:H71" si="98">F61-G61</f>
        <v>4.7502899999999997</v>
      </c>
      <c r="I61">
        <f>E61/10000</f>
        <v>0.37769000000000003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0.55058111816682398</v>
      </c>
      <c r="P61" s="2">
        <v>3</v>
      </c>
      <c r="Q61" s="8">
        <f>H61</f>
        <v>4.7502899999999997</v>
      </c>
      <c r="R61" s="8">
        <f>I61</f>
        <v>0.37769000000000003</v>
      </c>
      <c r="S61" s="8">
        <f>Q61/10^6*$Z$4*$Z$3/P61*10^12</f>
        <v>5.277572189999999</v>
      </c>
      <c r="T61" s="8">
        <f>S61*0.06</f>
        <v>0.31665433139999993</v>
      </c>
      <c r="U61" s="8">
        <f>S61/$Z$1</f>
        <v>0.72295509452054785</v>
      </c>
      <c r="V61" s="12">
        <f t="shared" ref="V61:V71" si="99">O61</f>
        <v>0.55058111816682398</v>
      </c>
    </row>
    <row r="62" spans="2:22" x14ac:dyDescent="0.3">
      <c r="B62">
        <v>2</v>
      </c>
      <c r="C62">
        <v>2971</v>
      </c>
      <c r="D62">
        <v>51409.599999999999</v>
      </c>
      <c r="E62">
        <v>3604.8</v>
      </c>
      <c r="F62">
        <f t="shared" si="96"/>
        <v>5.1409599999999998</v>
      </c>
      <c r="G62">
        <f t="shared" si="97"/>
        <v>0.29709999999999998</v>
      </c>
      <c r="H62">
        <f t="shared" si="98"/>
        <v>4.8438599999999994</v>
      </c>
      <c r="I62">
        <f t="shared" ref="I62:I71" si="100">E62/10000</f>
        <v>0.36048000000000002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0.48838654947181842</v>
      </c>
      <c r="P62" s="4">
        <v>3</v>
      </c>
      <c r="Q62" s="5">
        <f t="shared" ref="Q62:R71" si="103">H62</f>
        <v>4.8438599999999994</v>
      </c>
      <c r="R62" s="5">
        <f t="shared" si="103"/>
        <v>0.36048000000000002</v>
      </c>
      <c r="S62" s="5">
        <f t="shared" ref="S62:S71" si="104">Q62/10^6*$Z$4*$Z$3/P62*10^12</f>
        <v>5.3815284599999993</v>
      </c>
      <c r="T62" s="5">
        <f t="shared" ref="T62:T71" si="105">S62*0.06</f>
        <v>0.32289170759999997</v>
      </c>
      <c r="U62" s="5">
        <f t="shared" ref="U62:U71" si="106">S62/$Z$1</f>
        <v>0.73719567945205466</v>
      </c>
      <c r="V62" s="5">
        <f t="shared" si="99"/>
        <v>0.48838654947181842</v>
      </c>
    </row>
    <row r="63" spans="2:22" x14ac:dyDescent="0.3">
      <c r="B63">
        <v>3</v>
      </c>
      <c r="C63">
        <v>6622.6</v>
      </c>
      <c r="D63">
        <v>51852.9</v>
      </c>
      <c r="E63">
        <v>3134.1</v>
      </c>
      <c r="F63">
        <f t="shared" si="96"/>
        <v>5.1852900000000002</v>
      </c>
      <c r="G63">
        <f t="shared" si="97"/>
        <v>0.66226000000000007</v>
      </c>
      <c r="H63">
        <f t="shared" si="98"/>
        <v>4.5230300000000003</v>
      </c>
      <c r="I63">
        <f t="shared" si="100"/>
        <v>0.31340999999999997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0.42132800761519479</v>
      </c>
      <c r="P63" s="4">
        <v>3</v>
      </c>
      <c r="Q63" s="5">
        <f t="shared" si="103"/>
        <v>4.5230300000000003</v>
      </c>
      <c r="R63" s="5">
        <f t="shared" si="103"/>
        <v>0.31340999999999997</v>
      </c>
      <c r="S63" s="5">
        <f t="shared" si="104"/>
        <v>5.0250863300000006</v>
      </c>
      <c r="T63" s="5">
        <f t="shared" si="105"/>
        <v>0.30150517980000002</v>
      </c>
      <c r="U63" s="5">
        <f t="shared" si="106"/>
        <v>0.68836799041095897</v>
      </c>
      <c r="V63" s="5">
        <f t="shared" si="99"/>
        <v>0.42132800761519479</v>
      </c>
    </row>
    <row r="64" spans="2:22" x14ac:dyDescent="0.3">
      <c r="B64">
        <v>4</v>
      </c>
      <c r="C64">
        <v>11971.7</v>
      </c>
      <c r="D64">
        <v>44940.800000000003</v>
      </c>
      <c r="E64">
        <v>1104.3</v>
      </c>
      <c r="F64">
        <f t="shared" si="96"/>
        <v>4.4940800000000003</v>
      </c>
      <c r="G64">
        <f t="shared" si="97"/>
        <v>1.1971700000000001</v>
      </c>
      <c r="H64">
        <f t="shared" si="98"/>
        <v>3.2969100000000005</v>
      </c>
      <c r="I64">
        <f t="shared" si="100"/>
        <v>0.11043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0.25518813894139658</v>
      </c>
      <c r="P64" s="4">
        <v>3</v>
      </c>
      <c r="Q64" s="5">
        <f t="shared" si="103"/>
        <v>3.2969100000000005</v>
      </c>
      <c r="R64" s="5">
        <f t="shared" si="103"/>
        <v>0.11043</v>
      </c>
      <c r="S64" s="5">
        <f t="shared" si="104"/>
        <v>3.6628670100000007</v>
      </c>
      <c r="T64" s="5">
        <f t="shared" si="105"/>
        <v>0.21977202060000003</v>
      </c>
      <c r="U64" s="5">
        <f t="shared" si="106"/>
        <v>0.50176260410958917</v>
      </c>
      <c r="V64" s="5">
        <f t="shared" si="99"/>
        <v>0.25518813894139658</v>
      </c>
    </row>
    <row r="65" spans="2:22" x14ac:dyDescent="0.3">
      <c r="B65">
        <v>5</v>
      </c>
      <c r="C65">
        <v>13674.2</v>
      </c>
      <c r="D65">
        <v>41880.5</v>
      </c>
      <c r="E65">
        <v>680.5</v>
      </c>
      <c r="F65">
        <f t="shared" si="96"/>
        <v>4.1880499999999996</v>
      </c>
      <c r="G65">
        <f t="shared" si="97"/>
        <v>1.3674200000000001</v>
      </c>
      <c r="H65">
        <f t="shared" si="98"/>
        <v>2.8206299999999995</v>
      </c>
      <c r="I65">
        <f t="shared" si="100"/>
        <v>6.8049999999999999E-2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0.18444063337893143</v>
      </c>
      <c r="P65" s="4">
        <v>3</v>
      </c>
      <c r="Q65" s="5">
        <f t="shared" si="103"/>
        <v>2.8206299999999995</v>
      </c>
      <c r="R65" s="5">
        <f t="shared" si="103"/>
        <v>6.8049999999999999E-2</v>
      </c>
      <c r="S65" s="5">
        <f t="shared" si="104"/>
        <v>3.1337199299999994</v>
      </c>
      <c r="T65" s="5">
        <f t="shared" si="105"/>
        <v>0.18802319579999996</v>
      </c>
      <c r="U65" s="5">
        <f t="shared" si="106"/>
        <v>0.42927670273972596</v>
      </c>
      <c r="V65" s="5">
        <f t="shared" si="99"/>
        <v>0.18444063337893143</v>
      </c>
    </row>
    <row r="66" spans="2:22" x14ac:dyDescent="0.3">
      <c r="B66">
        <v>6</v>
      </c>
      <c r="C66">
        <v>11271.5</v>
      </c>
      <c r="D66">
        <v>45912.5</v>
      </c>
      <c r="E66">
        <v>816.4</v>
      </c>
      <c r="F66">
        <f t="shared" si="96"/>
        <v>4.5912499999999996</v>
      </c>
      <c r="G66">
        <f t="shared" si="97"/>
        <v>1.1271500000000001</v>
      </c>
      <c r="H66">
        <f t="shared" si="98"/>
        <v>3.4640999999999993</v>
      </c>
      <c r="I66">
        <f t="shared" si="100"/>
        <v>8.1640000000000004E-2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0.12766843478326573</v>
      </c>
      <c r="P66" s="4">
        <v>4</v>
      </c>
      <c r="Q66" s="5">
        <f t="shared" si="103"/>
        <v>3.4640999999999993</v>
      </c>
      <c r="R66" s="5">
        <f t="shared" si="103"/>
        <v>8.1640000000000004E-2</v>
      </c>
      <c r="S66" s="5">
        <f t="shared" si="104"/>
        <v>2.8864613249999995</v>
      </c>
      <c r="T66" s="5">
        <f t="shared" si="105"/>
        <v>0.17318767949999997</v>
      </c>
      <c r="U66" s="5">
        <f t="shared" si="106"/>
        <v>0.39540566095890406</v>
      </c>
      <c r="V66" s="5">
        <f t="shared" si="99"/>
        <v>0.12766843478326573</v>
      </c>
    </row>
    <row r="67" spans="2:22" x14ac:dyDescent="0.3">
      <c r="B67">
        <v>7</v>
      </c>
      <c r="C67">
        <v>12987.8</v>
      </c>
      <c r="D67">
        <v>31116.6</v>
      </c>
      <c r="E67">
        <v>1792.2</v>
      </c>
      <c r="F67">
        <f t="shared" si="96"/>
        <v>3.1116599999999996</v>
      </c>
      <c r="G67">
        <f t="shared" si="97"/>
        <v>1.2987799999999998</v>
      </c>
      <c r="H67">
        <f t="shared" si="98"/>
        <v>1.8128799999999998</v>
      </c>
      <c r="I67">
        <f t="shared" si="100"/>
        <v>0.17922000000000002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9.2293571066949256E-2</v>
      </c>
      <c r="P67" s="4">
        <v>4</v>
      </c>
      <c r="Q67" s="5">
        <f t="shared" si="103"/>
        <v>1.8128799999999998</v>
      </c>
      <c r="R67" s="5">
        <f t="shared" si="103"/>
        <v>0.17922000000000002</v>
      </c>
      <c r="S67" s="5">
        <f t="shared" si="104"/>
        <v>1.5105822600000001</v>
      </c>
      <c r="T67" s="5">
        <f t="shared" si="105"/>
        <v>9.0634935599999994E-2</v>
      </c>
      <c r="U67" s="5">
        <f t="shared" si="106"/>
        <v>0.20692907671232877</v>
      </c>
      <c r="V67" s="5">
        <f t="shared" si="99"/>
        <v>9.2293571066949256E-2</v>
      </c>
    </row>
    <row r="68" spans="2:22" x14ac:dyDescent="0.3">
      <c r="B68">
        <v>8</v>
      </c>
      <c r="C68">
        <v>10008.1</v>
      </c>
      <c r="D68">
        <v>21816.5</v>
      </c>
      <c r="E68">
        <v>2599.5</v>
      </c>
      <c r="F68">
        <f t="shared" si="96"/>
        <v>2.1816499999999999</v>
      </c>
      <c r="G68">
        <f t="shared" si="97"/>
        <v>1.00081</v>
      </c>
      <c r="H68">
        <f t="shared" si="98"/>
        <v>1.1808399999999999</v>
      </c>
      <c r="I68">
        <f t="shared" si="100"/>
        <v>0.25995000000000001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7.7398826646892196E-2</v>
      </c>
      <c r="P68" s="4">
        <v>5</v>
      </c>
      <c r="Q68" s="5">
        <f t="shared" si="103"/>
        <v>1.1808399999999999</v>
      </c>
      <c r="R68" s="5">
        <f t="shared" si="103"/>
        <v>0.25995000000000001</v>
      </c>
      <c r="S68" s="5">
        <f t="shared" si="104"/>
        <v>0.78714794399999999</v>
      </c>
      <c r="T68" s="5">
        <f t="shared" si="105"/>
        <v>4.722887664E-2</v>
      </c>
      <c r="U68" s="5">
        <f t="shared" si="106"/>
        <v>0.10782848547945205</v>
      </c>
      <c r="V68" s="5">
        <f t="shared" si="99"/>
        <v>7.7398826646892196E-2</v>
      </c>
    </row>
    <row r="69" spans="2:22" x14ac:dyDescent="0.3">
      <c r="B69">
        <v>9</v>
      </c>
      <c r="C69">
        <v>0</v>
      </c>
      <c r="D69">
        <v>0</v>
      </c>
      <c r="E69">
        <v>0</v>
      </c>
      <c r="F69">
        <f t="shared" si="96"/>
        <v>0</v>
      </c>
      <c r="G69">
        <f t="shared" si="97"/>
        <v>0</v>
      </c>
      <c r="H69">
        <f t="shared" si="98"/>
        <v>0</v>
      </c>
      <c r="I69">
        <f t="shared" si="100"/>
        <v>0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6.2377950673852663E-2</v>
      </c>
      <c r="P69" s="4">
        <v>8</v>
      </c>
      <c r="Q69" s="5">
        <f t="shared" si="103"/>
        <v>0</v>
      </c>
      <c r="R69" s="5">
        <f t="shared" si="103"/>
        <v>0</v>
      </c>
      <c r="S69" s="5">
        <f t="shared" si="104"/>
        <v>0</v>
      </c>
      <c r="T69" s="5">
        <f t="shared" si="105"/>
        <v>0</v>
      </c>
      <c r="U69" s="5">
        <f t="shared" si="106"/>
        <v>0</v>
      </c>
      <c r="V69" s="5">
        <f t="shared" si="99"/>
        <v>6.2377950673852663E-2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96"/>
        <v>0</v>
      </c>
      <c r="G70">
        <f t="shared" si="97"/>
        <v>0</v>
      </c>
      <c r="H70">
        <f t="shared" si="98"/>
        <v>0</v>
      </c>
      <c r="I70">
        <f t="shared" si="100"/>
        <v>0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4.4669992642433591E-2</v>
      </c>
      <c r="P70" s="4">
        <v>14</v>
      </c>
      <c r="Q70" s="5">
        <f t="shared" si="103"/>
        <v>0</v>
      </c>
      <c r="R70" s="5">
        <f t="shared" si="103"/>
        <v>0</v>
      </c>
      <c r="S70" s="5">
        <f t="shared" si="104"/>
        <v>0</v>
      </c>
      <c r="T70" s="5">
        <f t="shared" si="105"/>
        <v>0</v>
      </c>
      <c r="U70" s="5">
        <f t="shared" si="106"/>
        <v>0</v>
      </c>
      <c r="V70" s="5">
        <f t="shared" si="99"/>
        <v>4.4669992642433591E-2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2.8806696412112791E-2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2.8806696412112791E-2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285.3</v>
      </c>
      <c r="D75">
        <v>43647.7</v>
      </c>
      <c r="E75">
        <v>3016.6</v>
      </c>
      <c r="F75">
        <f t="shared" ref="F75:F85" si="108">D75/10000</f>
        <v>4.36477</v>
      </c>
      <c r="G75">
        <f t="shared" ref="G75:G85" si="109">C75/10000</f>
        <v>2.853E-2</v>
      </c>
      <c r="H75">
        <f t="shared" ref="H75:H85" si="110">F75-G75</f>
        <v>4.3362400000000001</v>
      </c>
      <c r="I75">
        <f>E75/10000</f>
        <v>0.30165999999999998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0.47192667271442051</v>
      </c>
      <c r="P75" s="2">
        <v>3</v>
      </c>
      <c r="Q75" s="8">
        <f>H75</f>
        <v>4.3362400000000001</v>
      </c>
      <c r="R75" s="8">
        <f>I75</f>
        <v>0.30165999999999998</v>
      </c>
      <c r="S75" s="8">
        <f>Q75/10^6*$Z$4*$Z$3/P75*10^12</f>
        <v>4.8175626400000002</v>
      </c>
      <c r="T75" s="8">
        <f>S75*0.06</f>
        <v>0.28905375840000003</v>
      </c>
      <c r="U75" s="8">
        <f>S75/$Z$1</f>
        <v>0.65994008767123291</v>
      </c>
      <c r="V75" s="12">
        <f t="shared" ref="V75:V85" si="111">O75</f>
        <v>0.47192667271442051</v>
      </c>
    </row>
    <row r="76" spans="2:22" x14ac:dyDescent="0.3">
      <c r="B76">
        <v>2</v>
      </c>
      <c r="C76">
        <v>2621.1999999999998</v>
      </c>
      <c r="D76">
        <v>46706.8</v>
      </c>
      <c r="E76">
        <v>2826.5</v>
      </c>
      <c r="F76">
        <f t="shared" si="108"/>
        <v>4.6706799999999999</v>
      </c>
      <c r="G76">
        <f t="shared" si="109"/>
        <v>0.26211999999999996</v>
      </c>
      <c r="H76">
        <f t="shared" si="110"/>
        <v>4.4085599999999996</v>
      </c>
      <c r="I76">
        <f t="shared" ref="I76:I85" si="112">E76/10000</f>
        <v>0.28265000000000001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0.41861704240441577</v>
      </c>
      <c r="P76" s="4">
        <v>3</v>
      </c>
      <c r="Q76" s="5">
        <f t="shared" ref="Q76:R85" si="115">H76</f>
        <v>4.4085599999999996</v>
      </c>
      <c r="R76" s="5">
        <f t="shared" si="115"/>
        <v>0.28265000000000001</v>
      </c>
      <c r="S76" s="5">
        <f t="shared" ref="S76:S85" si="116">Q76/10^6*$Z$4*$Z$3/P76*10^12</f>
        <v>4.8979101599999995</v>
      </c>
      <c r="T76" s="5">
        <f t="shared" ref="T76:T85" si="117">S76*0.06</f>
        <v>0.29387460959999995</v>
      </c>
      <c r="U76" s="5">
        <f t="shared" ref="U76:U85" si="118">S76/$Z$1</f>
        <v>0.67094659726027395</v>
      </c>
      <c r="V76" s="5">
        <f t="shared" si="111"/>
        <v>0.41861704240441577</v>
      </c>
    </row>
    <row r="77" spans="2:22" x14ac:dyDescent="0.3">
      <c r="B77">
        <v>3</v>
      </c>
      <c r="C77">
        <v>7560.9</v>
      </c>
      <c r="D77">
        <v>50626.5</v>
      </c>
      <c r="E77">
        <v>2314.3000000000002</v>
      </c>
      <c r="F77">
        <f t="shared" si="108"/>
        <v>5.0626499999999997</v>
      </c>
      <c r="G77">
        <f t="shared" si="109"/>
        <v>0.75608999999999993</v>
      </c>
      <c r="H77">
        <f t="shared" si="110"/>
        <v>4.3065599999999993</v>
      </c>
      <c r="I77">
        <f t="shared" si="112"/>
        <v>0.23143000000000002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0.36113829224159555</v>
      </c>
      <c r="P77" s="4">
        <v>3</v>
      </c>
      <c r="Q77" s="5">
        <f t="shared" si="115"/>
        <v>4.3065599999999993</v>
      </c>
      <c r="R77" s="5">
        <f t="shared" si="115"/>
        <v>0.23143000000000002</v>
      </c>
      <c r="S77" s="5">
        <f t="shared" si="116"/>
        <v>4.7845881599999993</v>
      </c>
      <c r="T77" s="5">
        <f t="shared" si="117"/>
        <v>0.28707528959999995</v>
      </c>
      <c r="U77" s="5">
        <f t="shared" si="118"/>
        <v>0.65542303561643833</v>
      </c>
      <c r="V77" s="5">
        <f t="shared" si="111"/>
        <v>0.36113829224159555</v>
      </c>
    </row>
    <row r="78" spans="2:22" x14ac:dyDescent="0.3">
      <c r="B78">
        <v>4</v>
      </c>
      <c r="C78">
        <v>11851.8</v>
      </c>
      <c r="D78">
        <v>43277.9</v>
      </c>
      <c r="E78">
        <v>1014</v>
      </c>
      <c r="F78">
        <f t="shared" si="108"/>
        <v>4.3277900000000002</v>
      </c>
      <c r="G78">
        <f t="shared" si="109"/>
        <v>1.1851799999999999</v>
      </c>
      <c r="H78">
        <f t="shared" si="110"/>
        <v>3.1426100000000003</v>
      </c>
      <c r="I78">
        <f t="shared" si="112"/>
        <v>0.1014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0.21873269052119707</v>
      </c>
      <c r="P78" s="4">
        <v>3</v>
      </c>
      <c r="Q78" s="5">
        <f t="shared" si="115"/>
        <v>3.1426100000000003</v>
      </c>
      <c r="R78" s="5">
        <f t="shared" si="115"/>
        <v>0.1014</v>
      </c>
      <c r="S78" s="5">
        <f t="shared" si="116"/>
        <v>3.4914397100000008</v>
      </c>
      <c r="T78" s="5">
        <f t="shared" si="117"/>
        <v>0.20948638260000005</v>
      </c>
      <c r="U78" s="5">
        <f t="shared" si="118"/>
        <v>0.47827941232876725</v>
      </c>
      <c r="V78" s="5">
        <f t="shared" si="111"/>
        <v>0.21873269052119707</v>
      </c>
    </row>
    <row r="79" spans="2:22" x14ac:dyDescent="0.3">
      <c r="B79">
        <v>5</v>
      </c>
      <c r="C79">
        <v>12428.3</v>
      </c>
      <c r="D79">
        <v>39568.300000000003</v>
      </c>
      <c r="E79">
        <v>1366.1</v>
      </c>
      <c r="F79">
        <f t="shared" si="108"/>
        <v>3.9568300000000001</v>
      </c>
      <c r="G79">
        <f t="shared" si="109"/>
        <v>1.2428299999999999</v>
      </c>
      <c r="H79">
        <f t="shared" si="110"/>
        <v>2.7140000000000004</v>
      </c>
      <c r="I79">
        <f t="shared" si="112"/>
        <v>0.13660999999999998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0.1580919714676555</v>
      </c>
      <c r="P79" s="4">
        <v>3</v>
      </c>
      <c r="Q79" s="5">
        <f t="shared" si="115"/>
        <v>2.7140000000000004</v>
      </c>
      <c r="R79" s="5">
        <f t="shared" si="115"/>
        <v>0.13660999999999998</v>
      </c>
      <c r="S79" s="5">
        <f t="shared" si="116"/>
        <v>3.015254000000001</v>
      </c>
      <c r="T79" s="5">
        <f t="shared" si="117"/>
        <v>0.18091524000000006</v>
      </c>
      <c r="U79" s="5">
        <f t="shared" si="118"/>
        <v>0.41304849315068509</v>
      </c>
      <c r="V79" s="5">
        <f t="shared" si="111"/>
        <v>0.1580919714676555</v>
      </c>
    </row>
    <row r="80" spans="2:22" x14ac:dyDescent="0.3">
      <c r="B80">
        <v>6</v>
      </c>
      <c r="C80">
        <v>13164.8</v>
      </c>
      <c r="D80">
        <v>45877.7</v>
      </c>
      <c r="E80">
        <v>929</v>
      </c>
      <c r="F80">
        <f t="shared" si="108"/>
        <v>4.5877699999999999</v>
      </c>
      <c r="G80">
        <f t="shared" si="109"/>
        <v>1.3164799999999999</v>
      </c>
      <c r="H80">
        <f t="shared" si="110"/>
        <v>3.27129</v>
      </c>
      <c r="I80">
        <f t="shared" si="112"/>
        <v>9.2899999999999996E-2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0.10943008695708491</v>
      </c>
      <c r="P80" s="4">
        <v>4</v>
      </c>
      <c r="Q80" s="5">
        <f t="shared" si="115"/>
        <v>3.27129</v>
      </c>
      <c r="R80" s="5">
        <f t="shared" si="115"/>
        <v>9.2899999999999996E-2</v>
      </c>
      <c r="S80" s="5">
        <f t="shared" si="116"/>
        <v>2.7258023924999999</v>
      </c>
      <c r="T80" s="5">
        <f t="shared" si="117"/>
        <v>0.16354814355</v>
      </c>
      <c r="U80" s="5">
        <f t="shared" si="118"/>
        <v>0.3733975880136986</v>
      </c>
      <c r="V80" s="5">
        <f t="shared" si="111"/>
        <v>0.10943008695708491</v>
      </c>
    </row>
    <row r="81" spans="2:22" x14ac:dyDescent="0.3">
      <c r="B81">
        <v>7</v>
      </c>
      <c r="C81">
        <v>14065.2</v>
      </c>
      <c r="D81">
        <v>22604.7</v>
      </c>
      <c r="E81">
        <v>2940.9</v>
      </c>
      <c r="F81">
        <f t="shared" si="108"/>
        <v>2.2604700000000002</v>
      </c>
      <c r="G81">
        <f t="shared" si="109"/>
        <v>1.40652</v>
      </c>
      <c r="H81">
        <f t="shared" si="110"/>
        <v>0.85395000000000021</v>
      </c>
      <c r="I81">
        <f t="shared" si="112"/>
        <v>0.29409000000000002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7.9108775200242218E-2</v>
      </c>
      <c r="P81" s="4">
        <v>4</v>
      </c>
      <c r="Q81" s="5">
        <f t="shared" si="115"/>
        <v>0.85395000000000021</v>
      </c>
      <c r="R81" s="5">
        <f t="shared" si="115"/>
        <v>0.29409000000000002</v>
      </c>
      <c r="S81" s="5">
        <f t="shared" si="116"/>
        <v>0.71155383750000023</v>
      </c>
      <c r="T81" s="5">
        <f t="shared" si="117"/>
        <v>4.2693230250000012E-2</v>
      </c>
      <c r="U81" s="5">
        <f t="shared" si="118"/>
        <v>9.7473128424657565E-2</v>
      </c>
      <c r="V81" s="5">
        <f t="shared" si="111"/>
        <v>7.9108775200242218E-2</v>
      </c>
    </row>
    <row r="82" spans="2:22" x14ac:dyDescent="0.3">
      <c r="B82">
        <v>8</v>
      </c>
      <c r="C82">
        <v>0</v>
      </c>
      <c r="D82">
        <v>0</v>
      </c>
      <c r="E82">
        <v>0</v>
      </c>
      <c r="F82">
        <f t="shared" si="108"/>
        <v>0</v>
      </c>
      <c r="G82">
        <f t="shared" si="109"/>
        <v>0</v>
      </c>
      <c r="H82">
        <f t="shared" si="110"/>
        <v>0</v>
      </c>
      <c r="I82">
        <f t="shared" si="112"/>
        <v>0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6.6341851411621869E-2</v>
      </c>
      <c r="P82" s="4">
        <v>5</v>
      </c>
      <c r="Q82" s="5">
        <f t="shared" si="115"/>
        <v>0</v>
      </c>
      <c r="R82" s="5">
        <f t="shared" si="115"/>
        <v>0</v>
      </c>
      <c r="S82" s="5">
        <f t="shared" si="116"/>
        <v>0</v>
      </c>
      <c r="T82" s="5">
        <f t="shared" si="117"/>
        <v>0</v>
      </c>
      <c r="U82" s="5">
        <f t="shared" si="118"/>
        <v>0</v>
      </c>
      <c r="V82" s="5">
        <f t="shared" si="111"/>
        <v>6.6341851411621869E-2</v>
      </c>
    </row>
    <row r="83" spans="2:22" x14ac:dyDescent="0.3">
      <c r="B83">
        <v>9</v>
      </c>
      <c r="C83">
        <v>0</v>
      </c>
      <c r="D83">
        <v>0</v>
      </c>
      <c r="E83">
        <v>0</v>
      </c>
      <c r="F83">
        <f t="shared" si="108"/>
        <v>0</v>
      </c>
      <c r="G83">
        <f t="shared" si="109"/>
        <v>0</v>
      </c>
      <c r="H83">
        <f t="shared" si="110"/>
        <v>0</v>
      </c>
      <c r="I83">
        <f t="shared" si="112"/>
        <v>0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5.3466814863302285E-2</v>
      </c>
      <c r="P83" s="4">
        <v>8</v>
      </c>
      <c r="Q83" s="5">
        <f t="shared" si="115"/>
        <v>0</v>
      </c>
      <c r="R83" s="5">
        <f t="shared" si="115"/>
        <v>0</v>
      </c>
      <c r="S83" s="5">
        <f t="shared" si="116"/>
        <v>0</v>
      </c>
      <c r="T83" s="5">
        <f t="shared" si="117"/>
        <v>0</v>
      </c>
      <c r="U83" s="5">
        <f t="shared" si="118"/>
        <v>0</v>
      </c>
      <c r="V83" s="5">
        <f t="shared" si="111"/>
        <v>5.3466814863302285E-2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08"/>
        <v>0</v>
      </c>
      <c r="G84">
        <f t="shared" si="109"/>
        <v>0</v>
      </c>
      <c r="H84">
        <f t="shared" si="110"/>
        <v>0</v>
      </c>
      <c r="I84">
        <f t="shared" si="112"/>
        <v>0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3.8288565122085935E-2</v>
      </c>
      <c r="P84" s="4">
        <v>14</v>
      </c>
      <c r="Q84" s="5">
        <f t="shared" si="115"/>
        <v>0</v>
      </c>
      <c r="R84" s="5">
        <f t="shared" si="115"/>
        <v>0</v>
      </c>
      <c r="S84" s="5">
        <f t="shared" si="116"/>
        <v>0</v>
      </c>
      <c r="T84" s="5">
        <f t="shared" si="117"/>
        <v>0</v>
      </c>
      <c r="U84" s="5">
        <f t="shared" si="118"/>
        <v>0</v>
      </c>
      <c r="V84" s="5">
        <f t="shared" si="111"/>
        <v>3.8288565122085935E-2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2.4691454067525251E-2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2.4691454067525251E-2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188</v>
      </c>
      <c r="D89">
        <v>42344.9</v>
      </c>
      <c r="E89">
        <v>3588.6</v>
      </c>
      <c r="F89">
        <f t="shared" ref="F89:F99" si="120">D89/10000</f>
        <v>4.2344900000000001</v>
      </c>
      <c r="G89">
        <f t="shared" ref="G89:G99" si="121">C89/10000</f>
        <v>1.8800000000000001E-2</v>
      </c>
      <c r="H89">
        <f t="shared" ref="H89:H99" si="122">F89-G89</f>
        <v>4.2156900000000004</v>
      </c>
      <c r="I89">
        <f>E89/10000</f>
        <v>0.35886000000000001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0.41293583862511801</v>
      </c>
      <c r="P89" s="2">
        <v>3</v>
      </c>
      <c r="Q89" s="8">
        <f>H89</f>
        <v>4.2156900000000004</v>
      </c>
      <c r="R89" s="8">
        <f>I89</f>
        <v>0.35886000000000001</v>
      </c>
      <c r="S89" s="8">
        <f>Q89/10^6*$Z$4*$Z$3/P89*10^12</f>
        <v>4.683631590000001</v>
      </c>
      <c r="T89" s="8">
        <f>S89*0.06</f>
        <v>0.28101789540000005</v>
      </c>
      <c r="U89" s="8">
        <f>S89/$Z$1</f>
        <v>0.64159336849315085</v>
      </c>
      <c r="V89" s="12">
        <f t="shared" ref="V89:V99" si="123">O89</f>
        <v>0.41293583862511801</v>
      </c>
    </row>
    <row r="90" spans="2:22" x14ac:dyDescent="0.3">
      <c r="B90">
        <v>2</v>
      </c>
      <c r="C90">
        <v>5787.7</v>
      </c>
      <c r="D90">
        <v>48192.800000000003</v>
      </c>
      <c r="E90">
        <v>2678.2</v>
      </c>
      <c r="F90">
        <f t="shared" si="120"/>
        <v>4.81928</v>
      </c>
      <c r="G90">
        <f t="shared" si="121"/>
        <v>0.57877000000000001</v>
      </c>
      <c r="H90">
        <f t="shared" si="122"/>
        <v>4.2405100000000004</v>
      </c>
      <c r="I90">
        <f t="shared" ref="I90:I99" si="124">E90/10000</f>
        <v>0.26782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0.3662899121038638</v>
      </c>
      <c r="P90" s="4">
        <v>3</v>
      </c>
      <c r="Q90" s="5">
        <f t="shared" ref="Q90:R99" si="127">H90</f>
        <v>4.2405100000000004</v>
      </c>
      <c r="R90" s="5">
        <f t="shared" si="127"/>
        <v>0.26782</v>
      </c>
      <c r="S90" s="5">
        <f t="shared" ref="S90:S99" si="128">Q90/10^6*$Z$4*$Z$3/P90*10^12</f>
        <v>4.7112066100000005</v>
      </c>
      <c r="T90" s="5">
        <f t="shared" ref="T90:T99" si="129">S90*0.06</f>
        <v>0.28267239660000004</v>
      </c>
      <c r="U90" s="5">
        <f t="shared" ref="U90:U99" si="130">S90/$Z$1</f>
        <v>0.64537076849315078</v>
      </c>
      <c r="V90" s="5">
        <f t="shared" si="123"/>
        <v>0.3662899121038638</v>
      </c>
    </row>
    <row r="91" spans="2:22" x14ac:dyDescent="0.3">
      <c r="B91">
        <v>3</v>
      </c>
      <c r="C91">
        <v>10279.1</v>
      </c>
      <c r="D91">
        <v>50409.4</v>
      </c>
      <c r="E91">
        <v>2424</v>
      </c>
      <c r="F91">
        <f t="shared" si="120"/>
        <v>5.04094</v>
      </c>
      <c r="G91">
        <f t="shared" si="121"/>
        <v>1.0279100000000001</v>
      </c>
      <c r="H91">
        <f t="shared" si="122"/>
        <v>4.0130299999999997</v>
      </c>
      <c r="I91">
        <f t="shared" si="124"/>
        <v>0.2424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0.31599600571139608</v>
      </c>
      <c r="P91" s="4">
        <v>3</v>
      </c>
      <c r="Q91" s="5">
        <f t="shared" si="127"/>
        <v>4.0130299999999997</v>
      </c>
      <c r="R91" s="5">
        <f t="shared" si="127"/>
        <v>0.2424</v>
      </c>
      <c r="S91" s="5">
        <f t="shared" si="128"/>
        <v>4.4584763299999999</v>
      </c>
      <c r="T91" s="5">
        <f t="shared" si="129"/>
        <v>0.26750857979999998</v>
      </c>
      <c r="U91" s="5">
        <f t="shared" si="130"/>
        <v>0.61075018219178079</v>
      </c>
      <c r="V91" s="5">
        <f t="shared" si="123"/>
        <v>0.31599600571139608</v>
      </c>
    </row>
    <row r="92" spans="2:22" x14ac:dyDescent="0.3">
      <c r="B92">
        <v>4</v>
      </c>
      <c r="C92">
        <v>13841</v>
      </c>
      <c r="D92">
        <v>42932.2</v>
      </c>
      <c r="E92">
        <v>1892</v>
      </c>
      <c r="F92">
        <f t="shared" si="120"/>
        <v>4.2932199999999998</v>
      </c>
      <c r="G92">
        <f t="shared" si="121"/>
        <v>1.3841000000000001</v>
      </c>
      <c r="H92">
        <f t="shared" si="122"/>
        <v>2.9091199999999997</v>
      </c>
      <c r="I92">
        <f t="shared" si="124"/>
        <v>0.18920000000000001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0.19139110420604744</v>
      </c>
      <c r="P92" s="4">
        <v>3</v>
      </c>
      <c r="Q92" s="5">
        <f t="shared" si="127"/>
        <v>2.9091199999999997</v>
      </c>
      <c r="R92" s="5">
        <f t="shared" si="127"/>
        <v>0.18920000000000001</v>
      </c>
      <c r="S92" s="5">
        <f t="shared" si="128"/>
        <v>3.2320323199999992</v>
      </c>
      <c r="T92" s="5">
        <f t="shared" si="129"/>
        <v>0.19392193919999995</v>
      </c>
      <c r="U92" s="5">
        <f t="shared" si="130"/>
        <v>0.44274415342465745</v>
      </c>
      <c r="V92" s="5">
        <f t="shared" si="123"/>
        <v>0.19139110420604744</v>
      </c>
    </row>
    <row r="93" spans="2:22" x14ac:dyDescent="0.3">
      <c r="B93">
        <v>5</v>
      </c>
      <c r="C93">
        <v>12870.3</v>
      </c>
      <c r="D93">
        <v>42697</v>
      </c>
      <c r="E93">
        <v>911.4</v>
      </c>
      <c r="F93">
        <f t="shared" si="120"/>
        <v>4.2697000000000003</v>
      </c>
      <c r="G93">
        <f t="shared" si="121"/>
        <v>1.2870299999999999</v>
      </c>
      <c r="H93">
        <f t="shared" si="122"/>
        <v>2.9826700000000006</v>
      </c>
      <c r="I93">
        <f t="shared" si="124"/>
        <v>9.1139999999999999E-2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0.13833047503419857</v>
      </c>
      <c r="P93" s="4">
        <v>3</v>
      </c>
      <c r="Q93" s="5">
        <f t="shared" si="127"/>
        <v>2.9826700000000006</v>
      </c>
      <c r="R93" s="5">
        <f t="shared" si="127"/>
        <v>9.1139999999999999E-2</v>
      </c>
      <c r="S93" s="5">
        <f t="shared" si="128"/>
        <v>3.3137463700000009</v>
      </c>
      <c r="T93" s="5">
        <f t="shared" si="129"/>
        <v>0.19882478220000005</v>
      </c>
      <c r="U93" s="5">
        <f t="shared" si="130"/>
        <v>0.4539378589041097</v>
      </c>
      <c r="V93" s="5">
        <f t="shared" si="123"/>
        <v>0.13833047503419857</v>
      </c>
    </row>
    <row r="94" spans="2:22" x14ac:dyDescent="0.3">
      <c r="B94">
        <v>6</v>
      </c>
      <c r="C94">
        <v>16043.7</v>
      </c>
      <c r="D94">
        <v>46748</v>
      </c>
      <c r="E94">
        <v>502.8</v>
      </c>
      <c r="F94">
        <f t="shared" si="120"/>
        <v>4.6748000000000003</v>
      </c>
      <c r="G94">
        <f t="shared" si="121"/>
        <v>1.6043700000000001</v>
      </c>
      <c r="H94">
        <f t="shared" si="122"/>
        <v>3.07043</v>
      </c>
      <c r="I94">
        <f t="shared" si="124"/>
        <v>5.0279999999999998E-2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9.5751326087449296E-2</v>
      </c>
      <c r="P94" s="4">
        <v>4</v>
      </c>
      <c r="Q94" s="5">
        <f t="shared" si="127"/>
        <v>3.07043</v>
      </c>
      <c r="R94" s="5">
        <f t="shared" si="127"/>
        <v>5.0279999999999998E-2</v>
      </c>
      <c r="S94" s="5">
        <f t="shared" si="128"/>
        <v>2.5584357975000001</v>
      </c>
      <c r="T94" s="5">
        <f t="shared" si="129"/>
        <v>0.15350614785</v>
      </c>
      <c r="U94" s="5">
        <f t="shared" si="130"/>
        <v>0.35047065719178083</v>
      </c>
      <c r="V94" s="5">
        <f t="shared" si="123"/>
        <v>9.5751326087449296E-2</v>
      </c>
    </row>
    <row r="95" spans="2:22" x14ac:dyDescent="0.3">
      <c r="B95">
        <v>7</v>
      </c>
      <c r="C95">
        <v>14155.5</v>
      </c>
      <c r="D95">
        <v>20224.2</v>
      </c>
      <c r="E95">
        <v>2163.1999999999998</v>
      </c>
      <c r="F95">
        <f t="shared" si="120"/>
        <v>2.0224199999999999</v>
      </c>
      <c r="G95">
        <f t="shared" si="121"/>
        <v>1.4155500000000001</v>
      </c>
      <c r="H95">
        <f t="shared" si="122"/>
        <v>0.6068699999999998</v>
      </c>
      <c r="I95">
        <f t="shared" si="124"/>
        <v>0.21631999999999998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6.9220178300211946E-2</v>
      </c>
      <c r="P95" s="4">
        <v>4</v>
      </c>
      <c r="Q95" s="5">
        <f t="shared" si="127"/>
        <v>0.6068699999999998</v>
      </c>
      <c r="R95" s="5">
        <f t="shared" si="127"/>
        <v>0.21631999999999998</v>
      </c>
      <c r="S95" s="5">
        <f t="shared" si="128"/>
        <v>0.5056744274999998</v>
      </c>
      <c r="T95" s="5">
        <f t="shared" si="129"/>
        <v>3.0340465649999988E-2</v>
      </c>
      <c r="U95" s="5">
        <f t="shared" si="130"/>
        <v>6.9270469520547925E-2</v>
      </c>
      <c r="V95" s="5">
        <f t="shared" si="123"/>
        <v>6.9220178300211946E-2</v>
      </c>
    </row>
    <row r="96" spans="2:22" x14ac:dyDescent="0.3">
      <c r="B96">
        <v>8</v>
      </c>
      <c r="C96">
        <v>0</v>
      </c>
      <c r="D96">
        <v>0</v>
      </c>
      <c r="E96">
        <v>0</v>
      </c>
      <c r="F96">
        <f t="shared" si="120"/>
        <v>0</v>
      </c>
      <c r="G96">
        <f t="shared" si="121"/>
        <v>0</v>
      </c>
      <c r="H96">
        <f t="shared" si="122"/>
        <v>0</v>
      </c>
      <c r="I96">
        <f t="shared" si="124"/>
        <v>0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5.8049119985169144E-2</v>
      </c>
      <c r="P96" s="4">
        <v>5</v>
      </c>
      <c r="Q96" s="5">
        <f t="shared" si="127"/>
        <v>0</v>
      </c>
      <c r="R96" s="5">
        <f t="shared" si="127"/>
        <v>0</v>
      </c>
      <c r="S96" s="5">
        <f t="shared" si="128"/>
        <v>0</v>
      </c>
      <c r="T96" s="5">
        <f t="shared" si="129"/>
        <v>0</v>
      </c>
      <c r="U96" s="5">
        <f t="shared" si="130"/>
        <v>0</v>
      </c>
      <c r="V96" s="5">
        <f t="shared" si="123"/>
        <v>5.8049119985169144E-2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20"/>
        <v>0</v>
      </c>
      <c r="G97">
        <f t="shared" si="121"/>
        <v>0</v>
      </c>
      <c r="H97">
        <f t="shared" si="122"/>
        <v>0</v>
      </c>
      <c r="I97">
        <f t="shared" si="124"/>
        <v>0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4.6783463005389499E-2</v>
      </c>
      <c r="P97" s="4">
        <v>8</v>
      </c>
      <c r="Q97" s="5">
        <f t="shared" si="127"/>
        <v>0</v>
      </c>
      <c r="R97" s="5">
        <f t="shared" si="127"/>
        <v>0</v>
      </c>
      <c r="S97" s="5">
        <f t="shared" si="128"/>
        <v>0</v>
      </c>
      <c r="T97" s="5">
        <f t="shared" si="129"/>
        <v>0</v>
      </c>
      <c r="U97" s="5">
        <f t="shared" si="130"/>
        <v>0</v>
      </c>
      <c r="V97" s="5">
        <f t="shared" si="123"/>
        <v>4.6783463005389499E-2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3.3502494481825192E-2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3.3502494481825192E-2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2.1605022309084593E-2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2.1605022309084593E-2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352.5</v>
      </c>
      <c r="D103">
        <v>40324.6</v>
      </c>
      <c r="E103">
        <v>3332</v>
      </c>
      <c r="F103">
        <f t="shared" ref="F103:F113" si="132">D103/10000</f>
        <v>4.0324599999999995</v>
      </c>
      <c r="G103">
        <f t="shared" ref="G103:G113" si="133">C103/10000</f>
        <v>3.5249999999999997E-2</v>
      </c>
      <c r="H103">
        <f t="shared" ref="H103:H113" si="134">F103-G103</f>
        <v>3.9972099999999995</v>
      </c>
      <c r="I103">
        <f>E103/10000</f>
        <v>0.3332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0.36705407877788265</v>
      </c>
      <c r="P103" s="2">
        <v>3</v>
      </c>
      <c r="Q103" s="8">
        <f>H103</f>
        <v>3.9972099999999995</v>
      </c>
      <c r="R103" s="8">
        <f>I103</f>
        <v>0.3332</v>
      </c>
      <c r="S103" s="8">
        <f>Q103/10^6*$Z$4*$Z$3/P103*10^12</f>
        <v>4.44090031</v>
      </c>
      <c r="T103" s="8">
        <f>S103*0.06</f>
        <v>0.26645401860000001</v>
      </c>
      <c r="U103" s="8">
        <f>S103/$Z$1</f>
        <v>0.60834250821917812</v>
      </c>
      <c r="V103" s="12">
        <f t="shared" ref="V103:V113" si="135">O103</f>
        <v>0.36705407877788265</v>
      </c>
    </row>
    <row r="104" spans="2:22" x14ac:dyDescent="0.3">
      <c r="B104">
        <v>2</v>
      </c>
      <c r="C104">
        <v>4881.8999999999996</v>
      </c>
      <c r="D104">
        <v>43348.800000000003</v>
      </c>
      <c r="E104">
        <v>2570.6999999999998</v>
      </c>
      <c r="F104">
        <f t="shared" si="132"/>
        <v>4.3348800000000001</v>
      </c>
      <c r="G104">
        <f t="shared" si="133"/>
        <v>0.48818999999999996</v>
      </c>
      <c r="H104">
        <f t="shared" si="134"/>
        <v>3.8466900000000002</v>
      </c>
      <c r="I104">
        <f t="shared" ref="I104:I113" si="136">E104/10000</f>
        <v>0.25706999999999997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0.32559103298121223</v>
      </c>
      <c r="P104" s="4">
        <v>3</v>
      </c>
      <c r="Q104" s="5">
        <f t="shared" ref="Q104:R113" si="139">H104</f>
        <v>3.8466900000000002</v>
      </c>
      <c r="R104" s="5">
        <f t="shared" si="139"/>
        <v>0.25706999999999997</v>
      </c>
      <c r="S104" s="5">
        <f t="shared" ref="S104:S113" si="140">Q104/10^6*$Z$4*$Z$3/P104*10^12</f>
        <v>4.2736725900000003</v>
      </c>
      <c r="T104" s="5">
        <f t="shared" ref="T104:T113" si="141">S104*0.06</f>
        <v>0.25642035540000002</v>
      </c>
      <c r="U104" s="5">
        <f t="shared" ref="U104:U113" si="142">S104/$Z$1</f>
        <v>0.58543460136986303</v>
      </c>
      <c r="V104" s="5">
        <f t="shared" si="135"/>
        <v>0.32559103298121223</v>
      </c>
    </row>
    <row r="105" spans="2:22" x14ac:dyDescent="0.3">
      <c r="B105">
        <v>3</v>
      </c>
      <c r="C105">
        <v>6800</v>
      </c>
      <c r="D105">
        <v>45530.6</v>
      </c>
      <c r="E105">
        <v>2453.6999999999998</v>
      </c>
      <c r="F105">
        <f t="shared" si="132"/>
        <v>4.5530599999999994</v>
      </c>
      <c r="G105">
        <f t="shared" si="133"/>
        <v>0.68</v>
      </c>
      <c r="H105">
        <f t="shared" si="134"/>
        <v>3.8730599999999993</v>
      </c>
      <c r="I105">
        <f t="shared" si="136"/>
        <v>0.24536999999999998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0.28088533841012986</v>
      </c>
      <c r="P105" s="4">
        <v>3</v>
      </c>
      <c r="Q105" s="5">
        <f t="shared" si="139"/>
        <v>3.8730599999999993</v>
      </c>
      <c r="R105" s="5">
        <f t="shared" si="139"/>
        <v>0.24536999999999998</v>
      </c>
      <c r="S105" s="5">
        <f t="shared" si="140"/>
        <v>4.3029696599999996</v>
      </c>
      <c r="T105" s="5">
        <f t="shared" si="141"/>
        <v>0.25817817959999995</v>
      </c>
      <c r="U105" s="5">
        <f t="shared" si="142"/>
        <v>0.58944789863013691</v>
      </c>
      <c r="V105" s="5">
        <f t="shared" si="135"/>
        <v>0.28088533841012986</v>
      </c>
    </row>
    <row r="106" spans="2:22" x14ac:dyDescent="0.3">
      <c r="B106">
        <v>4</v>
      </c>
      <c r="C106">
        <v>9494.7000000000007</v>
      </c>
      <c r="D106">
        <v>38004.6</v>
      </c>
      <c r="E106">
        <v>1863.8</v>
      </c>
      <c r="F106">
        <f t="shared" si="132"/>
        <v>3.8004599999999997</v>
      </c>
      <c r="G106">
        <f t="shared" si="133"/>
        <v>0.94947000000000004</v>
      </c>
      <c r="H106">
        <f t="shared" si="134"/>
        <v>2.8509899999999995</v>
      </c>
      <c r="I106">
        <f t="shared" si="136"/>
        <v>0.18637999999999999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0.17012542596093105</v>
      </c>
      <c r="P106" s="4">
        <v>3</v>
      </c>
      <c r="Q106" s="5">
        <f t="shared" si="139"/>
        <v>2.8509899999999995</v>
      </c>
      <c r="R106" s="5">
        <f t="shared" si="139"/>
        <v>0.18637999999999999</v>
      </c>
      <c r="S106" s="5">
        <f t="shared" si="140"/>
        <v>3.1674498899999994</v>
      </c>
      <c r="T106" s="5">
        <f t="shared" si="141"/>
        <v>0.19004699339999995</v>
      </c>
      <c r="U106" s="5">
        <f t="shared" si="142"/>
        <v>0.4338972452054794</v>
      </c>
      <c r="V106" s="5">
        <f t="shared" si="135"/>
        <v>0.17012542596093105</v>
      </c>
    </row>
    <row r="107" spans="2:22" x14ac:dyDescent="0.3">
      <c r="B107">
        <v>5</v>
      </c>
      <c r="C107">
        <v>10585.9</v>
      </c>
      <c r="D107">
        <v>36165.699999999997</v>
      </c>
      <c r="E107">
        <v>618.9</v>
      </c>
      <c r="F107">
        <f t="shared" si="132"/>
        <v>3.6165699999999998</v>
      </c>
      <c r="G107">
        <f t="shared" si="133"/>
        <v>1.0585899999999999</v>
      </c>
      <c r="H107">
        <f t="shared" si="134"/>
        <v>2.5579799999999997</v>
      </c>
      <c r="I107">
        <f t="shared" si="136"/>
        <v>6.1890000000000001E-2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0.12296042225262094</v>
      </c>
      <c r="P107" s="4">
        <v>3</v>
      </c>
      <c r="Q107" s="5">
        <f t="shared" si="139"/>
        <v>2.5579799999999997</v>
      </c>
      <c r="R107" s="5">
        <f t="shared" si="139"/>
        <v>6.1890000000000001E-2</v>
      </c>
      <c r="S107" s="5">
        <f t="shared" si="140"/>
        <v>2.8419157799999999</v>
      </c>
      <c r="T107" s="5">
        <f t="shared" si="141"/>
        <v>0.17051494679999998</v>
      </c>
      <c r="U107" s="5">
        <f t="shared" si="142"/>
        <v>0.38930353150684932</v>
      </c>
      <c r="V107" s="5">
        <f t="shared" si="135"/>
        <v>0.12296042225262094</v>
      </c>
    </row>
    <row r="108" spans="2:22" x14ac:dyDescent="0.3">
      <c r="B108">
        <v>6</v>
      </c>
      <c r="C108">
        <v>9360.4</v>
      </c>
      <c r="D108">
        <v>36412.699999999997</v>
      </c>
      <c r="E108">
        <v>519.5</v>
      </c>
      <c r="F108">
        <f t="shared" si="132"/>
        <v>3.6412699999999996</v>
      </c>
      <c r="G108">
        <f t="shared" si="133"/>
        <v>0.93603999999999998</v>
      </c>
      <c r="H108">
        <f t="shared" si="134"/>
        <v>2.7052299999999994</v>
      </c>
      <c r="I108">
        <f t="shared" si="136"/>
        <v>5.1950000000000003E-2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8.511228985551049E-2</v>
      </c>
      <c r="P108" s="4">
        <v>4</v>
      </c>
      <c r="Q108" s="5">
        <f t="shared" si="139"/>
        <v>2.7052299999999994</v>
      </c>
      <c r="R108" s="5">
        <f t="shared" si="139"/>
        <v>5.1950000000000003E-2</v>
      </c>
      <c r="S108" s="5">
        <f t="shared" si="140"/>
        <v>2.2541328974999995</v>
      </c>
      <c r="T108" s="5">
        <f t="shared" si="141"/>
        <v>0.13524797384999995</v>
      </c>
      <c r="U108" s="5">
        <f t="shared" si="142"/>
        <v>0.30878532842465745</v>
      </c>
      <c r="V108" s="5">
        <f t="shared" si="135"/>
        <v>8.511228985551049E-2</v>
      </c>
    </row>
    <row r="109" spans="2:22" x14ac:dyDescent="0.3">
      <c r="B109">
        <v>7</v>
      </c>
      <c r="C109">
        <v>0</v>
      </c>
      <c r="D109">
        <v>0</v>
      </c>
      <c r="E109">
        <v>0</v>
      </c>
      <c r="F109">
        <f t="shared" si="132"/>
        <v>0</v>
      </c>
      <c r="G109">
        <f t="shared" si="133"/>
        <v>0</v>
      </c>
      <c r="H109">
        <f t="shared" si="134"/>
        <v>0</v>
      </c>
      <c r="I109">
        <f t="shared" si="136"/>
        <v>0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6.1529047377966169E-2</v>
      </c>
      <c r="P109" s="4">
        <v>4</v>
      </c>
      <c r="Q109" s="5">
        <f t="shared" si="139"/>
        <v>0</v>
      </c>
      <c r="R109" s="5">
        <f t="shared" si="139"/>
        <v>0</v>
      </c>
      <c r="S109" s="5">
        <f t="shared" si="140"/>
        <v>0</v>
      </c>
      <c r="T109" s="5">
        <f t="shared" si="141"/>
        <v>0</v>
      </c>
      <c r="U109" s="5">
        <f t="shared" si="142"/>
        <v>0</v>
      </c>
      <c r="V109" s="5">
        <f t="shared" si="135"/>
        <v>6.1529047377966169E-2</v>
      </c>
    </row>
    <row r="110" spans="2:22" x14ac:dyDescent="0.3">
      <c r="B110">
        <v>8</v>
      </c>
      <c r="C110">
        <v>0</v>
      </c>
      <c r="D110">
        <v>0</v>
      </c>
      <c r="E110">
        <v>0</v>
      </c>
      <c r="F110">
        <f t="shared" si="132"/>
        <v>0</v>
      </c>
      <c r="G110">
        <f t="shared" si="133"/>
        <v>0</v>
      </c>
      <c r="H110">
        <f t="shared" si="134"/>
        <v>0</v>
      </c>
      <c r="I110">
        <f t="shared" si="136"/>
        <v>0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5.1599217764594786E-2</v>
      </c>
      <c r="P110" s="4">
        <v>5</v>
      </c>
      <c r="Q110" s="5">
        <f t="shared" si="139"/>
        <v>0</v>
      </c>
      <c r="R110" s="5">
        <f t="shared" si="139"/>
        <v>0</v>
      </c>
      <c r="S110" s="5">
        <f t="shared" si="140"/>
        <v>0</v>
      </c>
      <c r="T110" s="5">
        <f t="shared" si="141"/>
        <v>0</v>
      </c>
      <c r="U110" s="5">
        <f t="shared" si="142"/>
        <v>0</v>
      </c>
      <c r="V110" s="5">
        <f t="shared" si="135"/>
        <v>5.1599217764594786E-2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32"/>
        <v>0</v>
      </c>
      <c r="G111">
        <f t="shared" si="133"/>
        <v>0</v>
      </c>
      <c r="H111">
        <f t="shared" si="134"/>
        <v>0</v>
      </c>
      <c r="I111">
        <f t="shared" si="136"/>
        <v>0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4.1585300449235113E-2</v>
      </c>
      <c r="P111" s="4">
        <v>8</v>
      </c>
      <c r="Q111" s="5">
        <f t="shared" si="139"/>
        <v>0</v>
      </c>
      <c r="R111" s="5">
        <f t="shared" si="139"/>
        <v>0</v>
      </c>
      <c r="S111" s="5">
        <f t="shared" si="140"/>
        <v>0</v>
      </c>
      <c r="T111" s="5">
        <f t="shared" si="141"/>
        <v>0</v>
      </c>
      <c r="U111" s="5">
        <f t="shared" si="142"/>
        <v>0</v>
      </c>
      <c r="V111" s="5">
        <f t="shared" si="135"/>
        <v>4.1585300449235113E-2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2.9779995094955727E-2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2.9779995094955727E-2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1.9204464274741862E-2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1.9204464274741862E-2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1</v>
      </c>
      <c r="D117">
        <v>39324.199999999997</v>
      </c>
      <c r="E117">
        <v>3052.1</v>
      </c>
      <c r="F117">
        <f t="shared" ref="F117:F127" si="144">D117/10000</f>
        <v>3.9324199999999996</v>
      </c>
      <c r="G117">
        <f t="shared" ref="G117:G127" si="145">C117/10000</f>
        <v>1E-4</v>
      </c>
      <c r="H117">
        <f t="shared" ref="H117:H127" si="146">F117-G117</f>
        <v>3.9323199999999994</v>
      </c>
      <c r="I117">
        <f>E117/10000</f>
        <v>0.30520999999999998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0.3303486709000944</v>
      </c>
      <c r="P117" s="2">
        <v>3</v>
      </c>
      <c r="Q117" s="8">
        <f>H117</f>
        <v>3.9323199999999994</v>
      </c>
      <c r="R117" s="8">
        <f>I117</f>
        <v>0.30520999999999998</v>
      </c>
      <c r="S117" s="8">
        <f>Q117/10^6*$Z$4*$Z$3/P117*10^12</f>
        <v>4.3688075199999998</v>
      </c>
      <c r="T117" s="8">
        <f>S117*0.06</f>
        <v>0.2621284512</v>
      </c>
      <c r="U117" s="8">
        <f>S117/$Z$1</f>
        <v>0.59846678356164384</v>
      </c>
      <c r="V117" s="12">
        <f t="shared" ref="V117:V127" si="147">O117</f>
        <v>0.3303486709000944</v>
      </c>
    </row>
    <row r="118" spans="2:22" x14ac:dyDescent="0.3">
      <c r="B118">
        <v>2</v>
      </c>
      <c r="C118">
        <v>6457.9</v>
      </c>
      <c r="D118">
        <v>45011.3</v>
      </c>
      <c r="E118">
        <v>3122</v>
      </c>
      <c r="F118">
        <f t="shared" si="144"/>
        <v>4.5011299999999999</v>
      </c>
      <c r="G118">
        <f t="shared" si="145"/>
        <v>0.64578999999999998</v>
      </c>
      <c r="H118">
        <f t="shared" si="146"/>
        <v>3.85534</v>
      </c>
      <c r="I118">
        <f t="shared" ref="I118:I127" si="148">E118/10000</f>
        <v>0.31219999999999998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0.29303192968309105</v>
      </c>
      <c r="P118" s="4">
        <v>3</v>
      </c>
      <c r="Q118" s="5">
        <f t="shared" ref="Q118:R127" si="151">H118</f>
        <v>3.85534</v>
      </c>
      <c r="R118" s="5">
        <f t="shared" si="151"/>
        <v>0.31219999999999998</v>
      </c>
      <c r="S118" s="5">
        <f t="shared" ref="S118:S127" si="152">Q118/10^6*$Z$4*$Z$3/P118*10^12</f>
        <v>4.2832827399999998</v>
      </c>
      <c r="T118" s="5">
        <f t="shared" ref="T118:T127" si="153">S118*0.06</f>
        <v>0.25699696439999997</v>
      </c>
      <c r="U118" s="5">
        <f t="shared" ref="U118:U127" si="154">S118/$Z$1</f>
        <v>0.58675106027397261</v>
      </c>
      <c r="V118" s="5">
        <f t="shared" si="147"/>
        <v>0.29303192968309105</v>
      </c>
    </row>
    <row r="119" spans="2:22" x14ac:dyDescent="0.3">
      <c r="B119">
        <v>3</v>
      </c>
      <c r="C119">
        <v>10519.3</v>
      </c>
      <c r="D119">
        <v>48276.4</v>
      </c>
      <c r="E119">
        <v>3063.3</v>
      </c>
      <c r="F119">
        <f t="shared" si="144"/>
        <v>4.8276399999999997</v>
      </c>
      <c r="G119">
        <f t="shared" si="145"/>
        <v>1.05193</v>
      </c>
      <c r="H119">
        <f t="shared" si="146"/>
        <v>3.7757099999999997</v>
      </c>
      <c r="I119">
        <f t="shared" si="148"/>
        <v>0.30632999999999999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0.25279680456911685</v>
      </c>
      <c r="P119" s="4">
        <v>3</v>
      </c>
      <c r="Q119" s="5">
        <f t="shared" si="151"/>
        <v>3.7757099999999997</v>
      </c>
      <c r="R119" s="5">
        <f t="shared" si="151"/>
        <v>0.30632999999999999</v>
      </c>
      <c r="S119" s="5">
        <f t="shared" si="152"/>
        <v>4.1948138099999994</v>
      </c>
      <c r="T119" s="5">
        <f t="shared" si="153"/>
        <v>0.25168882859999997</v>
      </c>
      <c r="U119" s="5">
        <f t="shared" si="154"/>
        <v>0.57463202876712327</v>
      </c>
      <c r="V119" s="5">
        <f t="shared" si="147"/>
        <v>0.25279680456911685</v>
      </c>
    </row>
    <row r="120" spans="2:22" x14ac:dyDescent="0.3">
      <c r="B120">
        <v>4</v>
      </c>
      <c r="C120">
        <v>13689.1</v>
      </c>
      <c r="D120">
        <v>39669</v>
      </c>
      <c r="E120">
        <v>2750.5</v>
      </c>
      <c r="F120">
        <f t="shared" si="144"/>
        <v>3.9668999999999999</v>
      </c>
      <c r="G120">
        <f t="shared" si="145"/>
        <v>1.3689100000000001</v>
      </c>
      <c r="H120">
        <f t="shared" si="146"/>
        <v>2.5979899999999998</v>
      </c>
      <c r="I120">
        <f t="shared" si="148"/>
        <v>0.27505000000000002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0.15311288336483794</v>
      </c>
      <c r="P120" s="4">
        <v>3</v>
      </c>
      <c r="Q120" s="5">
        <f t="shared" si="151"/>
        <v>2.5979899999999998</v>
      </c>
      <c r="R120" s="5">
        <f t="shared" si="151"/>
        <v>0.27505000000000002</v>
      </c>
      <c r="S120" s="5">
        <f t="shared" si="152"/>
        <v>2.8863668899999997</v>
      </c>
      <c r="T120" s="5">
        <f t="shared" si="153"/>
        <v>0.17318201339999997</v>
      </c>
      <c r="U120" s="5">
        <f t="shared" si="154"/>
        <v>0.39539272465753422</v>
      </c>
      <c r="V120" s="5">
        <f t="shared" si="147"/>
        <v>0.15311288336483794</v>
      </c>
    </row>
    <row r="121" spans="2:22" x14ac:dyDescent="0.3">
      <c r="B121">
        <v>5</v>
      </c>
      <c r="C121">
        <v>12285.2</v>
      </c>
      <c r="D121">
        <v>36301.4</v>
      </c>
      <c r="E121">
        <v>725.3</v>
      </c>
      <c r="F121">
        <f t="shared" si="144"/>
        <v>3.6301400000000004</v>
      </c>
      <c r="G121">
        <f t="shared" si="145"/>
        <v>1.2285200000000001</v>
      </c>
      <c r="H121">
        <f t="shared" si="146"/>
        <v>2.4016200000000003</v>
      </c>
      <c r="I121">
        <f t="shared" si="148"/>
        <v>7.2529999999999997E-2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0.11066438002735884</v>
      </c>
      <c r="P121" s="4">
        <v>3</v>
      </c>
      <c r="Q121" s="5">
        <f t="shared" si="151"/>
        <v>2.4016200000000003</v>
      </c>
      <c r="R121" s="5">
        <f t="shared" si="151"/>
        <v>7.2529999999999997E-2</v>
      </c>
      <c r="S121" s="5">
        <f t="shared" si="152"/>
        <v>2.6681998199999999</v>
      </c>
      <c r="T121" s="5">
        <f t="shared" si="153"/>
        <v>0.16009198919999998</v>
      </c>
      <c r="U121" s="5">
        <f t="shared" si="154"/>
        <v>0.36550682465753426</v>
      </c>
      <c r="V121" s="5">
        <f t="shared" si="147"/>
        <v>0.11066438002735884</v>
      </c>
    </row>
    <row r="122" spans="2:22" x14ac:dyDescent="0.3">
      <c r="B122">
        <v>6</v>
      </c>
      <c r="C122">
        <v>12691.1</v>
      </c>
      <c r="D122">
        <v>37372</v>
      </c>
      <c r="E122">
        <v>504.3</v>
      </c>
      <c r="F122">
        <f t="shared" si="144"/>
        <v>3.7372000000000001</v>
      </c>
      <c r="G122">
        <f t="shared" si="145"/>
        <v>1.26911</v>
      </c>
      <c r="H122">
        <f t="shared" si="146"/>
        <v>2.4680900000000001</v>
      </c>
      <c r="I122">
        <f t="shared" si="148"/>
        <v>5.0430000000000003E-2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7.6601060869959436E-2</v>
      </c>
      <c r="P122" s="4">
        <v>4</v>
      </c>
      <c r="Q122" s="5">
        <f t="shared" si="151"/>
        <v>2.4680900000000001</v>
      </c>
      <c r="R122" s="5">
        <f t="shared" si="151"/>
        <v>5.0430000000000003E-2</v>
      </c>
      <c r="S122" s="5">
        <f t="shared" si="152"/>
        <v>2.0565359925000002</v>
      </c>
      <c r="T122" s="5">
        <f t="shared" si="153"/>
        <v>0.12339215955000001</v>
      </c>
      <c r="U122" s="5">
        <f t="shared" si="154"/>
        <v>0.28171725924657537</v>
      </c>
      <c r="V122" s="5">
        <f t="shared" si="147"/>
        <v>7.6601060869959436E-2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44"/>
        <v>0</v>
      </c>
      <c r="G123">
        <f t="shared" si="145"/>
        <v>0</v>
      </c>
      <c r="H123">
        <f t="shared" si="146"/>
        <v>0</v>
      </c>
      <c r="I123">
        <f t="shared" si="148"/>
        <v>0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5.5376142640169553E-2</v>
      </c>
      <c r="P123" s="4">
        <v>4</v>
      </c>
      <c r="Q123" s="5">
        <f t="shared" si="151"/>
        <v>0</v>
      </c>
      <c r="R123" s="5">
        <f t="shared" si="151"/>
        <v>0</v>
      </c>
      <c r="S123" s="5">
        <f t="shared" si="152"/>
        <v>0</v>
      </c>
      <c r="T123" s="5">
        <f t="shared" si="153"/>
        <v>0</v>
      </c>
      <c r="U123" s="5">
        <f t="shared" si="154"/>
        <v>0</v>
      </c>
      <c r="V123" s="5">
        <f t="shared" si="147"/>
        <v>5.5376142640169553E-2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44"/>
        <v>0</v>
      </c>
      <c r="G124">
        <f t="shared" si="145"/>
        <v>0</v>
      </c>
      <c r="H124">
        <f t="shared" si="146"/>
        <v>0</v>
      </c>
      <c r="I124">
        <f t="shared" si="148"/>
        <v>0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4.6439295988135315E-2</v>
      </c>
      <c r="P124" s="4">
        <v>5</v>
      </c>
      <c r="Q124" s="5">
        <f t="shared" si="151"/>
        <v>0</v>
      </c>
      <c r="R124" s="5">
        <f t="shared" si="151"/>
        <v>0</v>
      </c>
      <c r="S124" s="5">
        <f t="shared" si="152"/>
        <v>0</v>
      </c>
      <c r="T124" s="5">
        <f t="shared" si="153"/>
        <v>0</v>
      </c>
      <c r="U124" s="5">
        <f t="shared" si="154"/>
        <v>0</v>
      </c>
      <c r="V124" s="5">
        <f t="shared" si="147"/>
        <v>4.6439295988135315E-2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44"/>
        <v>0</v>
      </c>
      <c r="G125">
        <f t="shared" si="145"/>
        <v>0</v>
      </c>
      <c r="H125">
        <f t="shared" si="146"/>
        <v>0</v>
      </c>
      <c r="I125">
        <f t="shared" si="148"/>
        <v>0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3.7426770404311603E-2</v>
      </c>
      <c r="P125" s="4">
        <v>8</v>
      </c>
      <c r="Q125" s="5">
        <f t="shared" si="151"/>
        <v>0</v>
      </c>
      <c r="R125" s="5">
        <f t="shared" si="151"/>
        <v>0</v>
      </c>
      <c r="S125" s="5">
        <f t="shared" si="152"/>
        <v>0</v>
      </c>
      <c r="T125" s="5">
        <f t="shared" si="153"/>
        <v>0</v>
      </c>
      <c r="U125" s="5">
        <f t="shared" si="154"/>
        <v>0</v>
      </c>
      <c r="V125" s="5">
        <f t="shared" si="147"/>
        <v>3.7426770404311603E-2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2.6801995585460158E-2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2.6801995585460158E-2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1.7284017847267675E-2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1.7284017847267675E-2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-123.4</v>
      </c>
      <c r="D131">
        <v>40368.9</v>
      </c>
      <c r="E131">
        <v>3690.5</v>
      </c>
      <c r="F131">
        <f t="shared" ref="F131:F141" si="156">D131/10000</f>
        <v>4.0368900000000005</v>
      </c>
      <c r="G131">
        <f t="shared" ref="G131:G141" si="157">C131/10000</f>
        <v>-1.234E-2</v>
      </c>
      <c r="H131">
        <f t="shared" ref="H131:H141" si="158">F131-G131</f>
        <v>4.0492300000000006</v>
      </c>
      <c r="I131">
        <f>E131/10000</f>
        <v>0.36904999999999999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0.22023244726672961</v>
      </c>
      <c r="P131" s="2">
        <v>3</v>
      </c>
      <c r="Q131" s="8">
        <f>H131</f>
        <v>4.0492300000000006</v>
      </c>
      <c r="R131" s="8">
        <f>I131</f>
        <v>0.36904999999999999</v>
      </c>
      <c r="S131" s="8">
        <f>Q131/10^6*$Z$4*$Z$3/P131*10^12</f>
        <v>4.4986945300000016</v>
      </c>
      <c r="T131" s="8">
        <f>S131*0.06</f>
        <v>0.2699216718000001</v>
      </c>
      <c r="U131" s="8">
        <f>S131/$Z$1</f>
        <v>0.61625952465753453</v>
      </c>
      <c r="V131" s="12">
        <f t="shared" ref="V131:V141" si="159">O131</f>
        <v>0.22023244726672961</v>
      </c>
    </row>
    <row r="132" spans="2:22" x14ac:dyDescent="0.3">
      <c r="B132">
        <v>2</v>
      </c>
      <c r="C132">
        <v>5762.1</v>
      </c>
      <c r="D132">
        <v>44659</v>
      </c>
      <c r="E132">
        <v>3226.2</v>
      </c>
      <c r="F132">
        <f t="shared" si="156"/>
        <v>4.4659000000000004</v>
      </c>
      <c r="G132">
        <f t="shared" si="157"/>
        <v>0.57621</v>
      </c>
      <c r="H132">
        <f t="shared" si="158"/>
        <v>3.8896900000000003</v>
      </c>
      <c r="I132">
        <f t="shared" ref="I132:I141" si="160">E132/10000</f>
        <v>0.32261999999999996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0.19535461978872737</v>
      </c>
      <c r="P132" s="4">
        <v>3</v>
      </c>
      <c r="Q132" s="5">
        <f t="shared" ref="Q132:R141" si="163">H132</f>
        <v>3.8896900000000003</v>
      </c>
      <c r="R132" s="5">
        <f t="shared" si="163"/>
        <v>0.32261999999999996</v>
      </c>
      <c r="S132" s="5">
        <f t="shared" ref="S132:S141" si="164">Q132/10^6*$Z$4*$Z$3/P132*10^12</f>
        <v>4.3214455900000015</v>
      </c>
      <c r="T132" s="5">
        <f t="shared" ref="T132:T141" si="165">S132*0.06</f>
        <v>0.25928673540000008</v>
      </c>
      <c r="U132" s="5">
        <f t="shared" ref="U132:U141" si="166">S132/$Z$1</f>
        <v>0.59197884794520572</v>
      </c>
      <c r="V132" s="5">
        <f t="shared" si="159"/>
        <v>0.19535461978872737</v>
      </c>
    </row>
    <row r="133" spans="2:22" x14ac:dyDescent="0.3">
      <c r="B133">
        <v>3</v>
      </c>
      <c r="C133">
        <v>8822.7000000000007</v>
      </c>
      <c r="D133">
        <v>49550.1</v>
      </c>
      <c r="E133">
        <v>3219.6</v>
      </c>
      <c r="F133">
        <f t="shared" si="156"/>
        <v>4.9550099999999997</v>
      </c>
      <c r="G133">
        <f t="shared" si="157"/>
        <v>0.88227000000000011</v>
      </c>
      <c r="H133">
        <f t="shared" si="158"/>
        <v>4.0727399999999996</v>
      </c>
      <c r="I133">
        <f t="shared" si="160"/>
        <v>0.32195999999999997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0.16853120304607791</v>
      </c>
      <c r="P133" s="4">
        <v>3</v>
      </c>
      <c r="Q133" s="5">
        <f t="shared" si="163"/>
        <v>4.0727399999999996</v>
      </c>
      <c r="R133" s="5">
        <f t="shared" si="163"/>
        <v>0.32195999999999997</v>
      </c>
      <c r="S133" s="5">
        <f t="shared" si="164"/>
        <v>4.5248141399999993</v>
      </c>
      <c r="T133" s="5">
        <f t="shared" si="165"/>
        <v>0.27148884839999993</v>
      </c>
      <c r="U133" s="5">
        <f t="shared" si="166"/>
        <v>0.61983755342465741</v>
      </c>
      <c r="V133" s="5">
        <f t="shared" si="159"/>
        <v>0.16853120304607791</v>
      </c>
    </row>
    <row r="134" spans="2:22" x14ac:dyDescent="0.3">
      <c r="B134">
        <v>4</v>
      </c>
      <c r="C134">
        <v>10598.9</v>
      </c>
      <c r="D134">
        <v>43159.1</v>
      </c>
      <c r="E134">
        <v>2461</v>
      </c>
      <c r="F134">
        <f t="shared" si="156"/>
        <v>4.3159099999999997</v>
      </c>
      <c r="G134">
        <f t="shared" si="157"/>
        <v>1.05989</v>
      </c>
      <c r="H134">
        <f t="shared" si="158"/>
        <v>3.2560199999999995</v>
      </c>
      <c r="I134">
        <f t="shared" si="160"/>
        <v>0.24610000000000001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0.10207525557655862</v>
      </c>
      <c r="P134" s="4">
        <v>3</v>
      </c>
      <c r="Q134" s="5">
        <f t="shared" si="163"/>
        <v>3.2560199999999995</v>
      </c>
      <c r="R134" s="5">
        <f t="shared" si="163"/>
        <v>0.24610000000000001</v>
      </c>
      <c r="S134" s="5">
        <f t="shared" si="164"/>
        <v>3.6174382199999999</v>
      </c>
      <c r="T134" s="5">
        <f t="shared" si="165"/>
        <v>0.21704629319999999</v>
      </c>
      <c r="U134" s="5">
        <f t="shared" si="166"/>
        <v>0.49553948219178084</v>
      </c>
      <c r="V134" s="5">
        <f t="shared" si="159"/>
        <v>0.10207525557655862</v>
      </c>
    </row>
    <row r="135" spans="2:22" x14ac:dyDescent="0.3">
      <c r="B135">
        <v>5</v>
      </c>
      <c r="C135">
        <v>10129.299999999999</v>
      </c>
      <c r="D135">
        <v>30616.9</v>
      </c>
      <c r="E135">
        <v>4574.8</v>
      </c>
      <c r="F135">
        <f t="shared" si="156"/>
        <v>3.06169</v>
      </c>
      <c r="G135">
        <f t="shared" si="157"/>
        <v>1.0129299999999999</v>
      </c>
      <c r="H135">
        <f t="shared" si="158"/>
        <v>2.0487600000000001</v>
      </c>
      <c r="I135">
        <f t="shared" si="160"/>
        <v>0.45748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7.3776253351572563E-2</v>
      </c>
      <c r="P135" s="4">
        <v>3</v>
      </c>
      <c r="Q135" s="5">
        <f t="shared" si="163"/>
        <v>2.0487600000000001</v>
      </c>
      <c r="R135" s="5">
        <f t="shared" si="163"/>
        <v>0.45748</v>
      </c>
      <c r="S135" s="5">
        <f t="shared" si="164"/>
        <v>2.2761723600000003</v>
      </c>
      <c r="T135" s="5">
        <f t="shared" si="165"/>
        <v>0.13657034160000001</v>
      </c>
      <c r="U135" s="5">
        <f t="shared" si="166"/>
        <v>0.31180443287671239</v>
      </c>
      <c r="V135" s="5">
        <f t="shared" si="159"/>
        <v>7.3776253351572563E-2</v>
      </c>
    </row>
    <row r="136" spans="2:22" x14ac:dyDescent="0.3">
      <c r="B136">
        <v>6</v>
      </c>
      <c r="C136">
        <v>5464.4</v>
      </c>
      <c r="D136">
        <v>17588.5</v>
      </c>
      <c r="E136">
        <v>2089.3000000000002</v>
      </c>
      <c r="F136">
        <f t="shared" si="156"/>
        <v>1.75885</v>
      </c>
      <c r="G136">
        <f t="shared" si="157"/>
        <v>0.54643999999999993</v>
      </c>
      <c r="H136">
        <f t="shared" si="158"/>
        <v>1.2124100000000002</v>
      </c>
      <c r="I136">
        <f t="shared" si="160"/>
        <v>0.20893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5.1067373913306291E-2</v>
      </c>
      <c r="P136" s="4">
        <v>4</v>
      </c>
      <c r="Q136" s="5">
        <f t="shared" si="163"/>
        <v>1.2124100000000002</v>
      </c>
      <c r="R136" s="5">
        <f t="shared" si="163"/>
        <v>0.20893</v>
      </c>
      <c r="S136" s="5">
        <f t="shared" si="164"/>
        <v>1.0102406325000002</v>
      </c>
      <c r="T136" s="5">
        <f t="shared" si="165"/>
        <v>6.0614437950000009E-2</v>
      </c>
      <c r="U136" s="5">
        <f t="shared" si="166"/>
        <v>0.13838912773972606</v>
      </c>
      <c r="V136" s="5">
        <f t="shared" si="159"/>
        <v>5.1067373913306291E-2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3.6917428426779704E-2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3.6917428426779704E-2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3.0959530658756878E-2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3.0959530658756878E-2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2.495118026954107E-2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2.495118026954107E-2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1.7867997056973436E-2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1.7867997056973436E-2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1.1522678564845117E-2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1.1522678564845117E-2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412.3</v>
      </c>
      <c r="D145">
        <v>41508.300000000003</v>
      </c>
      <c r="E145">
        <v>4708.1000000000004</v>
      </c>
      <c r="F145">
        <f t="shared" ref="F145:F155" si="168">D145/10000</f>
        <v>4.15083</v>
      </c>
      <c r="G145">
        <f t="shared" ref="G145:G155" si="169">C145/10000</f>
        <v>4.1230000000000003E-2</v>
      </c>
      <c r="H145">
        <f t="shared" ref="H145:H155" si="170">F145-G145</f>
        <v>4.1096000000000004</v>
      </c>
      <c r="I145">
        <f>E145/10000</f>
        <v>0.47081000000000006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0.1651743354500472</v>
      </c>
      <c r="P145" s="2">
        <v>3</v>
      </c>
      <c r="Q145" s="8">
        <f>H145</f>
        <v>4.1096000000000004</v>
      </c>
      <c r="R145" s="8">
        <f>I145</f>
        <v>0.47081000000000006</v>
      </c>
      <c r="S145" s="8">
        <f>Q145/10^6*$Z$4*$Z$3/P145*10^12</f>
        <v>4.5657656000000006</v>
      </c>
      <c r="T145" s="8">
        <f>S145*0.06</f>
        <v>0.273945936</v>
      </c>
      <c r="U145" s="8">
        <f>S145/$Z$1</f>
        <v>0.62544734246575351</v>
      </c>
      <c r="V145" s="12">
        <f t="shared" ref="V145:V155" si="171">O145</f>
        <v>0.1651743354500472</v>
      </c>
    </row>
    <row r="146" spans="2:22" x14ac:dyDescent="0.3">
      <c r="B146">
        <v>2</v>
      </c>
      <c r="C146">
        <v>4782.3999999999996</v>
      </c>
      <c r="D146">
        <v>45644.2</v>
      </c>
      <c r="E146">
        <v>3649.1</v>
      </c>
      <c r="F146">
        <f t="shared" si="168"/>
        <v>4.5644200000000001</v>
      </c>
      <c r="G146">
        <f t="shared" si="169"/>
        <v>0.47823999999999994</v>
      </c>
      <c r="H146">
        <f t="shared" si="170"/>
        <v>4.0861800000000006</v>
      </c>
      <c r="I146">
        <f t="shared" ref="I146:I155" si="172">E146/10000</f>
        <v>0.36491000000000001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0.14651596484154553</v>
      </c>
      <c r="P146" s="4">
        <v>3</v>
      </c>
      <c r="Q146" s="5">
        <f t="shared" ref="Q146:R155" si="175">H146</f>
        <v>4.0861800000000006</v>
      </c>
      <c r="R146" s="5">
        <f t="shared" si="175"/>
        <v>0.36491000000000001</v>
      </c>
      <c r="S146" s="5">
        <f t="shared" ref="S146:S155" si="176">Q146/10^6*$Z$4*$Z$3/P146*10^12</f>
        <v>4.5397459800000011</v>
      </c>
      <c r="T146" s="5">
        <f t="shared" ref="T146:T155" si="177">S146*0.06</f>
        <v>0.27238475880000007</v>
      </c>
      <c r="U146" s="5">
        <f t="shared" ref="U146:U155" si="178">S146/$Z$1</f>
        <v>0.6218830109589043</v>
      </c>
      <c r="V146" s="5">
        <f t="shared" si="171"/>
        <v>0.14651596484154553</v>
      </c>
    </row>
    <row r="147" spans="2:22" x14ac:dyDescent="0.3">
      <c r="B147">
        <v>3</v>
      </c>
      <c r="C147">
        <v>8545.6</v>
      </c>
      <c r="D147">
        <v>48832.4</v>
      </c>
      <c r="E147">
        <v>3703.3</v>
      </c>
      <c r="F147">
        <f t="shared" si="168"/>
        <v>4.8832399999999998</v>
      </c>
      <c r="G147">
        <f t="shared" si="169"/>
        <v>0.85455999999999999</v>
      </c>
      <c r="H147">
        <f t="shared" si="170"/>
        <v>4.0286799999999996</v>
      </c>
      <c r="I147">
        <f t="shared" si="172"/>
        <v>0.37032999999999999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0.12639840228455843</v>
      </c>
      <c r="P147" s="4">
        <v>3</v>
      </c>
      <c r="Q147" s="5">
        <f t="shared" si="175"/>
        <v>4.0286799999999996</v>
      </c>
      <c r="R147" s="5">
        <f t="shared" si="175"/>
        <v>0.37032999999999999</v>
      </c>
      <c r="S147" s="5">
        <f t="shared" si="176"/>
        <v>4.4758634800000001</v>
      </c>
      <c r="T147" s="5">
        <f t="shared" si="177"/>
        <v>0.26855180880000001</v>
      </c>
      <c r="U147" s="5">
        <f t="shared" si="178"/>
        <v>0.61313198356164389</v>
      </c>
      <c r="V147" s="5">
        <f t="shared" si="171"/>
        <v>0.12639840228455843</v>
      </c>
    </row>
    <row r="148" spans="2:22" x14ac:dyDescent="0.3">
      <c r="B148">
        <v>4</v>
      </c>
      <c r="C148">
        <v>10762.8</v>
      </c>
      <c r="D148">
        <v>38897.699999999997</v>
      </c>
      <c r="E148">
        <v>3437.7</v>
      </c>
      <c r="F148">
        <f t="shared" si="168"/>
        <v>3.8897699999999995</v>
      </c>
      <c r="G148">
        <f t="shared" si="169"/>
        <v>1.0762799999999999</v>
      </c>
      <c r="H148">
        <f t="shared" si="170"/>
        <v>2.8134899999999998</v>
      </c>
      <c r="I148">
        <f t="shared" si="172"/>
        <v>0.34376999999999996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7.6556441682418971E-2</v>
      </c>
      <c r="P148" s="4">
        <v>3</v>
      </c>
      <c r="Q148" s="5">
        <f t="shared" si="175"/>
        <v>2.8134899999999998</v>
      </c>
      <c r="R148" s="5">
        <f t="shared" si="175"/>
        <v>0.34376999999999996</v>
      </c>
      <c r="S148" s="5">
        <f t="shared" si="176"/>
        <v>3.1257873900000002</v>
      </c>
      <c r="T148" s="5">
        <f t="shared" si="177"/>
        <v>0.18754724340000001</v>
      </c>
      <c r="U148" s="5">
        <f t="shared" si="178"/>
        <v>0.42819005342465755</v>
      </c>
      <c r="V148" s="5">
        <f t="shared" si="171"/>
        <v>7.6556441682418971E-2</v>
      </c>
    </row>
    <row r="149" spans="2:22" x14ac:dyDescent="0.3">
      <c r="B149">
        <v>5</v>
      </c>
      <c r="C149">
        <v>11153.7</v>
      </c>
      <c r="D149">
        <v>25787.1</v>
      </c>
      <c r="E149">
        <v>693.2</v>
      </c>
      <c r="F149">
        <f t="shared" si="168"/>
        <v>2.5787100000000001</v>
      </c>
      <c r="G149">
        <f t="shared" si="169"/>
        <v>1.11537</v>
      </c>
      <c r="H149">
        <f t="shared" si="170"/>
        <v>1.4633400000000001</v>
      </c>
      <c r="I149">
        <f t="shared" si="172"/>
        <v>6.9320000000000007E-2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5.5332190013679422E-2</v>
      </c>
      <c r="P149" s="4">
        <v>3</v>
      </c>
      <c r="Q149" s="5">
        <f t="shared" si="175"/>
        <v>1.4633400000000001</v>
      </c>
      <c r="R149" s="5">
        <f t="shared" si="175"/>
        <v>6.9320000000000007E-2</v>
      </c>
      <c r="S149" s="5">
        <f t="shared" si="176"/>
        <v>1.6257707400000001</v>
      </c>
      <c r="T149" s="5">
        <f t="shared" si="177"/>
        <v>9.754624440000001E-2</v>
      </c>
      <c r="U149" s="5">
        <f t="shared" si="178"/>
        <v>0.22270832054794523</v>
      </c>
      <c r="V149" s="5">
        <f t="shared" si="171"/>
        <v>5.5332190013679422E-2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3.8300530434979718E-2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3.8300530434979718E-2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2.7688071320084776E-2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2.7688071320084776E-2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2.3219647994067658E-2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2.3219647994067658E-2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1.8713385202155802E-2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1.8713385202155802E-2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1.3400997792730079E-2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1.3400997792730079E-2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8.6420089236338374E-3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8.6420089236338374E-3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130.80000000000001</v>
      </c>
      <c r="D159">
        <v>44227</v>
      </c>
      <c r="E159">
        <v>5385</v>
      </c>
      <c r="F159">
        <f t="shared" ref="F159:F169" si="180">D159/10000</f>
        <v>4.4226999999999999</v>
      </c>
      <c r="G159">
        <f t="shared" ref="G159:G169" si="181">C159/10000</f>
        <v>1.3080000000000001E-2</v>
      </c>
      <c r="H159">
        <f t="shared" ref="H159:H169" si="182">F159-G159</f>
        <v>4.4096199999999994</v>
      </c>
      <c r="I159">
        <f>E159/10000</f>
        <v>0.53849999999999998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0.13213946836003776</v>
      </c>
      <c r="P159" s="2">
        <v>3</v>
      </c>
      <c r="Q159" s="8">
        <f>H159</f>
        <v>4.4096199999999994</v>
      </c>
      <c r="R159" s="8">
        <f>I159</f>
        <v>0.53849999999999998</v>
      </c>
      <c r="S159" s="8">
        <f>Q159/10^6*$Z$4*$Z$3/P159*10^12</f>
        <v>4.8990878200000001</v>
      </c>
      <c r="T159" s="8">
        <f>S159*0.06</f>
        <v>0.29394526919999997</v>
      </c>
      <c r="U159" s="8">
        <f>S159/$Z$1</f>
        <v>0.67110792054794521</v>
      </c>
      <c r="V159" s="12">
        <f t="shared" ref="V159:V169" si="183">O159</f>
        <v>0.13213946836003776</v>
      </c>
    </row>
    <row r="160" spans="2:22" x14ac:dyDescent="0.3">
      <c r="B160">
        <v>2</v>
      </c>
      <c r="C160">
        <v>6330.1</v>
      </c>
      <c r="D160">
        <v>45906.3</v>
      </c>
      <c r="E160">
        <v>4592.1000000000004</v>
      </c>
      <c r="F160">
        <f t="shared" si="180"/>
        <v>4.59063</v>
      </c>
      <c r="G160">
        <f t="shared" si="181"/>
        <v>0.63301000000000007</v>
      </c>
      <c r="H160">
        <f t="shared" si="182"/>
        <v>3.9576199999999999</v>
      </c>
      <c r="I160">
        <f t="shared" ref="I160:I169" si="184">E160/10000</f>
        <v>0.45921000000000006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0.11721277187323641</v>
      </c>
      <c r="P160" s="4">
        <v>3</v>
      </c>
      <c r="Q160" s="5">
        <f t="shared" ref="Q160:R169" si="187">H160</f>
        <v>3.9576199999999999</v>
      </c>
      <c r="R160" s="5">
        <f t="shared" si="187"/>
        <v>0.45921000000000006</v>
      </c>
      <c r="S160" s="5">
        <f t="shared" ref="S160:S169" si="188">Q160/10^6*$Z$4*$Z$3/P160*10^12</f>
        <v>4.3969158199999994</v>
      </c>
      <c r="T160" s="5">
        <f t="shared" ref="T160:T169" si="189">S160*0.06</f>
        <v>0.26381494919999993</v>
      </c>
      <c r="U160" s="5">
        <f t="shared" ref="U160:U169" si="190">S160/$Z$1</f>
        <v>0.60231723561643824</v>
      </c>
      <c r="V160" s="5">
        <f t="shared" si="183"/>
        <v>0.11721277187323641</v>
      </c>
    </row>
    <row r="161" spans="2:22" x14ac:dyDescent="0.3">
      <c r="B161">
        <v>3</v>
      </c>
      <c r="C161">
        <v>9679.9</v>
      </c>
      <c r="D161">
        <v>50325.2</v>
      </c>
      <c r="E161">
        <v>4405.1000000000004</v>
      </c>
      <c r="F161">
        <f t="shared" si="180"/>
        <v>5.0325199999999999</v>
      </c>
      <c r="G161">
        <f t="shared" si="181"/>
        <v>0.96799000000000002</v>
      </c>
      <c r="H161">
        <f t="shared" si="182"/>
        <v>4.0645299999999995</v>
      </c>
      <c r="I161">
        <f t="shared" si="184"/>
        <v>0.44051000000000001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0.10111872182764675</v>
      </c>
      <c r="P161" s="4">
        <v>3</v>
      </c>
      <c r="Q161" s="5">
        <f t="shared" si="187"/>
        <v>4.0645299999999995</v>
      </c>
      <c r="R161" s="5">
        <f t="shared" si="187"/>
        <v>0.44051000000000001</v>
      </c>
      <c r="S161" s="5">
        <f t="shared" si="188"/>
        <v>4.515692829999999</v>
      </c>
      <c r="T161" s="5">
        <f t="shared" si="189"/>
        <v>0.27094156979999995</v>
      </c>
      <c r="U161" s="5">
        <f t="shared" si="190"/>
        <v>0.61858805890410951</v>
      </c>
      <c r="V161" s="5">
        <f t="shared" si="183"/>
        <v>0.10111872182764675</v>
      </c>
    </row>
    <row r="162" spans="2:22" x14ac:dyDescent="0.3">
      <c r="B162">
        <v>4</v>
      </c>
      <c r="C162">
        <v>13244.3</v>
      </c>
      <c r="D162">
        <v>32313.5</v>
      </c>
      <c r="E162">
        <v>4425.2</v>
      </c>
      <c r="F162">
        <f t="shared" si="180"/>
        <v>3.2313499999999999</v>
      </c>
      <c r="G162">
        <f t="shared" si="181"/>
        <v>1.32443</v>
      </c>
      <c r="H162">
        <f t="shared" si="182"/>
        <v>1.9069199999999999</v>
      </c>
      <c r="I162">
        <f t="shared" si="184"/>
        <v>0.44251999999999997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6.1245153345935173E-2</v>
      </c>
      <c r="P162" s="4">
        <v>3</v>
      </c>
      <c r="Q162" s="5">
        <f t="shared" si="187"/>
        <v>1.9069199999999999</v>
      </c>
      <c r="R162" s="5">
        <f t="shared" si="187"/>
        <v>0.44251999999999997</v>
      </c>
      <c r="S162" s="5">
        <f t="shared" si="188"/>
        <v>2.1185881200000001</v>
      </c>
      <c r="T162" s="5">
        <f t="shared" si="189"/>
        <v>0.12711528720000001</v>
      </c>
      <c r="U162" s="5">
        <f t="shared" si="190"/>
        <v>0.29021755068493155</v>
      </c>
      <c r="V162" s="5">
        <f t="shared" si="183"/>
        <v>6.1245153345935173E-2</v>
      </c>
    </row>
    <row r="163" spans="2:22" x14ac:dyDescent="0.3">
      <c r="B163">
        <v>5</v>
      </c>
      <c r="C163">
        <v>12854.3</v>
      </c>
      <c r="D163">
        <v>20289.400000000001</v>
      </c>
      <c r="E163">
        <v>738.89</v>
      </c>
      <c r="F163">
        <f t="shared" si="180"/>
        <v>2.02894</v>
      </c>
      <c r="G163">
        <f t="shared" si="181"/>
        <v>1.2854299999999999</v>
      </c>
      <c r="H163">
        <f t="shared" si="182"/>
        <v>0.74351000000000012</v>
      </c>
      <c r="I163">
        <f t="shared" si="184"/>
        <v>7.3888999999999996E-2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4.4265752010943543E-2</v>
      </c>
      <c r="P163" s="4">
        <v>3</v>
      </c>
      <c r="Q163" s="5">
        <f t="shared" si="187"/>
        <v>0.74351000000000012</v>
      </c>
      <c r="R163" s="5">
        <f t="shared" si="187"/>
        <v>7.3888999999999996E-2</v>
      </c>
      <c r="S163" s="5">
        <f t="shared" si="188"/>
        <v>0.82603961000000026</v>
      </c>
      <c r="T163" s="5">
        <f t="shared" si="189"/>
        <v>4.9562376600000013E-2</v>
      </c>
      <c r="U163" s="5">
        <f t="shared" si="190"/>
        <v>0.11315611095890414</v>
      </c>
      <c r="V163" s="5">
        <f t="shared" si="183"/>
        <v>4.4265752010943543E-2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3.0640424347983777E-2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3.0640424347983777E-2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2.2150457056067819E-2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2.2150457056067819E-2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1.8575718395254126E-2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1.8575718395254126E-2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1.497070816172464E-2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1.497070816172464E-2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1.0720798234184063E-2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1.0720798234184063E-2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6.9136071389070694E-3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6.9136071389070694E-3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Q170"/>
  <sheetViews>
    <sheetView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655.7</v>
      </c>
      <c r="D5">
        <v>88710.1</v>
      </c>
      <c r="E5">
        <v>3927.7</v>
      </c>
      <c r="F5">
        <f t="shared" ref="F5:F15" si="0">D5/10000</f>
        <v>8.8710100000000001</v>
      </c>
      <c r="G5">
        <f t="shared" ref="G5:G15" si="1">C5/10000</f>
        <v>6.5570000000000003E-2</v>
      </c>
      <c r="H5">
        <f t="shared" ref="H5:H15" si="2">F5-G5</f>
        <v>8.8054400000000008</v>
      </c>
      <c r="I5">
        <f>E5/10000</f>
        <v>0.39277000000000001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1.238807515875354</v>
      </c>
      <c r="P5" s="2">
        <v>3</v>
      </c>
      <c r="Q5" s="8">
        <f>H5</f>
        <v>8.8054400000000008</v>
      </c>
      <c r="R5" s="8">
        <f>I5</f>
        <v>0.39277000000000001</v>
      </c>
      <c r="S5" s="8">
        <f>Q5/10^6*$Z$4*$Z$3/P5*10^12</f>
        <v>9.7828438400000035</v>
      </c>
      <c r="T5" s="8">
        <f>S5*0.06</f>
        <v>0.58697063040000019</v>
      </c>
      <c r="U5" s="8">
        <f>S5/$Z$1</f>
        <v>1.3401155945205485</v>
      </c>
      <c r="V5" s="12">
        <f t="shared" ref="V5:V15" si="4">O5</f>
        <v>1.238807515875354</v>
      </c>
    </row>
    <row r="6" spans="2:95" x14ac:dyDescent="0.3">
      <c r="B6">
        <v>2</v>
      </c>
      <c r="C6">
        <v>213.2</v>
      </c>
      <c r="D6">
        <v>94720.7</v>
      </c>
      <c r="E6">
        <v>3194.5</v>
      </c>
      <c r="F6">
        <f t="shared" si="0"/>
        <v>9.4720700000000004</v>
      </c>
      <c r="G6">
        <f t="shared" si="1"/>
        <v>2.1319999999999999E-2</v>
      </c>
      <c r="H6">
        <f t="shared" si="2"/>
        <v>9.4507500000000011</v>
      </c>
      <c r="I6">
        <f t="shared" ref="I6:I15" si="5">E6/10000</f>
        <v>0.31945000000000001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1.0988697363115913</v>
      </c>
      <c r="P6" s="4">
        <v>3</v>
      </c>
      <c r="Q6" s="5">
        <f t="shared" ref="Q6:R15" si="7">H6</f>
        <v>9.4507500000000011</v>
      </c>
      <c r="R6" s="5">
        <f t="shared" si="7"/>
        <v>0.31945000000000001</v>
      </c>
      <c r="S6" s="5">
        <f t="shared" ref="S6:S15" si="8">Q6/10^6*$Z$4*$Z$3/P6*10^12</f>
        <v>10.499783250000004</v>
      </c>
      <c r="T6" s="5">
        <f t="shared" ref="T6:T15" si="9">S6*0.06</f>
        <v>0.62998699500000022</v>
      </c>
      <c r="U6" s="5">
        <f t="shared" ref="U6:U15" si="10">S6/$Z$1</f>
        <v>1.4383264726027403</v>
      </c>
      <c r="V6" s="5">
        <f t="shared" si="4"/>
        <v>1.0988697363115913</v>
      </c>
    </row>
    <row r="7" spans="2:95" x14ac:dyDescent="0.3">
      <c r="B7">
        <v>3</v>
      </c>
      <c r="C7">
        <v>7387.9</v>
      </c>
      <c r="D7">
        <v>91965.2</v>
      </c>
      <c r="E7">
        <v>2970.2</v>
      </c>
      <c r="F7">
        <f t="shared" si="0"/>
        <v>9.1965199999999996</v>
      </c>
      <c r="G7">
        <f t="shared" si="1"/>
        <v>0.73878999999999995</v>
      </c>
      <c r="H7">
        <f t="shared" si="2"/>
        <v>8.4577299999999997</v>
      </c>
      <c r="I7">
        <f t="shared" si="5"/>
        <v>0.29702000000000001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0.94798801713418823</v>
      </c>
      <c r="P7" s="4">
        <v>3</v>
      </c>
      <c r="Q7" s="5">
        <f t="shared" si="7"/>
        <v>8.4577299999999997</v>
      </c>
      <c r="R7" s="5">
        <f t="shared" si="7"/>
        <v>0.29702000000000001</v>
      </c>
      <c r="S7" s="5">
        <f t="shared" si="8"/>
        <v>9.3965380300000003</v>
      </c>
      <c r="T7" s="5">
        <f t="shared" si="9"/>
        <v>0.56379228179999996</v>
      </c>
      <c r="U7" s="5">
        <f t="shared" si="10"/>
        <v>1.287196990410959</v>
      </c>
      <c r="V7" s="5">
        <f t="shared" si="4"/>
        <v>0.94798801713418823</v>
      </c>
      <c r="Y7" t="s">
        <v>41</v>
      </c>
      <c r="Z7">
        <v>4</v>
      </c>
    </row>
    <row r="8" spans="2:95" x14ac:dyDescent="0.3">
      <c r="B8">
        <v>4</v>
      </c>
      <c r="C8">
        <v>11273</v>
      </c>
      <c r="D8">
        <v>71003.100000000006</v>
      </c>
      <c r="E8">
        <v>1531.3</v>
      </c>
      <c r="F8">
        <f t="shared" si="0"/>
        <v>7.1003100000000003</v>
      </c>
      <c r="G8">
        <f t="shared" si="1"/>
        <v>1.1273</v>
      </c>
      <c r="H8">
        <f t="shared" si="2"/>
        <v>5.9730100000000004</v>
      </c>
      <c r="I8">
        <f t="shared" si="5"/>
        <v>0.15312999999999999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0.57417331261814231</v>
      </c>
      <c r="P8" s="4">
        <v>3</v>
      </c>
      <c r="Q8" s="5">
        <f t="shared" si="7"/>
        <v>5.9730100000000004</v>
      </c>
      <c r="R8" s="5">
        <f t="shared" si="7"/>
        <v>0.15312999999999999</v>
      </c>
      <c r="S8" s="5">
        <f t="shared" si="8"/>
        <v>6.6360141099999996</v>
      </c>
      <c r="T8" s="5">
        <f t="shared" si="9"/>
        <v>0.39816084659999995</v>
      </c>
      <c r="U8" s="5">
        <f t="shared" si="10"/>
        <v>0.90904302876712328</v>
      </c>
      <c r="V8" s="5">
        <f t="shared" si="4"/>
        <v>0.57417331261814231</v>
      </c>
    </row>
    <row r="9" spans="2:95" x14ac:dyDescent="0.3">
      <c r="B9">
        <v>5</v>
      </c>
      <c r="C9">
        <v>15152</v>
      </c>
      <c r="D9">
        <v>64395.199999999997</v>
      </c>
      <c r="E9">
        <v>1371.1</v>
      </c>
      <c r="F9">
        <f t="shared" si="0"/>
        <v>6.4395199999999999</v>
      </c>
      <c r="G9">
        <f t="shared" si="1"/>
        <v>1.5152000000000001</v>
      </c>
      <c r="H9">
        <f t="shared" si="2"/>
        <v>4.9243199999999998</v>
      </c>
      <c r="I9">
        <f t="shared" si="5"/>
        <v>0.13710999999999998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0.41499142510259568</v>
      </c>
      <c r="P9" s="4">
        <v>3</v>
      </c>
      <c r="Q9" s="5">
        <f t="shared" si="7"/>
        <v>4.9243199999999998</v>
      </c>
      <c r="R9" s="5">
        <f t="shared" si="7"/>
        <v>0.13710999999999998</v>
      </c>
      <c r="S9" s="5">
        <f t="shared" si="8"/>
        <v>5.4709195200000007</v>
      </c>
      <c r="T9" s="5">
        <f t="shared" si="9"/>
        <v>0.32825517120000003</v>
      </c>
      <c r="U9" s="5">
        <f t="shared" si="10"/>
        <v>0.74944103013698637</v>
      </c>
      <c r="V9" s="5">
        <f t="shared" si="4"/>
        <v>0.41499142510259568</v>
      </c>
    </row>
    <row r="10" spans="2:95" ht="15" thickBot="1" x14ac:dyDescent="0.35">
      <c r="B10">
        <v>6</v>
      </c>
      <c r="C10">
        <v>11099.5</v>
      </c>
      <c r="D10">
        <v>73821.2</v>
      </c>
      <c r="E10">
        <v>1022.7</v>
      </c>
      <c r="F10">
        <f t="shared" si="0"/>
        <v>7.3821199999999996</v>
      </c>
      <c r="G10">
        <f t="shared" si="1"/>
        <v>1.10995</v>
      </c>
      <c r="H10">
        <f t="shared" si="2"/>
        <v>6.2721699999999991</v>
      </c>
      <c r="I10">
        <f t="shared" si="5"/>
        <v>0.10227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0.28725397826234789</v>
      </c>
      <c r="P10" s="4">
        <v>4</v>
      </c>
      <c r="Q10" s="5">
        <f t="shared" si="7"/>
        <v>6.2721699999999991</v>
      </c>
      <c r="R10" s="5">
        <f t="shared" si="7"/>
        <v>0.10227</v>
      </c>
      <c r="S10" s="5">
        <f t="shared" si="8"/>
        <v>5.2262856524999997</v>
      </c>
      <c r="T10" s="5">
        <f t="shared" si="9"/>
        <v>0.31357713914999996</v>
      </c>
      <c r="U10" s="5">
        <f t="shared" si="10"/>
        <v>0.71592954143835619</v>
      </c>
      <c r="V10" s="5">
        <f t="shared" si="4"/>
        <v>0.28725397826234789</v>
      </c>
    </row>
    <row r="11" spans="2:95" ht="15.6" thickTop="1" thickBot="1" x14ac:dyDescent="0.35">
      <c r="B11">
        <v>7</v>
      </c>
      <c r="C11">
        <v>12126.4</v>
      </c>
      <c r="D11">
        <v>70982.8</v>
      </c>
      <c r="E11">
        <v>1049.9000000000001</v>
      </c>
      <c r="F11">
        <f t="shared" si="0"/>
        <v>7.0982799999999999</v>
      </c>
      <c r="G11">
        <f t="shared" si="1"/>
        <v>1.2126399999999999</v>
      </c>
      <c r="H11">
        <f t="shared" si="2"/>
        <v>5.8856400000000004</v>
      </c>
      <c r="I11">
        <f t="shared" si="5"/>
        <v>0.10499000000000001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0.20766053490063582</v>
      </c>
      <c r="P11" s="4">
        <v>4</v>
      </c>
      <c r="Q11" s="5">
        <f t="shared" si="7"/>
        <v>5.8856400000000004</v>
      </c>
      <c r="R11" s="5">
        <f t="shared" si="7"/>
        <v>0.10499000000000001</v>
      </c>
      <c r="S11" s="5">
        <f t="shared" si="8"/>
        <v>4.9042095300000002</v>
      </c>
      <c r="T11" s="5">
        <f t="shared" si="9"/>
        <v>0.29425257179999997</v>
      </c>
      <c r="U11" s="5">
        <f t="shared" si="10"/>
        <v>0.6718095246575343</v>
      </c>
      <c r="V11" s="5">
        <f t="shared" si="4"/>
        <v>0.20766053490063582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14738.5</v>
      </c>
      <c r="D12">
        <v>57516.4</v>
      </c>
      <c r="E12">
        <v>2388.1999999999998</v>
      </c>
      <c r="F12">
        <f t="shared" si="0"/>
        <v>5.7516400000000001</v>
      </c>
      <c r="G12">
        <f t="shared" si="1"/>
        <v>1.4738500000000001</v>
      </c>
      <c r="H12">
        <f t="shared" si="2"/>
        <v>4.2777899999999995</v>
      </c>
      <c r="I12">
        <f t="shared" si="5"/>
        <v>0.23881999999999998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0.17414735995550742</v>
      </c>
      <c r="P12" s="4">
        <v>5</v>
      </c>
      <c r="Q12" s="5">
        <f t="shared" si="7"/>
        <v>4.2777899999999995</v>
      </c>
      <c r="R12" s="5">
        <f t="shared" si="7"/>
        <v>0.23881999999999998</v>
      </c>
      <c r="S12" s="5">
        <f t="shared" si="8"/>
        <v>2.8515748139999997</v>
      </c>
      <c r="T12" s="5">
        <f t="shared" si="9"/>
        <v>0.17109448883999998</v>
      </c>
      <c r="U12" s="5">
        <f t="shared" si="10"/>
        <v>0.39062668684931501</v>
      </c>
      <c r="V12" s="5">
        <f t="shared" si="4"/>
        <v>0.17414735995550742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6328.7</v>
      </c>
      <c r="D13">
        <v>23498</v>
      </c>
      <c r="E13">
        <v>13619</v>
      </c>
      <c r="F13">
        <f t="shared" si="0"/>
        <v>2.3498000000000001</v>
      </c>
      <c r="G13">
        <f t="shared" si="1"/>
        <v>0.63286999999999993</v>
      </c>
      <c r="H13">
        <f t="shared" si="2"/>
        <v>1.7169300000000001</v>
      </c>
      <c r="I13">
        <f t="shared" si="5"/>
        <v>1.3619000000000001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0.1403503890161685</v>
      </c>
      <c r="P13" s="4">
        <v>8</v>
      </c>
      <c r="Q13" s="5">
        <f t="shared" si="7"/>
        <v>1.7169300000000001</v>
      </c>
      <c r="R13" s="5">
        <f t="shared" si="7"/>
        <v>1.3619000000000001</v>
      </c>
      <c r="S13" s="5">
        <f t="shared" si="8"/>
        <v>0.71531596124999997</v>
      </c>
      <c r="T13" s="5">
        <f t="shared" si="9"/>
        <v>4.2918957674999994E-2</v>
      </c>
      <c r="U13" s="5">
        <f t="shared" si="10"/>
        <v>9.7988487842465749E-2</v>
      </c>
      <c r="V13" s="5">
        <f t="shared" si="4"/>
        <v>0.1403503890161685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0</v>
      </c>
      <c r="D14">
        <v>0</v>
      </c>
      <c r="E14">
        <v>0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5"/>
        <v>0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0.10050748344547558</v>
      </c>
      <c r="P14" s="4">
        <v>14</v>
      </c>
      <c r="Q14" s="5">
        <f t="shared" si="7"/>
        <v>0</v>
      </c>
      <c r="R14" s="5">
        <f t="shared" si="7"/>
        <v>0</v>
      </c>
      <c r="S14" s="5">
        <f t="shared" si="8"/>
        <v>0</v>
      </c>
      <c r="T14" s="5">
        <f t="shared" si="9"/>
        <v>0</v>
      </c>
      <c r="U14" s="5">
        <f t="shared" si="10"/>
        <v>0</v>
      </c>
      <c r="V14" s="5">
        <f t="shared" si="4"/>
        <v>0.10050748344547558</v>
      </c>
      <c r="X14" s="31">
        <f t="shared" ref="X14:X22" si="12">O5</f>
        <v>1.238807515875354</v>
      </c>
      <c r="Y14" s="32">
        <f t="shared" ref="Y14:AA22" si="13">S5</f>
        <v>9.7828438400000035</v>
      </c>
      <c r="Z14" s="32">
        <f t="shared" si="13"/>
        <v>0.58697063040000019</v>
      </c>
      <c r="AA14" s="32">
        <f t="shared" si="13"/>
        <v>1.3401155945205485</v>
      </c>
      <c r="AB14" s="41">
        <f>I5/H5</f>
        <v>4.4605380310353597E-2</v>
      </c>
      <c r="AC14" s="33">
        <f t="shared" ref="AC14:AC22" si="14">R5</f>
        <v>0.39277000000000001</v>
      </c>
      <c r="AD14" s="31">
        <f t="shared" ref="AD14:AD21" si="15">O19</f>
        <v>0.82587167725023602</v>
      </c>
      <c r="AE14" s="32">
        <f t="shared" ref="AE14:AG21" si="16">S19</f>
        <v>7.778033230000001</v>
      </c>
      <c r="AF14" s="32">
        <f t="shared" si="16"/>
        <v>0.46668199380000003</v>
      </c>
      <c r="AG14" s="32">
        <f t="shared" si="16"/>
        <v>1.0654840041095892</v>
      </c>
      <c r="AH14" s="41">
        <f>I19/H19</f>
        <v>5.7276676098746877E-2</v>
      </c>
      <c r="AI14" s="33">
        <f>R19</f>
        <v>0.40099000000000001</v>
      </c>
      <c r="AJ14" s="31">
        <f t="shared" ref="AJ14:AJ21" si="17">O33</f>
        <v>0.61940375793767699</v>
      </c>
      <c r="AK14" s="32">
        <f t="shared" ref="AK14:AM21" si="18">S33</f>
        <v>7.1019452900000015</v>
      </c>
      <c r="AL14" s="32">
        <f t="shared" si="18"/>
        <v>0.42611671740000007</v>
      </c>
      <c r="AM14" s="32">
        <f t="shared" si="18"/>
        <v>0.97286921780821944</v>
      </c>
      <c r="AN14" s="41">
        <f>I33/H33</f>
        <v>8.8700783275113063E-2</v>
      </c>
      <c r="AO14" s="33">
        <f>R33</f>
        <v>0.56701000000000001</v>
      </c>
      <c r="AP14" s="31">
        <f t="shared" ref="AP14:AP20" si="19">O47</f>
        <v>0.49552300635014157</v>
      </c>
      <c r="AQ14" s="32">
        <f t="shared" ref="AQ14:AS20" si="20">S47</f>
        <v>6.4397781800000011</v>
      </c>
      <c r="AR14" s="32">
        <f t="shared" si="20"/>
        <v>0.38638669080000004</v>
      </c>
      <c r="AS14" s="32">
        <f t="shared" si="20"/>
        <v>0.88216139452054809</v>
      </c>
      <c r="AT14" s="41">
        <f>I47/H47</f>
        <v>6.068787760636811E-2</v>
      </c>
      <c r="AU14" s="33">
        <f>R47</f>
        <v>0.35176999999999997</v>
      </c>
      <c r="AV14" s="31">
        <f t="shared" ref="AV14:AV19" si="21">O61</f>
        <v>0.41293583862511801</v>
      </c>
      <c r="AW14" s="32">
        <f t="shared" ref="AW14:AY19" si="22">S61</f>
        <v>5.7160172299999985</v>
      </c>
      <c r="AX14" s="32">
        <f t="shared" si="22"/>
        <v>0.34296103379999987</v>
      </c>
      <c r="AY14" s="32">
        <f t="shared" si="22"/>
        <v>0.78301605890410941</v>
      </c>
      <c r="AZ14" s="41">
        <f>I61/H61</f>
        <v>7.973286322651621E-2</v>
      </c>
      <c r="BA14" s="33">
        <f>R61</f>
        <v>0.41021999999999997</v>
      </c>
      <c r="BB14" s="31">
        <f t="shared" ref="BB14:BB19" si="23">O75</f>
        <v>0.3539450045358154</v>
      </c>
      <c r="BC14" s="32">
        <f t="shared" ref="BC14:BE19" si="24">S75</f>
        <v>5.3200568299999995</v>
      </c>
      <c r="BD14" s="32">
        <f t="shared" si="24"/>
        <v>0.31920340979999995</v>
      </c>
      <c r="BE14" s="32">
        <f t="shared" si="24"/>
        <v>0.72877490821917801</v>
      </c>
      <c r="BF14" s="41">
        <f>I75/H75</f>
        <v>7.4356848552687357E-2</v>
      </c>
      <c r="BG14" s="33">
        <f>R75</f>
        <v>0.35605999999999999</v>
      </c>
      <c r="BH14" s="31">
        <f t="shared" ref="BH14:BH19" si="25">O89</f>
        <v>0.3097018789688385</v>
      </c>
      <c r="BI14" s="32">
        <f t="shared" ref="BI14:BK19" si="26">S89</f>
        <v>4.9143085199999996</v>
      </c>
      <c r="BJ14" s="32">
        <f t="shared" si="26"/>
        <v>0.29485851119999995</v>
      </c>
      <c r="BK14" s="32">
        <f t="shared" si="26"/>
        <v>0.67319294794520546</v>
      </c>
      <c r="BL14" s="41">
        <f>I89/H89</f>
        <v>8.4994981145384021E-2</v>
      </c>
      <c r="BM14" s="33">
        <f>R89</f>
        <v>0.37596000000000002</v>
      </c>
      <c r="BN14" s="31">
        <f t="shared" ref="BN14:BN19" si="27">O103</f>
        <v>0.27529055908341199</v>
      </c>
      <c r="BO14" s="32">
        <f t="shared" ref="BO14:BQ19" si="28">S103</f>
        <v>4.5278582800000002</v>
      </c>
      <c r="BP14" s="32">
        <f t="shared" si="28"/>
        <v>0.27167149680000002</v>
      </c>
      <c r="BQ14" s="32">
        <f t="shared" si="28"/>
        <v>0.62025455890410963</v>
      </c>
      <c r="BR14" s="41">
        <f>I103/H103</f>
        <v>9.0862916760725096E-2</v>
      </c>
      <c r="BS14" s="33">
        <f>R103</f>
        <v>0.37030999999999997</v>
      </c>
      <c r="BT14" s="31">
        <f t="shared" ref="BT14:BT18" si="29">O117</f>
        <v>0.24776150317507079</v>
      </c>
      <c r="BU14" s="32">
        <f t="shared" ref="BU14:BW18" si="30">S117</f>
        <v>4.8132297400000006</v>
      </c>
      <c r="BV14" s="32">
        <f t="shared" si="30"/>
        <v>0.28879378440000003</v>
      </c>
      <c r="BW14" s="32">
        <f t="shared" si="30"/>
        <v>0.65934653972602753</v>
      </c>
      <c r="BX14" s="41">
        <f>I117/H117</f>
        <v>8.5794282073890782E-2</v>
      </c>
      <c r="BY14" s="33">
        <f>R117</f>
        <v>0.37169000000000002</v>
      </c>
      <c r="BZ14" s="31">
        <f t="shared" ref="BZ14:BZ18" si="31">O131</f>
        <v>0.1651743354500472</v>
      </c>
      <c r="CA14" s="32">
        <f t="shared" ref="CA14:CC18" si="32">S131</f>
        <v>3.9558377100000004</v>
      </c>
      <c r="CB14" s="32">
        <f t="shared" si="32"/>
        <v>0.23735026260000003</v>
      </c>
      <c r="CC14" s="32">
        <f t="shared" si="32"/>
        <v>0.5418955767123288</v>
      </c>
      <c r="CD14" s="41">
        <f>I131/H131</f>
        <v>0.13109551453262222</v>
      </c>
      <c r="CE14" s="33">
        <f>R131</f>
        <v>0.46678000000000003</v>
      </c>
      <c r="CF14" s="31">
        <f t="shared" ref="CF14:CF17" si="33">O145</f>
        <v>0.12388075158753539</v>
      </c>
      <c r="CG14" s="32">
        <f t="shared" ref="CG14:CI17" si="34">S145</f>
        <v>4.8125742500000008</v>
      </c>
      <c r="CH14" s="32">
        <f t="shared" si="34"/>
        <v>0.28875445500000002</v>
      </c>
      <c r="CI14" s="32">
        <f t="shared" si="34"/>
        <v>0.65925674657534261</v>
      </c>
      <c r="CJ14" s="41">
        <f>I145/H145</f>
        <v>0.11523056501413977</v>
      </c>
      <c r="CK14" s="33">
        <f>R145</f>
        <v>0.49914999999999998</v>
      </c>
      <c r="CL14" s="31">
        <f t="shared" ref="CL14:CL17" si="35">O159</f>
        <v>9.910460127002832E-2</v>
      </c>
      <c r="CM14" s="32">
        <f t="shared" ref="CM14:CO17" si="36">S159</f>
        <v>4.4299791799999992</v>
      </c>
      <c r="CN14" s="32">
        <f t="shared" si="36"/>
        <v>0.26579875079999993</v>
      </c>
      <c r="CO14" s="32">
        <f t="shared" si="36"/>
        <v>0.60684646301369849</v>
      </c>
      <c r="CP14" s="41">
        <f>I159/H159</f>
        <v>0.16357106671548738</v>
      </c>
      <c r="CQ14" s="33">
        <f>R159</f>
        <v>0.65222000000000002</v>
      </c>
    </row>
    <row r="15" spans="2:95" ht="15" thickBot="1" x14ac:dyDescent="0.35">
      <c r="B15">
        <v>11</v>
      </c>
      <c r="C15">
        <v>0</v>
      </c>
      <c r="D15">
        <v>0</v>
      </c>
      <c r="E15">
        <v>0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5"/>
        <v>0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6.4815066927253778E-2</v>
      </c>
      <c r="P15" s="7">
        <v>21</v>
      </c>
      <c r="Q15" s="6">
        <f t="shared" si="7"/>
        <v>0</v>
      </c>
      <c r="R15" s="6">
        <f t="shared" si="7"/>
        <v>0</v>
      </c>
      <c r="S15" s="6">
        <f t="shared" si="8"/>
        <v>0</v>
      </c>
      <c r="T15" s="6">
        <f t="shared" si="9"/>
        <v>0</v>
      </c>
      <c r="U15" s="6">
        <f t="shared" si="10"/>
        <v>0</v>
      </c>
      <c r="V15" s="6">
        <f t="shared" si="4"/>
        <v>6.4815066927253778E-2</v>
      </c>
      <c r="X15" s="34">
        <f t="shared" si="12"/>
        <v>1.0988697363115913</v>
      </c>
      <c r="Y15" s="35">
        <f t="shared" si="13"/>
        <v>10.499783250000004</v>
      </c>
      <c r="Z15" s="35">
        <f t="shared" si="13"/>
        <v>0.62998699500000022</v>
      </c>
      <c r="AA15" s="35">
        <f t="shared" si="13"/>
        <v>1.4383264726027403</v>
      </c>
      <c r="AB15" s="42">
        <f t="shared" ref="AB15:AB22" si="37">I6/H6</f>
        <v>3.3801550141523154E-2</v>
      </c>
      <c r="AC15" s="36">
        <f t="shared" si="14"/>
        <v>0.31945000000000001</v>
      </c>
      <c r="AD15" s="34">
        <f t="shared" si="15"/>
        <v>0.7325798242077276</v>
      </c>
      <c r="AE15" s="35">
        <f t="shared" si="16"/>
        <v>7.6902086800000014</v>
      </c>
      <c r="AF15" s="35">
        <f t="shared" si="16"/>
        <v>0.46141252080000006</v>
      </c>
      <c r="AG15" s="35">
        <f t="shared" si="16"/>
        <v>1.0534532438356166</v>
      </c>
      <c r="AH15" s="42">
        <f t="shared" ref="AH15:AH21" si="38">I20/H20</f>
        <v>5.7117430524655143E-2</v>
      </c>
      <c r="AI15" s="36">
        <f t="shared" ref="AI15:AI21" si="39">R20</f>
        <v>0.39535999999999999</v>
      </c>
      <c r="AJ15" s="34">
        <f t="shared" si="17"/>
        <v>0.54943486815579567</v>
      </c>
      <c r="AK15" s="35">
        <f t="shared" si="18"/>
        <v>6.4607538600000005</v>
      </c>
      <c r="AL15" s="35">
        <f t="shared" si="18"/>
        <v>0.38764523160000003</v>
      </c>
      <c r="AM15" s="35">
        <f t="shared" si="18"/>
        <v>0.88503477534246588</v>
      </c>
      <c r="AN15" s="42">
        <f t="shared" ref="AN15:AN21" si="40">I34/H34</f>
        <v>5.3445589707081027E-2</v>
      </c>
      <c r="AO15" s="36">
        <f t="shared" ref="AO15:AO21" si="41">R34</f>
        <v>0.31080000000000002</v>
      </c>
      <c r="AP15" s="34">
        <f t="shared" si="19"/>
        <v>0.43954789452463655</v>
      </c>
      <c r="AQ15" s="35">
        <f t="shared" si="20"/>
        <v>5.9721693899999995</v>
      </c>
      <c r="AR15" s="35">
        <f t="shared" si="20"/>
        <v>0.35833016339999996</v>
      </c>
      <c r="AS15" s="35">
        <f t="shared" si="20"/>
        <v>0.81810539589041087</v>
      </c>
      <c r="AT15" s="42">
        <f t="shared" ref="AT15:AT20" si="42">I48/H48</f>
        <v>6.4567137135405323E-2</v>
      </c>
      <c r="AU15" s="36">
        <f t="shared" ref="AU15:AU20" si="43">R48</f>
        <v>0.34708</v>
      </c>
      <c r="AV15" s="34">
        <f t="shared" si="21"/>
        <v>0.3662899121038638</v>
      </c>
      <c r="AW15" s="35">
        <f t="shared" si="22"/>
        <v>4.9140974300000009</v>
      </c>
      <c r="AX15" s="35">
        <f t="shared" si="22"/>
        <v>0.29484584580000006</v>
      </c>
      <c r="AY15" s="35">
        <f t="shared" si="22"/>
        <v>0.67316403150684945</v>
      </c>
      <c r="AZ15" s="42">
        <f t="shared" ref="AZ15:AZ19" si="44">I62/H62</f>
        <v>7.5310922355888252E-2</v>
      </c>
      <c r="BA15" s="36">
        <f t="shared" ref="BA15:BA19" si="45">R62</f>
        <v>0.33311000000000002</v>
      </c>
      <c r="BB15" s="34">
        <f t="shared" si="23"/>
        <v>0.31396278180331183</v>
      </c>
      <c r="BC15" s="35">
        <f t="shared" si="24"/>
        <v>4.8277616199999995</v>
      </c>
      <c r="BD15" s="35">
        <f t="shared" si="24"/>
        <v>0.28966569719999996</v>
      </c>
      <c r="BE15" s="35">
        <f t="shared" si="24"/>
        <v>0.66133720821917807</v>
      </c>
      <c r="BF15" s="42">
        <f t="shared" ref="BF15:BF19" si="46">I76/H76</f>
        <v>7.4703941161038512E-2</v>
      </c>
      <c r="BG15" s="36">
        <f t="shared" ref="BG15:BG19" si="47">R76</f>
        <v>0.32461999999999996</v>
      </c>
      <c r="BH15" s="34">
        <f t="shared" si="25"/>
        <v>0.27471743407789784</v>
      </c>
      <c r="BI15" s="35">
        <f t="shared" si="26"/>
        <v>4.6479462700000003</v>
      </c>
      <c r="BJ15" s="35">
        <f t="shared" si="26"/>
        <v>0.27887677620000001</v>
      </c>
      <c r="BK15" s="35">
        <f t="shared" si="26"/>
        <v>0.63670496849315072</v>
      </c>
      <c r="BL15" s="42">
        <f t="shared" ref="BL15:BL19" si="48">I90/H90</f>
        <v>8.883561169049399E-2</v>
      </c>
      <c r="BM15" s="36">
        <f t="shared" ref="BM15:BM19" si="49">R90</f>
        <v>0.37164999999999998</v>
      </c>
      <c r="BN15" s="34">
        <f t="shared" si="27"/>
        <v>0.24419327473590918</v>
      </c>
      <c r="BO15" s="35">
        <f t="shared" si="28"/>
        <v>4.1571064700000004</v>
      </c>
      <c r="BP15" s="35">
        <f t="shared" si="28"/>
        <v>0.24942638820000002</v>
      </c>
      <c r="BQ15" s="35">
        <f t="shared" si="28"/>
        <v>0.56946663972602751</v>
      </c>
      <c r="BR15" s="42">
        <f t="shared" ref="BR15:BR19" si="50">I104/H104</f>
        <v>0.10000347429157859</v>
      </c>
      <c r="BS15" s="36">
        <f t="shared" ref="BS15:BS19" si="51">R104</f>
        <v>0.37419000000000002</v>
      </c>
      <c r="BT15" s="34">
        <f t="shared" si="29"/>
        <v>0.21977394726231828</v>
      </c>
      <c r="BU15" s="35">
        <f t="shared" si="30"/>
        <v>4.241809110000001</v>
      </c>
      <c r="BV15" s="35">
        <f t="shared" si="30"/>
        <v>0.25450854660000005</v>
      </c>
      <c r="BW15" s="35">
        <f t="shared" si="30"/>
        <v>0.5810697410958906</v>
      </c>
      <c r="BX15" s="42">
        <f t="shared" ref="BX15:BX18" si="52">I118/H118</f>
        <v>8.5591708769751779E-2</v>
      </c>
      <c r="BY15" s="36">
        <f t="shared" ref="BY15:BY18" si="53">R118</f>
        <v>0.32679000000000002</v>
      </c>
      <c r="BZ15" s="34">
        <f t="shared" si="31"/>
        <v>0.14651596484154553</v>
      </c>
      <c r="CA15" s="35">
        <f t="shared" si="32"/>
        <v>4.656312100000001</v>
      </c>
      <c r="CB15" s="35">
        <f t="shared" si="32"/>
        <v>0.27937872600000002</v>
      </c>
      <c r="CC15" s="35">
        <f t="shared" si="32"/>
        <v>0.63785097260273982</v>
      </c>
      <c r="CD15" s="42">
        <f t="shared" ref="CD15:CD18" si="54">I132/H132</f>
        <v>0.11310157237956621</v>
      </c>
      <c r="CE15" s="36">
        <f t="shared" ref="CE15:CE18" si="55">R132</f>
        <v>0.47402</v>
      </c>
      <c r="CF15" s="34">
        <f t="shared" si="33"/>
        <v>0.10988697363115914</v>
      </c>
      <c r="CG15" s="35">
        <f t="shared" si="34"/>
        <v>3.6035840499999998</v>
      </c>
      <c r="CH15" s="35">
        <f t="shared" si="34"/>
        <v>0.21621504299999997</v>
      </c>
      <c r="CI15" s="35">
        <f t="shared" si="34"/>
        <v>0.49364165068493149</v>
      </c>
      <c r="CJ15" s="42">
        <f t="shared" ref="CJ15:CJ17" si="56">I146/H146</f>
        <v>0.1765812150267454</v>
      </c>
      <c r="CK15" s="36">
        <f t="shared" ref="CK15:CK17" si="57">R146</f>
        <v>0.57274999999999998</v>
      </c>
      <c r="CL15" s="34">
        <f t="shared" si="35"/>
        <v>8.7909578904927302E-2</v>
      </c>
      <c r="CM15" s="35">
        <f t="shared" si="36"/>
        <v>3.9860458000000016</v>
      </c>
      <c r="CN15" s="35">
        <f t="shared" si="36"/>
        <v>0.23916274800000009</v>
      </c>
      <c r="CO15" s="35">
        <f t="shared" si="36"/>
        <v>0.54603367123287694</v>
      </c>
      <c r="CP15" s="42">
        <f t="shared" ref="CP15:CP17" si="58">I160/H160</f>
        <v>0.17585707118568478</v>
      </c>
      <c r="CQ15" s="36">
        <f t="shared" ref="CQ15:CQ17" si="59">R160</f>
        <v>0.63093999999999995</v>
      </c>
    </row>
    <row r="16" spans="2:95" ht="15" thickTop="1" x14ac:dyDescent="0.3">
      <c r="X16" s="34">
        <f t="shared" si="12"/>
        <v>0.94798801713418823</v>
      </c>
      <c r="Y16" s="35">
        <f t="shared" si="13"/>
        <v>9.3965380300000003</v>
      </c>
      <c r="Z16" s="35">
        <f t="shared" si="13"/>
        <v>0.56379228179999996</v>
      </c>
      <c r="AA16" s="35">
        <f t="shared" si="13"/>
        <v>1.287196990410959</v>
      </c>
      <c r="AB16" s="42">
        <f t="shared" si="37"/>
        <v>3.5118170005426989E-2</v>
      </c>
      <c r="AC16" s="36">
        <f t="shared" si="14"/>
        <v>0.29702000000000001</v>
      </c>
      <c r="AD16" s="34">
        <f t="shared" si="15"/>
        <v>0.63199201142279215</v>
      </c>
      <c r="AE16" s="35">
        <f t="shared" si="16"/>
        <v>7.5343909300000007</v>
      </c>
      <c r="AF16" s="35">
        <f t="shared" si="16"/>
        <v>0.45206345580000001</v>
      </c>
      <c r="AG16" s="35">
        <f t="shared" si="16"/>
        <v>1.0321083465753427</v>
      </c>
      <c r="AH16" s="42">
        <f t="shared" si="38"/>
        <v>4.5772181614154701E-2</v>
      </c>
      <c r="AI16" s="36">
        <f t="shared" si="39"/>
        <v>0.31040999999999996</v>
      </c>
      <c r="AJ16" s="34">
        <f t="shared" si="17"/>
        <v>0.47399400856709412</v>
      </c>
      <c r="AK16" s="35">
        <f t="shared" si="18"/>
        <v>6.1244208299999991</v>
      </c>
      <c r="AL16" s="35">
        <f t="shared" si="18"/>
        <v>0.36746524979999995</v>
      </c>
      <c r="AM16" s="35">
        <f t="shared" si="18"/>
        <v>0.83896175753424651</v>
      </c>
      <c r="AN16" s="42">
        <f t="shared" si="40"/>
        <v>6.0219173410394143E-2</v>
      </c>
      <c r="AO16" s="36">
        <f t="shared" si="41"/>
        <v>0.33195999999999998</v>
      </c>
      <c r="AP16" s="34">
        <f t="shared" si="19"/>
        <v>0.3791952068536753</v>
      </c>
      <c r="AQ16" s="35">
        <f t="shared" si="20"/>
        <v>6.0343409499999998</v>
      </c>
      <c r="AR16" s="35">
        <f t="shared" si="20"/>
        <v>0.362060457</v>
      </c>
      <c r="AS16" s="35">
        <f t="shared" si="20"/>
        <v>0.82662204794520544</v>
      </c>
      <c r="AT16" s="42">
        <f t="shared" si="42"/>
        <v>4.9979287298971727E-2</v>
      </c>
      <c r="AU16" s="36">
        <f t="shared" si="43"/>
        <v>0.27145999999999998</v>
      </c>
      <c r="AV16" s="34">
        <f t="shared" si="21"/>
        <v>0.31599600571139608</v>
      </c>
      <c r="AW16" s="35">
        <f t="shared" si="22"/>
        <v>5.3043917300000016</v>
      </c>
      <c r="AX16" s="35">
        <f t="shared" si="22"/>
        <v>0.31826350380000007</v>
      </c>
      <c r="AY16" s="35">
        <f t="shared" si="22"/>
        <v>0.7266290041095893</v>
      </c>
      <c r="AZ16" s="42">
        <f t="shared" si="44"/>
        <v>6.4309247386599031E-2</v>
      </c>
      <c r="BA16" s="36">
        <f t="shared" si="45"/>
        <v>0.30704000000000004</v>
      </c>
      <c r="BB16" s="34">
        <f t="shared" si="23"/>
        <v>0.27085371918119666</v>
      </c>
      <c r="BC16" s="35">
        <f t="shared" si="24"/>
        <v>5.3511203900000002</v>
      </c>
      <c r="BD16" s="35">
        <f t="shared" si="24"/>
        <v>0.32106722339999999</v>
      </c>
      <c r="BE16" s="35">
        <f t="shared" si="24"/>
        <v>0.73303019041095896</v>
      </c>
      <c r="BF16" s="42">
        <f t="shared" si="46"/>
        <v>5.7788970806541703E-2</v>
      </c>
      <c r="BG16" s="36">
        <f t="shared" si="47"/>
        <v>0.27834000000000003</v>
      </c>
      <c r="BH16" s="34">
        <f t="shared" si="25"/>
        <v>0.23699700428354706</v>
      </c>
      <c r="BI16" s="35">
        <f t="shared" si="26"/>
        <v>4.8654578500000012</v>
      </c>
      <c r="BJ16" s="35">
        <f t="shared" si="26"/>
        <v>0.29192747100000005</v>
      </c>
      <c r="BK16" s="35">
        <f t="shared" si="26"/>
        <v>0.66650107534246594</v>
      </c>
      <c r="BL16" s="42">
        <f t="shared" si="48"/>
        <v>6.4705949513055569E-2</v>
      </c>
      <c r="BM16" s="36">
        <f t="shared" si="49"/>
        <v>0.28336999999999996</v>
      </c>
      <c r="BN16" s="34">
        <f t="shared" si="27"/>
        <v>0.21066400380759739</v>
      </c>
      <c r="BO16" s="35">
        <f t="shared" si="28"/>
        <v>5.0531057499999994</v>
      </c>
      <c r="BP16" s="35">
        <f t="shared" si="28"/>
        <v>0.30318634499999997</v>
      </c>
      <c r="BQ16" s="35">
        <f t="shared" si="28"/>
        <v>0.69220626712328759</v>
      </c>
      <c r="BR16" s="42">
        <f t="shared" si="50"/>
        <v>6.2465783543120983E-2</v>
      </c>
      <c r="BS16" s="36">
        <f t="shared" si="51"/>
        <v>0.28410999999999997</v>
      </c>
      <c r="BT16" s="34">
        <f t="shared" si="29"/>
        <v>0.18959760342683765</v>
      </c>
      <c r="BU16" s="35">
        <f t="shared" si="30"/>
        <v>4.8655911700000001</v>
      </c>
      <c r="BV16" s="35">
        <f t="shared" si="30"/>
        <v>0.29193547019999999</v>
      </c>
      <c r="BW16" s="35">
        <f t="shared" si="30"/>
        <v>0.66651933835616439</v>
      </c>
      <c r="BX16" s="42">
        <f t="shared" si="52"/>
        <v>6.1849949879779965E-2</v>
      </c>
      <c r="BY16" s="36">
        <f t="shared" si="53"/>
        <v>0.27087</v>
      </c>
      <c r="BZ16" s="34">
        <f t="shared" si="31"/>
        <v>0.12639840228455843</v>
      </c>
      <c r="CA16" s="35">
        <f t="shared" si="32"/>
        <v>4.1036229299999993</v>
      </c>
      <c r="CB16" s="35">
        <f t="shared" si="32"/>
        <v>0.24621737579999994</v>
      </c>
      <c r="CC16" s="35">
        <f t="shared" si="32"/>
        <v>0.56214012739726016</v>
      </c>
      <c r="CD16" s="42">
        <f t="shared" si="54"/>
        <v>0.10255223181531449</v>
      </c>
      <c r="CE16" s="36">
        <f t="shared" si="55"/>
        <v>0.37879000000000002</v>
      </c>
      <c r="CF16" s="34">
        <f t="shared" si="33"/>
        <v>9.4798801713418826E-2</v>
      </c>
      <c r="CG16" s="35">
        <f t="shared" si="34"/>
        <v>3.3492761499999992</v>
      </c>
      <c r="CH16" s="35">
        <f t="shared" si="34"/>
        <v>0.20095656899999995</v>
      </c>
      <c r="CI16" s="35">
        <f t="shared" si="34"/>
        <v>0.45880495205479443</v>
      </c>
      <c r="CJ16" s="42">
        <f t="shared" si="56"/>
        <v>0.16982070887167666</v>
      </c>
      <c r="CK16" s="36">
        <f t="shared" si="57"/>
        <v>0.51195000000000002</v>
      </c>
      <c r="CL16" s="34">
        <f t="shared" si="35"/>
        <v>7.5839041370735064E-2</v>
      </c>
      <c r="CM16" s="35">
        <f t="shared" si="36"/>
        <v>3.6893532499999995</v>
      </c>
      <c r="CN16" s="35">
        <f t="shared" si="36"/>
        <v>0.22136119499999996</v>
      </c>
      <c r="CO16" s="35">
        <f t="shared" si="36"/>
        <v>0.50539085616438351</v>
      </c>
      <c r="CP16" s="42">
        <f t="shared" si="58"/>
        <v>0.16284574267861177</v>
      </c>
      <c r="CQ16" s="36">
        <f t="shared" si="59"/>
        <v>0.54076999999999997</v>
      </c>
    </row>
    <row r="17" spans="2:95" ht="15" thickBot="1" x14ac:dyDescent="0.35">
      <c r="X17" s="34">
        <f t="shared" si="12"/>
        <v>0.57417331261814231</v>
      </c>
      <c r="Y17" s="35">
        <f t="shared" si="13"/>
        <v>6.6360141099999996</v>
      </c>
      <c r="Z17" s="35">
        <f t="shared" si="13"/>
        <v>0.39816084659999995</v>
      </c>
      <c r="AA17" s="35">
        <f t="shared" si="13"/>
        <v>0.90904302876712328</v>
      </c>
      <c r="AB17" s="42">
        <f t="shared" si="37"/>
        <v>2.5636990395127412E-2</v>
      </c>
      <c r="AC17" s="36">
        <f t="shared" si="14"/>
        <v>0.15312999999999999</v>
      </c>
      <c r="AD17" s="34">
        <f t="shared" si="15"/>
        <v>0.38278220841209487</v>
      </c>
      <c r="AE17" s="35">
        <f t="shared" si="16"/>
        <v>5.219722420000001</v>
      </c>
      <c r="AF17" s="35">
        <f t="shared" si="16"/>
        <v>0.31318334520000007</v>
      </c>
      <c r="AG17" s="35">
        <f t="shared" si="16"/>
        <v>0.71503046849315088</v>
      </c>
      <c r="AH17" s="42">
        <f t="shared" si="38"/>
        <v>2.8463971461532237E-2</v>
      </c>
      <c r="AI17" s="36">
        <f t="shared" si="39"/>
        <v>0.13372999999999999</v>
      </c>
      <c r="AJ17" s="34">
        <f t="shared" si="17"/>
        <v>0.28708665630907115</v>
      </c>
      <c r="AK17" s="35">
        <f t="shared" si="18"/>
        <v>4.6710772900000004</v>
      </c>
      <c r="AL17" s="35">
        <f t="shared" si="18"/>
        <v>0.28026463740000002</v>
      </c>
      <c r="AM17" s="35">
        <f t="shared" si="18"/>
        <v>0.63987360136986304</v>
      </c>
      <c r="AN17" s="42">
        <f t="shared" si="40"/>
        <v>3.7919888497499041E-2</v>
      </c>
      <c r="AO17" s="36">
        <f t="shared" si="41"/>
        <v>0.15942999999999999</v>
      </c>
      <c r="AP17" s="34">
        <f t="shared" si="19"/>
        <v>0.22966932504725693</v>
      </c>
      <c r="AQ17" s="35">
        <f t="shared" si="20"/>
        <v>4.1715161400000005</v>
      </c>
      <c r="AR17" s="35">
        <f t="shared" si="20"/>
        <v>0.25029096840000004</v>
      </c>
      <c r="AS17" s="35">
        <f t="shared" si="20"/>
        <v>0.57144056712328772</v>
      </c>
      <c r="AT17" s="42">
        <f t="shared" si="42"/>
        <v>4.4463797759631822E-2</v>
      </c>
      <c r="AU17" s="36">
        <f t="shared" si="43"/>
        <v>0.16694999999999999</v>
      </c>
      <c r="AV17" s="34">
        <f t="shared" si="21"/>
        <v>0.19139110420604744</v>
      </c>
      <c r="AW17" s="35">
        <f t="shared" si="22"/>
        <v>4.0926795800000013</v>
      </c>
      <c r="AX17" s="35">
        <f t="shared" si="22"/>
        <v>0.24556077480000008</v>
      </c>
      <c r="AY17" s="35">
        <f t="shared" si="22"/>
        <v>0.56064103835616452</v>
      </c>
      <c r="AZ17" s="42">
        <f t="shared" si="44"/>
        <v>3.6511409476135924E-2</v>
      </c>
      <c r="BA17" s="36">
        <f t="shared" si="45"/>
        <v>0.13450000000000001</v>
      </c>
      <c r="BB17" s="34">
        <f t="shared" si="23"/>
        <v>0.16404951789089781</v>
      </c>
      <c r="BC17" s="35">
        <f t="shared" si="24"/>
        <v>3.6910086400000006</v>
      </c>
      <c r="BD17" s="35">
        <f t="shared" si="24"/>
        <v>0.22146051840000003</v>
      </c>
      <c r="BE17" s="35">
        <f t="shared" si="24"/>
        <v>0.50561762191780835</v>
      </c>
      <c r="BF17" s="42">
        <f t="shared" si="46"/>
        <v>4.2889737044885384E-2</v>
      </c>
      <c r="BG17" s="36">
        <f t="shared" si="47"/>
        <v>0.14249000000000001</v>
      </c>
      <c r="BH17" s="34">
        <f t="shared" si="25"/>
        <v>0.14354332815453558</v>
      </c>
      <c r="BI17" s="35">
        <f t="shared" si="26"/>
        <v>3.2973257899999999</v>
      </c>
      <c r="BJ17" s="35">
        <f t="shared" si="26"/>
        <v>0.19783954739999998</v>
      </c>
      <c r="BK17" s="35">
        <f t="shared" si="26"/>
        <v>0.45168846438356164</v>
      </c>
      <c r="BL17" s="42">
        <f t="shared" si="48"/>
        <v>5.0945284360269426E-2</v>
      </c>
      <c r="BM17" s="36">
        <f t="shared" si="49"/>
        <v>0.1512</v>
      </c>
      <c r="BN17" s="34">
        <f t="shared" si="27"/>
        <v>0.12759406947069829</v>
      </c>
      <c r="BO17" s="35">
        <f t="shared" si="28"/>
        <v>2.8149518100000002</v>
      </c>
      <c r="BP17" s="35">
        <f t="shared" si="28"/>
        <v>0.16889710860000001</v>
      </c>
      <c r="BQ17" s="35">
        <f t="shared" si="28"/>
        <v>0.38560983698630141</v>
      </c>
      <c r="BR17" s="42">
        <f t="shared" si="50"/>
        <v>6.5035067154488868E-2</v>
      </c>
      <c r="BS17" s="36">
        <f t="shared" si="51"/>
        <v>0.16477999999999998</v>
      </c>
      <c r="BT17" s="34">
        <f t="shared" si="29"/>
        <v>0.11483466252362846</v>
      </c>
      <c r="BU17" s="35">
        <f t="shared" si="30"/>
        <v>2.83229452</v>
      </c>
      <c r="BV17" s="35">
        <f t="shared" si="30"/>
        <v>0.1699376712</v>
      </c>
      <c r="BW17" s="35">
        <f t="shared" si="30"/>
        <v>0.38798555068493151</v>
      </c>
      <c r="BX17" s="42">
        <f t="shared" si="52"/>
        <v>8.8647168656739841E-2</v>
      </c>
      <c r="BY17" s="36">
        <f t="shared" si="53"/>
        <v>0.22599</v>
      </c>
      <c r="BZ17" s="34">
        <f t="shared" si="31"/>
        <v>7.6556441682418971E-2</v>
      </c>
      <c r="CA17" s="35">
        <f t="shared" si="32"/>
        <v>2.43902274</v>
      </c>
      <c r="CB17" s="35">
        <f t="shared" si="32"/>
        <v>0.14634136439999998</v>
      </c>
      <c r="CC17" s="35">
        <f t="shared" si="32"/>
        <v>0.33411270410958904</v>
      </c>
      <c r="CD17" s="42">
        <f t="shared" si="54"/>
        <v>0.15011797716982334</v>
      </c>
      <c r="CE17" s="36">
        <f t="shared" si="55"/>
        <v>0.32955999999999996</v>
      </c>
      <c r="CF17" s="34">
        <f t="shared" si="33"/>
        <v>5.7417331261814232E-2</v>
      </c>
      <c r="CG17" s="35">
        <f t="shared" si="34"/>
        <v>1.4067593099999998</v>
      </c>
      <c r="CH17" s="35">
        <f t="shared" si="34"/>
        <v>8.4405558599999986E-2</v>
      </c>
      <c r="CI17" s="35">
        <f t="shared" si="34"/>
        <v>0.19270675479452051</v>
      </c>
      <c r="CJ17" s="42">
        <f t="shared" si="56"/>
        <v>0.24447761429778633</v>
      </c>
      <c r="CK17" s="36">
        <f t="shared" si="57"/>
        <v>0.30956</v>
      </c>
      <c r="CL17" s="34">
        <f t="shared" si="35"/>
        <v>4.5933865009451381E-2</v>
      </c>
      <c r="CM17" s="35">
        <f t="shared" si="36"/>
        <v>1.26088501</v>
      </c>
      <c r="CN17" s="35">
        <f t="shared" si="36"/>
        <v>7.5653100599999995E-2</v>
      </c>
      <c r="CO17" s="35">
        <f t="shared" si="36"/>
        <v>0.17272397397260275</v>
      </c>
      <c r="CP17" s="42">
        <f t="shared" si="58"/>
        <v>0.10199046620436862</v>
      </c>
      <c r="CQ17" s="36">
        <f t="shared" si="59"/>
        <v>0.11575000000000001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0.41499142510259568</v>
      </c>
      <c r="Y18" s="35">
        <f t="shared" si="13"/>
        <v>5.4709195200000007</v>
      </c>
      <c r="Z18" s="35">
        <f t="shared" si="13"/>
        <v>0.32825517120000003</v>
      </c>
      <c r="AA18" s="35">
        <f t="shared" si="13"/>
        <v>0.74944103013698637</v>
      </c>
      <c r="AB18" s="42">
        <f t="shared" si="37"/>
        <v>2.7843438281833836E-2</v>
      </c>
      <c r="AC18" s="36">
        <f t="shared" si="14"/>
        <v>0.13710999999999998</v>
      </c>
      <c r="AD18" s="34">
        <f t="shared" si="15"/>
        <v>0.27666095006839714</v>
      </c>
      <c r="AE18" s="35">
        <f t="shared" si="16"/>
        <v>4.4520103100000004</v>
      </c>
      <c r="AF18" s="35">
        <f t="shared" si="16"/>
        <v>0.26712061860000003</v>
      </c>
      <c r="AG18" s="35">
        <f t="shared" si="16"/>
        <v>0.60986442602739732</v>
      </c>
      <c r="AH18" s="42">
        <f t="shared" si="38"/>
        <v>2.423132304022E-2</v>
      </c>
      <c r="AI18" s="36">
        <f t="shared" si="39"/>
        <v>9.7100000000000006E-2</v>
      </c>
      <c r="AJ18" s="34">
        <f t="shared" si="17"/>
        <v>0.20749571255129784</v>
      </c>
      <c r="AK18" s="35">
        <f t="shared" si="18"/>
        <v>3.9034540600000001</v>
      </c>
      <c r="AL18" s="35">
        <f t="shared" si="18"/>
        <v>0.2342072436</v>
      </c>
      <c r="AM18" s="35">
        <f t="shared" si="18"/>
        <v>0.53471973424657537</v>
      </c>
      <c r="AN18" s="42">
        <f t="shared" si="40"/>
        <v>1.6211939227997473E-2</v>
      </c>
      <c r="AO18" s="36">
        <f t="shared" si="41"/>
        <v>5.6960000000000004E-2</v>
      </c>
      <c r="AP18" s="34">
        <f t="shared" si="19"/>
        <v>0.16599657004103827</v>
      </c>
      <c r="AQ18" s="35">
        <f t="shared" si="20"/>
        <v>2.5520336600000006</v>
      </c>
      <c r="AR18" s="35">
        <f t="shared" si="20"/>
        <v>0.15312201960000002</v>
      </c>
      <c r="AS18" s="35">
        <f t="shared" si="20"/>
        <v>0.34959365205479459</v>
      </c>
      <c r="AT18" s="42">
        <f t="shared" si="42"/>
        <v>5.0682176347156806E-2</v>
      </c>
      <c r="AU18" s="36">
        <f t="shared" si="43"/>
        <v>0.11642000000000001</v>
      </c>
      <c r="AV18" s="34">
        <f t="shared" si="21"/>
        <v>0.13833047503419857</v>
      </c>
      <c r="AW18" s="35">
        <f t="shared" si="22"/>
        <v>2.5991067299999999</v>
      </c>
      <c r="AX18" s="35">
        <f t="shared" si="22"/>
        <v>0.15594640379999999</v>
      </c>
      <c r="AY18" s="35">
        <f t="shared" si="22"/>
        <v>0.3560420178082192</v>
      </c>
      <c r="AZ18" s="42">
        <f t="shared" si="44"/>
        <v>5.4962106154063169E-2</v>
      </c>
      <c r="BA18" s="36">
        <f t="shared" si="45"/>
        <v>0.12858</v>
      </c>
      <c r="BB18" s="34">
        <f t="shared" si="23"/>
        <v>0.11856897860074163</v>
      </c>
      <c r="BC18" s="35">
        <f t="shared" si="24"/>
        <v>2.3346554000000004</v>
      </c>
      <c r="BD18" s="35">
        <f t="shared" si="24"/>
        <v>0.14007932400000001</v>
      </c>
      <c r="BE18" s="35">
        <f t="shared" si="24"/>
        <v>0.31981580821917815</v>
      </c>
      <c r="BF18" s="42">
        <f t="shared" si="46"/>
        <v>5.5810412106214902E-2</v>
      </c>
      <c r="BG18" s="36">
        <f t="shared" si="47"/>
        <v>0.11728</v>
      </c>
      <c r="BH18" s="34">
        <f t="shared" si="25"/>
        <v>0.10374785627564892</v>
      </c>
      <c r="BI18" s="35">
        <f t="shared" si="26"/>
        <v>1.9010321000000001</v>
      </c>
      <c r="BJ18" s="35">
        <f t="shared" si="26"/>
        <v>0.11406192600000001</v>
      </c>
      <c r="BK18" s="35">
        <f t="shared" si="26"/>
        <v>0.2604153561643836</v>
      </c>
      <c r="BL18" s="42">
        <f t="shared" si="48"/>
        <v>8.728887849921102E-2</v>
      </c>
      <c r="BM18" s="36">
        <f t="shared" si="49"/>
        <v>0.14935999999999999</v>
      </c>
      <c r="BN18" s="34">
        <f t="shared" si="27"/>
        <v>9.2220316689465703E-2</v>
      </c>
      <c r="BO18" s="35">
        <f t="shared" si="28"/>
        <v>2.53202455</v>
      </c>
      <c r="BP18" s="35">
        <f t="shared" si="28"/>
        <v>0.151921473</v>
      </c>
      <c r="BQ18" s="35">
        <f t="shared" si="28"/>
        <v>0.34685267808219178</v>
      </c>
      <c r="BR18" s="42">
        <f t="shared" si="50"/>
        <v>3.925319760426494E-2</v>
      </c>
      <c r="BS18" s="36">
        <f t="shared" si="51"/>
        <v>8.9459999999999998E-2</v>
      </c>
      <c r="BT18" s="34">
        <f t="shared" si="29"/>
        <v>8.2998285020519133E-2</v>
      </c>
      <c r="BU18" s="35">
        <f t="shared" si="30"/>
        <v>1.34848736</v>
      </c>
      <c r="BV18" s="35">
        <f t="shared" si="30"/>
        <v>8.0909241600000001E-2</v>
      </c>
      <c r="BW18" s="35">
        <f t="shared" si="30"/>
        <v>0.18472429589041098</v>
      </c>
      <c r="BX18" s="42">
        <f t="shared" si="52"/>
        <v>0.23229468758238861</v>
      </c>
      <c r="BY18" s="36">
        <f t="shared" si="53"/>
        <v>0.28194999999999998</v>
      </c>
      <c r="BZ18" s="34">
        <f t="shared" si="31"/>
        <v>5.5332190013679422E-2</v>
      </c>
      <c r="CA18" s="35">
        <f t="shared" si="32"/>
        <v>1.2375651199999997</v>
      </c>
      <c r="CB18" s="35">
        <f t="shared" si="32"/>
        <v>7.4253907199999983E-2</v>
      </c>
      <c r="CC18" s="35">
        <f t="shared" si="32"/>
        <v>0.16952946849315065</v>
      </c>
      <c r="CD18" s="42">
        <f t="shared" si="54"/>
        <v>0.20101084458488944</v>
      </c>
      <c r="CE18" s="36">
        <f t="shared" si="55"/>
        <v>0.22391</v>
      </c>
      <c r="CF18" s="34"/>
      <c r="CG18" s="35"/>
      <c r="CH18" s="35"/>
      <c r="CI18" s="35"/>
      <c r="CJ18" s="42"/>
      <c r="CK18" s="36"/>
      <c r="CL18" s="34"/>
      <c r="CM18" s="35"/>
      <c r="CN18" s="35"/>
      <c r="CO18" s="35"/>
      <c r="CP18" s="42"/>
      <c r="CQ18" s="36"/>
    </row>
    <row r="19" spans="2:95" ht="15" thickTop="1" x14ac:dyDescent="0.3">
      <c r="B19">
        <v>1</v>
      </c>
      <c r="C19">
        <v>624.29999999999995</v>
      </c>
      <c r="D19">
        <v>70633.600000000006</v>
      </c>
      <c r="E19">
        <v>4009.9</v>
      </c>
      <c r="F19">
        <f t="shared" ref="F19:F29" si="60">D19/10000</f>
        <v>7.0633600000000003</v>
      </c>
      <c r="G19">
        <f t="shared" ref="G19:G29" si="61">C19/10000</f>
        <v>6.2429999999999992E-2</v>
      </c>
      <c r="H19">
        <f t="shared" ref="H19:H29" si="62">F19-G19</f>
        <v>7.0009300000000003</v>
      </c>
      <c r="I19">
        <f>E19/10000</f>
        <v>0.40099000000000001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0.82587167725023602</v>
      </c>
      <c r="P19" s="2">
        <v>3</v>
      </c>
      <c r="Q19" s="8">
        <f>H19</f>
        <v>7.0009300000000003</v>
      </c>
      <c r="R19" s="8">
        <f>I19</f>
        <v>0.40099000000000001</v>
      </c>
      <c r="S19" s="8">
        <f>Q19/10^6*$Z$4*$Z$3/P19*10^12</f>
        <v>7.778033230000001</v>
      </c>
      <c r="T19" s="8">
        <f>S19*0.06</f>
        <v>0.46668199380000003</v>
      </c>
      <c r="U19" s="8">
        <f>S19/$Z$1</f>
        <v>1.0654840041095892</v>
      </c>
      <c r="V19" s="12">
        <f t="shared" ref="V19:V29" si="63">O19</f>
        <v>0.82587167725023602</v>
      </c>
      <c r="W19" s="19"/>
      <c r="X19" s="34">
        <f t="shared" si="12"/>
        <v>0.28725397826234789</v>
      </c>
      <c r="Y19" s="35">
        <f t="shared" si="13"/>
        <v>5.2262856524999997</v>
      </c>
      <c r="Z19" s="35">
        <f t="shared" si="13"/>
        <v>0.31357713914999996</v>
      </c>
      <c r="AA19" s="35">
        <f t="shared" si="13"/>
        <v>0.71592954143835619</v>
      </c>
      <c r="AB19" s="42">
        <f t="shared" si="37"/>
        <v>1.6305361621257078E-2</v>
      </c>
      <c r="AC19" s="36">
        <f t="shared" si="14"/>
        <v>0.10227</v>
      </c>
      <c r="AD19" s="34">
        <f t="shared" si="15"/>
        <v>0.19150265217489859</v>
      </c>
      <c r="AE19" s="35">
        <f t="shared" si="16"/>
        <v>4.4833016250000002</v>
      </c>
      <c r="AF19" s="35">
        <f t="shared" si="16"/>
        <v>0.26899809749999998</v>
      </c>
      <c r="AG19" s="35">
        <f t="shared" si="16"/>
        <v>0.61415090753424662</v>
      </c>
      <c r="AH19" s="42">
        <f t="shared" si="38"/>
        <v>6.465941826967754E-2</v>
      </c>
      <c r="AI19" s="36">
        <f t="shared" si="39"/>
        <v>0.34789999999999999</v>
      </c>
      <c r="AJ19" s="34">
        <f t="shared" si="17"/>
        <v>0.14362698913117394</v>
      </c>
      <c r="AK19" s="35">
        <f t="shared" si="18"/>
        <v>2.8605805800000002</v>
      </c>
      <c r="AL19" s="35">
        <f t="shared" si="18"/>
        <v>0.1716348348</v>
      </c>
      <c r="AM19" s="35">
        <f t="shared" si="18"/>
        <v>0.39186035342465758</v>
      </c>
      <c r="AN19" s="42">
        <f t="shared" si="40"/>
        <v>3.0657959126604989E-2</v>
      </c>
      <c r="AO19" s="36">
        <f t="shared" si="41"/>
        <v>0.10525</v>
      </c>
      <c r="AP19" s="34">
        <f t="shared" si="19"/>
        <v>0.11490159130493915</v>
      </c>
      <c r="AQ19" s="35">
        <f t="shared" si="20"/>
        <v>2.8928106899999997</v>
      </c>
      <c r="AR19" s="35">
        <f t="shared" si="20"/>
        <v>0.17356864139999997</v>
      </c>
      <c r="AS19" s="35">
        <f t="shared" si="20"/>
        <v>0.39627543698630135</v>
      </c>
      <c r="AT19" s="42">
        <f t="shared" si="42"/>
        <v>2.1827797172583045E-2</v>
      </c>
      <c r="AU19" s="36">
        <f t="shared" si="43"/>
        <v>7.578E-2</v>
      </c>
      <c r="AV19" s="34">
        <f t="shared" si="21"/>
        <v>9.5751326087449296E-2</v>
      </c>
      <c r="AW19" s="35">
        <f t="shared" si="22"/>
        <v>2.2106955749999999</v>
      </c>
      <c r="AX19" s="35">
        <f t="shared" si="22"/>
        <v>0.1326417345</v>
      </c>
      <c r="AY19" s="35">
        <f t="shared" si="22"/>
        <v>0.30283501027397258</v>
      </c>
      <c r="AZ19" s="42">
        <f t="shared" si="44"/>
        <v>5.5682032339527343E-2</v>
      </c>
      <c r="BA19" s="36">
        <f t="shared" si="45"/>
        <v>0.14773</v>
      </c>
      <c r="BB19" s="34">
        <f t="shared" si="23"/>
        <v>8.2072565217813684E-2</v>
      </c>
      <c r="BC19" s="35">
        <f t="shared" si="24"/>
        <v>2.1673499100000004</v>
      </c>
      <c r="BD19" s="35">
        <f t="shared" si="24"/>
        <v>0.13004099460000001</v>
      </c>
      <c r="BE19" s="35">
        <f t="shared" si="24"/>
        <v>0.29689724794520556</v>
      </c>
      <c r="BF19" s="42">
        <f t="shared" si="46"/>
        <v>5.5250126870376913E-2</v>
      </c>
      <c r="BG19" s="36">
        <f t="shared" si="47"/>
        <v>0.14371</v>
      </c>
      <c r="BH19" s="34">
        <f t="shared" si="25"/>
        <v>7.1813494565586972E-2</v>
      </c>
      <c r="BI19" s="35">
        <f t="shared" si="26"/>
        <v>1.2115621649999999</v>
      </c>
      <c r="BJ19" s="35">
        <f t="shared" si="26"/>
        <v>7.269372989999999E-2</v>
      </c>
      <c r="BK19" s="35">
        <f t="shared" si="26"/>
        <v>0.16596741986301369</v>
      </c>
      <c r="BL19" s="42">
        <f t="shared" si="48"/>
        <v>4.4394162391163811E-2</v>
      </c>
      <c r="BM19" s="36">
        <f t="shared" si="49"/>
        <v>6.4549999999999996E-2</v>
      </c>
      <c r="BN19" s="34">
        <f t="shared" si="27"/>
        <v>6.3834217391632864E-2</v>
      </c>
      <c r="BO19" s="35">
        <f t="shared" si="28"/>
        <v>0.81561009750000013</v>
      </c>
      <c r="BP19" s="35">
        <f t="shared" si="28"/>
        <v>4.8936605850000009E-2</v>
      </c>
      <c r="BQ19" s="35">
        <f t="shared" si="28"/>
        <v>0.11172741061643837</v>
      </c>
      <c r="BR19" s="42">
        <f t="shared" si="50"/>
        <v>0.24399538224206449</v>
      </c>
      <c r="BS19" s="36">
        <f t="shared" si="51"/>
        <v>0.23883000000000001</v>
      </c>
      <c r="BT19" s="34"/>
      <c r="BU19" s="35"/>
      <c r="BV19" s="35"/>
      <c r="BW19" s="35"/>
      <c r="BX19" s="42"/>
      <c r="BY19" s="36"/>
      <c r="BZ19" s="34"/>
      <c r="CA19" s="35"/>
      <c r="CB19" s="35"/>
      <c r="CC19" s="35"/>
      <c r="CD19" s="42"/>
      <c r="CE19" s="36"/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7744.3</v>
      </c>
      <c r="D20">
        <v>76963.100000000006</v>
      </c>
      <c r="E20">
        <v>3953.6</v>
      </c>
      <c r="F20">
        <f t="shared" si="60"/>
        <v>7.6963100000000004</v>
      </c>
      <c r="G20">
        <f t="shared" si="61"/>
        <v>0.77443000000000006</v>
      </c>
      <c r="H20">
        <f t="shared" si="62"/>
        <v>6.9218800000000007</v>
      </c>
      <c r="I20">
        <f t="shared" ref="I20:I29" si="64">E20/10000</f>
        <v>0.39535999999999999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0.7325798242077276</v>
      </c>
      <c r="P20" s="4">
        <v>3</v>
      </c>
      <c r="Q20" s="5">
        <f t="shared" ref="Q20:R29" si="67">H20</f>
        <v>6.9218800000000007</v>
      </c>
      <c r="R20" s="5">
        <f t="shared" si="67"/>
        <v>0.39535999999999999</v>
      </c>
      <c r="S20" s="5">
        <f t="shared" ref="S20:S29" si="68">Q20/10^6*$Z$4*$Z$3/P20*10^12</f>
        <v>7.6902086800000014</v>
      </c>
      <c r="T20" s="5">
        <f t="shared" ref="T20:T29" si="69">S20*0.06</f>
        <v>0.46141252080000006</v>
      </c>
      <c r="U20" s="5">
        <f t="shared" ref="U20:U29" si="70">S20/$Z$1</f>
        <v>1.0534532438356166</v>
      </c>
      <c r="V20" s="5">
        <f t="shared" si="63"/>
        <v>0.7325798242077276</v>
      </c>
      <c r="W20" s="19"/>
      <c r="X20" s="34">
        <f t="shared" si="12"/>
        <v>0.20766053490063582</v>
      </c>
      <c r="Y20" s="35">
        <f t="shared" si="13"/>
        <v>4.9042095300000002</v>
      </c>
      <c r="Z20" s="35">
        <f t="shared" si="13"/>
        <v>0.29425257179999997</v>
      </c>
      <c r="AA20" s="35">
        <f t="shared" si="13"/>
        <v>0.6718095246575343</v>
      </c>
      <c r="AB20" s="42">
        <f t="shared" si="37"/>
        <v>1.7838331940111866E-2</v>
      </c>
      <c r="AC20" s="36">
        <f t="shared" si="14"/>
        <v>0.10499000000000001</v>
      </c>
      <c r="AD20" s="34">
        <f t="shared" si="15"/>
        <v>0.13844035660042389</v>
      </c>
      <c r="AE20" s="35">
        <f t="shared" si="16"/>
        <v>3.7804719150000001</v>
      </c>
      <c r="AF20" s="35">
        <f t="shared" si="16"/>
        <v>0.22682831489999999</v>
      </c>
      <c r="AG20" s="35">
        <f t="shared" si="16"/>
        <v>0.51787286506849317</v>
      </c>
      <c r="AH20" s="42">
        <f t="shared" si="38"/>
        <v>6.6761883350745649E-2</v>
      </c>
      <c r="AI20" s="36">
        <f t="shared" si="39"/>
        <v>0.3029</v>
      </c>
      <c r="AJ20" s="34">
        <f t="shared" si="17"/>
        <v>0.10383026745031791</v>
      </c>
      <c r="AK20" s="35">
        <f t="shared" si="18"/>
        <v>2.0422957500000001</v>
      </c>
      <c r="AL20" s="35">
        <f t="shared" si="18"/>
        <v>0.122537745</v>
      </c>
      <c r="AM20" s="35">
        <f t="shared" si="18"/>
        <v>0.27976654109589044</v>
      </c>
      <c r="AN20" s="42">
        <f t="shared" si="40"/>
        <v>0.1274826601387189</v>
      </c>
      <c r="AO20" s="36">
        <f t="shared" si="41"/>
        <v>0.31246000000000002</v>
      </c>
      <c r="AP20" s="34">
        <f t="shared" si="19"/>
        <v>8.3064213960254332E-2</v>
      </c>
      <c r="AQ20" s="35">
        <f t="shared" si="20"/>
        <v>1.1279705250000001</v>
      </c>
      <c r="AR20" s="35">
        <f t="shared" si="20"/>
        <v>6.7678231500000005E-2</v>
      </c>
      <c r="AS20" s="35">
        <f t="shared" si="20"/>
        <v>0.15451651027397262</v>
      </c>
      <c r="AT20" s="42">
        <f t="shared" si="42"/>
        <v>0.12157789761394697</v>
      </c>
      <c r="AU20" s="36">
        <f t="shared" si="43"/>
        <v>0.16458</v>
      </c>
      <c r="AV20" s="34"/>
      <c r="AW20" s="35"/>
      <c r="AX20" s="35"/>
      <c r="AY20" s="35"/>
      <c r="AZ20" s="42"/>
      <c r="BA20" s="36"/>
      <c r="BB20" s="34"/>
      <c r="BC20" s="35"/>
      <c r="BD20" s="35"/>
      <c r="BE20" s="35"/>
      <c r="BF20" s="42"/>
      <c r="BG20" s="36"/>
      <c r="BH20" s="34"/>
      <c r="BI20" s="35"/>
      <c r="BJ20" s="35"/>
      <c r="BK20" s="35"/>
      <c r="BL20" s="42"/>
      <c r="BM20" s="36"/>
      <c r="BN20" s="34"/>
      <c r="BO20" s="35"/>
      <c r="BP20" s="35"/>
      <c r="BQ20" s="35"/>
      <c r="BR20" s="42"/>
      <c r="BS20" s="36"/>
      <c r="BT20" s="34"/>
      <c r="BU20" s="35"/>
      <c r="BV20" s="35"/>
      <c r="BW20" s="35"/>
      <c r="BX20" s="42"/>
      <c r="BY20" s="36"/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11379.8</v>
      </c>
      <c r="D21">
        <v>79196.100000000006</v>
      </c>
      <c r="E21">
        <v>3104.1</v>
      </c>
      <c r="F21">
        <f t="shared" si="60"/>
        <v>7.9196100000000005</v>
      </c>
      <c r="G21">
        <f t="shared" si="61"/>
        <v>1.13798</v>
      </c>
      <c r="H21">
        <f t="shared" si="62"/>
        <v>6.7816300000000007</v>
      </c>
      <c r="I21">
        <f t="shared" si="64"/>
        <v>0.31040999999999996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0.63199201142279215</v>
      </c>
      <c r="P21" s="4">
        <v>3</v>
      </c>
      <c r="Q21" s="5">
        <f t="shared" si="67"/>
        <v>6.7816300000000007</v>
      </c>
      <c r="R21" s="5">
        <f t="shared" si="67"/>
        <v>0.31040999999999996</v>
      </c>
      <c r="S21" s="5">
        <f t="shared" si="68"/>
        <v>7.5343909300000007</v>
      </c>
      <c r="T21" s="5">
        <f t="shared" si="69"/>
        <v>0.45206345580000001</v>
      </c>
      <c r="U21" s="5">
        <f t="shared" si="70"/>
        <v>1.0321083465753427</v>
      </c>
      <c r="V21" s="5">
        <f t="shared" si="63"/>
        <v>0.63199201142279215</v>
      </c>
      <c r="W21" s="19"/>
      <c r="X21" s="34">
        <f t="shared" si="12"/>
        <v>0.17414735995550742</v>
      </c>
      <c r="Y21" s="35">
        <f t="shared" si="13"/>
        <v>2.8515748139999997</v>
      </c>
      <c r="Z21" s="35">
        <f t="shared" si="13"/>
        <v>0.17109448883999998</v>
      </c>
      <c r="AA21" s="35">
        <f t="shared" si="13"/>
        <v>0.39062668684931501</v>
      </c>
      <c r="AB21" s="42">
        <f t="shared" si="37"/>
        <v>5.5827892439787835E-2</v>
      </c>
      <c r="AC21" s="36">
        <f t="shared" si="14"/>
        <v>0.23881999999999998</v>
      </c>
      <c r="AD21" s="34">
        <f t="shared" si="15"/>
        <v>0.11609823997033829</v>
      </c>
      <c r="AE21" s="35">
        <f t="shared" si="16"/>
        <v>2.0745391920000005</v>
      </c>
      <c r="AF21" s="35">
        <f t="shared" si="16"/>
        <v>0.12447235152000002</v>
      </c>
      <c r="AG21" s="35">
        <f t="shared" si="16"/>
        <v>0.28418345095890418</v>
      </c>
      <c r="AH21" s="42">
        <f t="shared" si="38"/>
        <v>9.35278845288742E-2</v>
      </c>
      <c r="AI21" s="36">
        <f t="shared" si="39"/>
        <v>0.29107</v>
      </c>
      <c r="AJ21" s="34">
        <f t="shared" si="17"/>
        <v>8.7073679977753712E-2</v>
      </c>
      <c r="AK21" s="35">
        <f t="shared" si="18"/>
        <v>0.55857747000000002</v>
      </c>
      <c r="AL21" s="35">
        <f t="shared" si="18"/>
        <v>3.3514648199999997E-2</v>
      </c>
      <c r="AM21" s="35">
        <f t="shared" si="18"/>
        <v>7.6517461643835619E-2</v>
      </c>
      <c r="AN21" s="42">
        <f t="shared" si="40"/>
        <v>0.82818783936989071</v>
      </c>
      <c r="AO21" s="36">
        <f t="shared" si="41"/>
        <v>0.69398000000000004</v>
      </c>
      <c r="AP21" s="34"/>
      <c r="AQ21" s="35"/>
      <c r="AR21" s="35"/>
      <c r="AS21" s="35"/>
      <c r="AT21" s="42"/>
      <c r="AU21" s="36"/>
      <c r="AV21" s="34"/>
      <c r="AW21" s="35"/>
      <c r="AX21" s="35"/>
      <c r="AY21" s="35"/>
      <c r="AZ21" s="42"/>
      <c r="BA21" s="36"/>
      <c r="BB21" s="34"/>
      <c r="BC21" s="35"/>
      <c r="BD21" s="35"/>
      <c r="BE21" s="35"/>
      <c r="BF21" s="42"/>
      <c r="BG21" s="36"/>
      <c r="BH21" s="34"/>
      <c r="BI21" s="35"/>
      <c r="BJ21" s="35"/>
      <c r="BK21" s="35"/>
      <c r="BL21" s="42"/>
      <c r="BM21" s="36"/>
      <c r="BN21" s="34"/>
      <c r="BO21" s="35"/>
      <c r="BP21" s="35"/>
      <c r="BQ21" s="35"/>
      <c r="BR21" s="42"/>
      <c r="BS21" s="36"/>
      <c r="BT21" s="34"/>
      <c r="BU21" s="35"/>
      <c r="BV21" s="35"/>
      <c r="BW21" s="35"/>
      <c r="BX21" s="42"/>
      <c r="BY21" s="36"/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13794.9</v>
      </c>
      <c r="D22">
        <v>60777.1</v>
      </c>
      <c r="E22">
        <v>1337.3</v>
      </c>
      <c r="F22">
        <f t="shared" si="60"/>
        <v>6.0777099999999997</v>
      </c>
      <c r="G22">
        <f t="shared" si="61"/>
        <v>1.3794899999999999</v>
      </c>
      <c r="H22">
        <f t="shared" si="62"/>
        <v>4.6982200000000001</v>
      </c>
      <c r="I22">
        <f t="shared" si="64"/>
        <v>0.13372999999999999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0.38278220841209487</v>
      </c>
      <c r="P22" s="4">
        <v>3</v>
      </c>
      <c r="Q22" s="5">
        <f t="shared" si="67"/>
        <v>4.6982200000000001</v>
      </c>
      <c r="R22" s="5">
        <f t="shared" si="67"/>
        <v>0.13372999999999999</v>
      </c>
      <c r="S22" s="5">
        <f t="shared" si="68"/>
        <v>5.219722420000001</v>
      </c>
      <c r="T22" s="5">
        <f t="shared" si="69"/>
        <v>0.31318334520000007</v>
      </c>
      <c r="U22" s="5">
        <f t="shared" si="70"/>
        <v>0.71503046849315088</v>
      </c>
      <c r="V22" s="5">
        <f t="shared" si="63"/>
        <v>0.38278220841209487</v>
      </c>
      <c r="W22" s="19"/>
      <c r="X22" s="34">
        <f t="shared" si="12"/>
        <v>0.1403503890161685</v>
      </c>
      <c r="Y22" s="35">
        <f t="shared" si="13"/>
        <v>0.71531596124999997</v>
      </c>
      <c r="Z22" s="35">
        <f t="shared" si="13"/>
        <v>4.2918957674999994E-2</v>
      </c>
      <c r="AA22" s="35">
        <f t="shared" si="13"/>
        <v>9.7988487842465749E-2</v>
      </c>
      <c r="AB22" s="42">
        <f t="shared" si="37"/>
        <v>0.79321812770468225</v>
      </c>
      <c r="AC22" s="36">
        <f t="shared" si="14"/>
        <v>1.3619000000000001</v>
      </c>
      <c r="AD22" s="34"/>
      <c r="AE22" s="35"/>
      <c r="AF22" s="35"/>
      <c r="AG22" s="35"/>
      <c r="AH22" s="42"/>
      <c r="AI22" s="36"/>
      <c r="AJ22" s="34"/>
      <c r="AK22" s="35"/>
      <c r="AL22" s="35"/>
      <c r="AM22" s="35"/>
      <c r="AN22" s="42"/>
      <c r="AO22" s="36"/>
      <c r="AP22" s="34"/>
      <c r="AQ22" s="35"/>
      <c r="AR22" s="35"/>
      <c r="AS22" s="35"/>
      <c r="AT22" s="42"/>
      <c r="AU22" s="36"/>
      <c r="AV22" s="34"/>
      <c r="AW22" s="35"/>
      <c r="AX22" s="35"/>
      <c r="AY22" s="35"/>
      <c r="AZ22" s="42"/>
      <c r="BA22" s="36"/>
      <c r="BB22" s="34"/>
      <c r="BC22" s="35"/>
      <c r="BD22" s="35"/>
      <c r="BE22" s="35"/>
      <c r="BF22" s="42"/>
      <c r="BG22" s="36"/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14216.5</v>
      </c>
      <c r="D23">
        <v>54288.6</v>
      </c>
      <c r="E23">
        <v>971</v>
      </c>
      <c r="F23">
        <f t="shared" si="60"/>
        <v>5.4288600000000002</v>
      </c>
      <c r="G23">
        <f t="shared" si="61"/>
        <v>1.4216500000000001</v>
      </c>
      <c r="H23">
        <f t="shared" si="62"/>
        <v>4.0072100000000006</v>
      </c>
      <c r="I23">
        <f t="shared" si="64"/>
        <v>9.7100000000000006E-2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0.27666095006839714</v>
      </c>
      <c r="P23" s="4">
        <v>3</v>
      </c>
      <c r="Q23" s="5">
        <f t="shared" si="67"/>
        <v>4.0072100000000006</v>
      </c>
      <c r="R23" s="5">
        <f t="shared" si="67"/>
        <v>9.7100000000000006E-2</v>
      </c>
      <c r="S23" s="5">
        <f t="shared" si="68"/>
        <v>4.4520103100000004</v>
      </c>
      <c r="T23" s="5">
        <f t="shared" si="69"/>
        <v>0.26712061860000003</v>
      </c>
      <c r="U23" s="5">
        <f t="shared" si="70"/>
        <v>0.60986442602739732</v>
      </c>
      <c r="V23" s="5">
        <f t="shared" si="63"/>
        <v>0.27666095006839714</v>
      </c>
      <c r="W23" s="19"/>
      <c r="X23" s="34"/>
      <c r="Y23" s="35"/>
      <c r="Z23" s="35"/>
      <c r="AA23" s="35"/>
      <c r="AB23" s="42"/>
      <c r="AC23" s="36"/>
      <c r="AD23" s="34"/>
      <c r="AE23" s="35"/>
      <c r="AF23" s="35"/>
      <c r="AG23" s="35"/>
      <c r="AH23" s="42"/>
      <c r="AI23" s="36"/>
      <c r="AJ23" s="34"/>
      <c r="AK23" s="35"/>
      <c r="AL23" s="35"/>
      <c r="AM23" s="35"/>
      <c r="AN23" s="42"/>
      <c r="AO23" s="36"/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13515.5</v>
      </c>
      <c r="D24">
        <v>67320.5</v>
      </c>
      <c r="E24">
        <v>3479</v>
      </c>
      <c r="F24">
        <f t="shared" si="60"/>
        <v>6.7320500000000001</v>
      </c>
      <c r="G24">
        <f t="shared" si="61"/>
        <v>1.35155</v>
      </c>
      <c r="H24">
        <f t="shared" si="62"/>
        <v>5.3804999999999996</v>
      </c>
      <c r="I24">
        <f t="shared" si="64"/>
        <v>0.34789999999999999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0.19150265217489859</v>
      </c>
      <c r="P24" s="4">
        <v>4</v>
      </c>
      <c r="Q24" s="5">
        <f t="shared" si="67"/>
        <v>5.3804999999999996</v>
      </c>
      <c r="R24" s="5">
        <f t="shared" si="67"/>
        <v>0.34789999999999999</v>
      </c>
      <c r="S24" s="5">
        <f t="shared" si="68"/>
        <v>4.4833016250000002</v>
      </c>
      <c r="T24" s="5">
        <f t="shared" si="69"/>
        <v>0.26899809749999998</v>
      </c>
      <c r="U24" s="5">
        <f t="shared" si="70"/>
        <v>0.61415090753424662</v>
      </c>
      <c r="V24" s="5">
        <f t="shared" si="63"/>
        <v>0.19150265217489859</v>
      </c>
      <c r="W24" s="19"/>
      <c r="X24" s="37"/>
      <c r="Y24" s="38"/>
      <c r="Z24" s="38"/>
      <c r="AA24" s="38"/>
      <c r="AB24" s="43"/>
      <c r="AC24" s="39"/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12574.2</v>
      </c>
      <c r="D25">
        <v>57944.4</v>
      </c>
      <c r="E25">
        <v>3029</v>
      </c>
      <c r="F25">
        <f t="shared" si="60"/>
        <v>5.7944399999999998</v>
      </c>
      <c r="G25">
        <f t="shared" si="61"/>
        <v>1.25742</v>
      </c>
      <c r="H25">
        <f t="shared" si="62"/>
        <v>4.5370200000000001</v>
      </c>
      <c r="I25">
        <f t="shared" si="64"/>
        <v>0.3029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0.13844035660042389</v>
      </c>
      <c r="P25" s="4">
        <v>4</v>
      </c>
      <c r="Q25" s="5">
        <f t="shared" si="67"/>
        <v>4.5370200000000001</v>
      </c>
      <c r="R25" s="5">
        <f t="shared" si="67"/>
        <v>0.3029</v>
      </c>
      <c r="S25" s="5">
        <f t="shared" si="68"/>
        <v>3.7804719150000001</v>
      </c>
      <c r="T25" s="5">
        <f t="shared" si="69"/>
        <v>0.22682831489999999</v>
      </c>
      <c r="U25" s="5">
        <f t="shared" si="70"/>
        <v>0.51787286506849317</v>
      </c>
      <c r="V25" s="5">
        <f t="shared" si="63"/>
        <v>0.13844035660042389</v>
      </c>
      <c r="W25" s="19"/>
      <c r="X25" s="20"/>
      <c r="Y25" s="21"/>
      <c r="Z25" s="18"/>
    </row>
    <row r="26" spans="2:95" x14ac:dyDescent="0.3">
      <c r="B26">
        <v>8</v>
      </c>
      <c r="C26">
        <v>11863.6</v>
      </c>
      <c r="D26">
        <v>42984.800000000003</v>
      </c>
      <c r="E26">
        <v>2910.7</v>
      </c>
      <c r="F26">
        <f t="shared" si="60"/>
        <v>4.2984800000000005</v>
      </c>
      <c r="G26">
        <f t="shared" si="61"/>
        <v>1.1863600000000001</v>
      </c>
      <c r="H26">
        <f t="shared" si="62"/>
        <v>3.1121200000000004</v>
      </c>
      <c r="I26">
        <f t="shared" si="64"/>
        <v>0.29107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0.11609823997033829</v>
      </c>
      <c r="P26" s="4">
        <v>5</v>
      </c>
      <c r="Q26" s="5">
        <f t="shared" si="67"/>
        <v>3.1121200000000004</v>
      </c>
      <c r="R26" s="5">
        <f t="shared" si="67"/>
        <v>0.29107</v>
      </c>
      <c r="S26" s="5">
        <f t="shared" si="68"/>
        <v>2.0745391920000005</v>
      </c>
      <c r="T26" s="5">
        <f t="shared" si="69"/>
        <v>0.12447235152000002</v>
      </c>
      <c r="U26" s="5">
        <f t="shared" si="70"/>
        <v>0.28418345095890418</v>
      </c>
      <c r="V26" s="5">
        <f t="shared" si="63"/>
        <v>0.11609823997033829</v>
      </c>
      <c r="W26" s="19"/>
      <c r="X26" s="20"/>
      <c r="Y26" s="21"/>
      <c r="Z26" s="18"/>
    </row>
    <row r="27" spans="2:95" x14ac:dyDescent="0.3">
      <c r="B27">
        <v>9</v>
      </c>
      <c r="C27">
        <v>0</v>
      </c>
      <c r="D27">
        <v>0</v>
      </c>
      <c r="E27">
        <v>0</v>
      </c>
      <c r="F27">
        <f t="shared" si="60"/>
        <v>0</v>
      </c>
      <c r="G27">
        <f t="shared" si="61"/>
        <v>0</v>
      </c>
      <c r="H27">
        <f t="shared" si="62"/>
        <v>0</v>
      </c>
      <c r="I27">
        <f t="shared" si="64"/>
        <v>0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9.3566926010778997E-2</v>
      </c>
      <c r="P27" s="4">
        <v>8</v>
      </c>
      <c r="Q27" s="5">
        <f t="shared" si="67"/>
        <v>0</v>
      </c>
      <c r="R27" s="5">
        <f t="shared" si="67"/>
        <v>0</v>
      </c>
      <c r="S27" s="5">
        <f t="shared" si="68"/>
        <v>0</v>
      </c>
      <c r="T27" s="5">
        <f t="shared" si="69"/>
        <v>0</v>
      </c>
      <c r="U27" s="5">
        <f t="shared" si="70"/>
        <v>0</v>
      </c>
      <c r="V27" s="5">
        <f t="shared" si="63"/>
        <v>9.3566926010778997E-2</v>
      </c>
      <c r="W27" s="19"/>
      <c r="X27" s="20"/>
      <c r="Y27" s="21"/>
      <c r="Z27" s="17"/>
    </row>
    <row r="28" spans="2:95" x14ac:dyDescent="0.3">
      <c r="B28">
        <v>10</v>
      </c>
      <c r="C28">
        <v>0</v>
      </c>
      <c r="D28">
        <v>0</v>
      </c>
      <c r="E28">
        <v>0</v>
      </c>
      <c r="F28">
        <f t="shared" si="60"/>
        <v>0</v>
      </c>
      <c r="G28">
        <f t="shared" si="61"/>
        <v>0</v>
      </c>
      <c r="H28">
        <f t="shared" si="62"/>
        <v>0</v>
      </c>
      <c r="I28">
        <f t="shared" si="64"/>
        <v>0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6.7004988963650383E-2</v>
      </c>
      <c r="P28" s="4">
        <v>14</v>
      </c>
      <c r="Q28" s="5">
        <f t="shared" si="67"/>
        <v>0</v>
      </c>
      <c r="R28" s="5">
        <f t="shared" si="67"/>
        <v>0</v>
      </c>
      <c r="S28" s="5">
        <f t="shared" si="68"/>
        <v>0</v>
      </c>
      <c r="T28" s="5">
        <f t="shared" si="69"/>
        <v>0</v>
      </c>
      <c r="U28" s="5">
        <f t="shared" si="70"/>
        <v>0</v>
      </c>
      <c r="V28" s="5">
        <f t="shared" si="63"/>
        <v>6.7004988963650383E-2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4.3210044618169186E-2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4.3210044618169186E-2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-569.70000000000005</v>
      </c>
      <c r="D33">
        <v>63354.2</v>
      </c>
      <c r="E33">
        <v>5670.1</v>
      </c>
      <c r="F33">
        <f t="shared" ref="F33:F43" si="72">D33/10000</f>
        <v>6.3354200000000001</v>
      </c>
      <c r="G33">
        <f t="shared" ref="G33:G43" si="73">C33/10000</f>
        <v>-5.6970000000000007E-2</v>
      </c>
      <c r="H33">
        <f t="shared" ref="H33:H43" si="74">F33-G33</f>
        <v>6.3923899999999998</v>
      </c>
      <c r="I33">
        <f>E33/10000</f>
        <v>0.56701000000000001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0.61940375793767699</v>
      </c>
      <c r="P33" s="2">
        <v>3</v>
      </c>
      <c r="Q33" s="8">
        <f>H33</f>
        <v>6.3923899999999998</v>
      </c>
      <c r="R33" s="8">
        <f>I33</f>
        <v>0.56701000000000001</v>
      </c>
      <c r="S33" s="8">
        <f>Q33/10^6*$Z$4*$Z$3/P33*10^12</f>
        <v>7.1019452900000015</v>
      </c>
      <c r="T33" s="8">
        <f>S33*0.06</f>
        <v>0.42611671740000007</v>
      </c>
      <c r="U33" s="8">
        <f>S33/$Z$1</f>
        <v>0.97286921780821944</v>
      </c>
      <c r="V33" s="12">
        <f t="shared" ref="V33:V43" si="75">O33</f>
        <v>0.61940375793767699</v>
      </c>
    </row>
    <row r="34" spans="2:22" x14ac:dyDescent="0.3">
      <c r="B34">
        <v>2</v>
      </c>
      <c r="C34">
        <v>7639.7</v>
      </c>
      <c r="D34">
        <v>65792.3</v>
      </c>
      <c r="E34">
        <v>3108</v>
      </c>
      <c r="F34">
        <f t="shared" si="72"/>
        <v>6.5792299999999999</v>
      </c>
      <c r="G34">
        <f t="shared" si="73"/>
        <v>0.76396999999999993</v>
      </c>
      <c r="H34">
        <f t="shared" si="74"/>
        <v>5.8152600000000003</v>
      </c>
      <c r="I34">
        <f t="shared" ref="I34:I43" si="76">E34/10000</f>
        <v>0.31080000000000002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0.54943486815579567</v>
      </c>
      <c r="P34" s="4">
        <v>3</v>
      </c>
      <c r="Q34" s="5">
        <f t="shared" ref="Q34:R43" si="79">H34</f>
        <v>5.8152600000000003</v>
      </c>
      <c r="R34" s="5">
        <f t="shared" si="79"/>
        <v>0.31080000000000002</v>
      </c>
      <c r="S34" s="5">
        <f t="shared" ref="S34:S43" si="80">Q34/10^6*$Z$4*$Z$3/P34*10^12</f>
        <v>6.4607538600000005</v>
      </c>
      <c r="T34" s="5">
        <f t="shared" ref="T34:T43" si="81">S34*0.06</f>
        <v>0.38764523160000003</v>
      </c>
      <c r="U34" s="5">
        <f t="shared" ref="U34:U43" si="82">S34/$Z$1</f>
        <v>0.88503477534246588</v>
      </c>
      <c r="V34" s="5">
        <f t="shared" si="75"/>
        <v>0.54943486815579567</v>
      </c>
    </row>
    <row r="35" spans="2:22" x14ac:dyDescent="0.3">
      <c r="B35">
        <v>3</v>
      </c>
      <c r="C35">
        <v>15565.6</v>
      </c>
      <c r="D35">
        <v>70690.899999999994</v>
      </c>
      <c r="E35">
        <v>3319.6</v>
      </c>
      <c r="F35">
        <f t="shared" si="72"/>
        <v>7.0690899999999992</v>
      </c>
      <c r="G35">
        <f t="shared" si="73"/>
        <v>1.5565599999999999</v>
      </c>
      <c r="H35">
        <f t="shared" si="74"/>
        <v>5.512529999999999</v>
      </c>
      <c r="I35">
        <f t="shared" si="76"/>
        <v>0.33195999999999998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0.47399400856709412</v>
      </c>
      <c r="P35" s="4">
        <v>3</v>
      </c>
      <c r="Q35" s="5">
        <f t="shared" si="79"/>
        <v>5.512529999999999</v>
      </c>
      <c r="R35" s="5">
        <f t="shared" si="79"/>
        <v>0.33195999999999998</v>
      </c>
      <c r="S35" s="5">
        <f t="shared" si="80"/>
        <v>6.1244208299999991</v>
      </c>
      <c r="T35" s="5">
        <f t="shared" si="81"/>
        <v>0.36746524979999995</v>
      </c>
      <c r="U35" s="5">
        <f t="shared" si="82"/>
        <v>0.83896175753424651</v>
      </c>
      <c r="V35" s="5">
        <f t="shared" si="75"/>
        <v>0.47399400856709412</v>
      </c>
    </row>
    <row r="36" spans="2:22" x14ac:dyDescent="0.3">
      <c r="B36">
        <v>4</v>
      </c>
      <c r="C36">
        <v>15834.1</v>
      </c>
      <c r="D36">
        <v>57878</v>
      </c>
      <c r="E36">
        <v>1594.3</v>
      </c>
      <c r="F36">
        <f t="shared" si="72"/>
        <v>5.7877999999999998</v>
      </c>
      <c r="G36">
        <f t="shared" si="73"/>
        <v>1.58341</v>
      </c>
      <c r="H36">
        <f t="shared" si="74"/>
        <v>4.2043900000000001</v>
      </c>
      <c r="I36">
        <f t="shared" si="76"/>
        <v>0.15942999999999999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0.28708665630907115</v>
      </c>
      <c r="P36" s="4">
        <v>3</v>
      </c>
      <c r="Q36" s="5">
        <f t="shared" si="79"/>
        <v>4.2043900000000001</v>
      </c>
      <c r="R36" s="5">
        <f t="shared" si="79"/>
        <v>0.15942999999999999</v>
      </c>
      <c r="S36" s="5">
        <f t="shared" si="80"/>
        <v>4.6710772900000004</v>
      </c>
      <c r="T36" s="5">
        <f t="shared" si="81"/>
        <v>0.28026463740000002</v>
      </c>
      <c r="U36" s="5">
        <f t="shared" si="82"/>
        <v>0.63987360136986304</v>
      </c>
      <c r="V36" s="5">
        <f t="shared" si="75"/>
        <v>0.28708665630907115</v>
      </c>
    </row>
    <row r="37" spans="2:22" x14ac:dyDescent="0.3">
      <c r="B37">
        <v>5</v>
      </c>
      <c r="C37">
        <v>14400.2</v>
      </c>
      <c r="D37">
        <v>49534.8</v>
      </c>
      <c r="E37">
        <v>569.6</v>
      </c>
      <c r="F37">
        <f t="shared" si="72"/>
        <v>4.9534799999999999</v>
      </c>
      <c r="G37">
        <f t="shared" si="73"/>
        <v>1.4400200000000001</v>
      </c>
      <c r="H37">
        <f t="shared" si="74"/>
        <v>3.5134599999999998</v>
      </c>
      <c r="I37">
        <f t="shared" si="76"/>
        <v>5.6960000000000004E-2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0.20749571255129784</v>
      </c>
      <c r="P37" s="4">
        <v>3</v>
      </c>
      <c r="Q37" s="5">
        <f t="shared" si="79"/>
        <v>3.5134599999999998</v>
      </c>
      <c r="R37" s="5">
        <f t="shared" si="79"/>
        <v>5.6960000000000004E-2</v>
      </c>
      <c r="S37" s="5">
        <f t="shared" si="80"/>
        <v>3.9034540600000001</v>
      </c>
      <c r="T37" s="5">
        <f t="shared" si="81"/>
        <v>0.2342072436</v>
      </c>
      <c r="U37" s="5">
        <f t="shared" si="82"/>
        <v>0.53471973424657537</v>
      </c>
      <c r="V37" s="5">
        <f t="shared" si="75"/>
        <v>0.20749571255129784</v>
      </c>
    </row>
    <row r="38" spans="2:22" x14ac:dyDescent="0.3">
      <c r="B38">
        <v>6</v>
      </c>
      <c r="C38">
        <v>20045.099999999999</v>
      </c>
      <c r="D38">
        <v>54375.5</v>
      </c>
      <c r="E38">
        <v>1052.5</v>
      </c>
      <c r="F38">
        <f t="shared" si="72"/>
        <v>5.4375499999999999</v>
      </c>
      <c r="G38">
        <f t="shared" si="73"/>
        <v>2.0045099999999998</v>
      </c>
      <c r="H38">
        <f t="shared" si="74"/>
        <v>3.4330400000000001</v>
      </c>
      <c r="I38">
        <f t="shared" si="76"/>
        <v>0.10525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0.14362698913117394</v>
      </c>
      <c r="P38" s="4">
        <v>4</v>
      </c>
      <c r="Q38" s="5">
        <f t="shared" si="79"/>
        <v>3.4330400000000001</v>
      </c>
      <c r="R38" s="5">
        <f t="shared" si="79"/>
        <v>0.10525</v>
      </c>
      <c r="S38" s="5">
        <f t="shared" si="80"/>
        <v>2.8605805800000002</v>
      </c>
      <c r="T38" s="5">
        <f t="shared" si="81"/>
        <v>0.1716348348</v>
      </c>
      <c r="U38" s="5">
        <f t="shared" si="82"/>
        <v>0.39186035342465758</v>
      </c>
      <c r="V38" s="5">
        <f t="shared" si="75"/>
        <v>0.14362698913117394</v>
      </c>
    </row>
    <row r="39" spans="2:22" x14ac:dyDescent="0.3">
      <c r="B39">
        <v>7</v>
      </c>
      <c r="C39">
        <v>17619.3</v>
      </c>
      <c r="D39">
        <v>42129.3</v>
      </c>
      <c r="E39">
        <v>3124.6</v>
      </c>
      <c r="F39">
        <f t="shared" si="72"/>
        <v>4.2129300000000001</v>
      </c>
      <c r="G39">
        <f t="shared" si="73"/>
        <v>1.76193</v>
      </c>
      <c r="H39">
        <f t="shared" si="74"/>
        <v>2.4510000000000001</v>
      </c>
      <c r="I39">
        <f t="shared" si="76"/>
        <v>0.31246000000000002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0.10383026745031791</v>
      </c>
      <c r="P39" s="4">
        <v>4</v>
      </c>
      <c r="Q39" s="5">
        <f t="shared" si="79"/>
        <v>2.4510000000000001</v>
      </c>
      <c r="R39" s="5">
        <f t="shared" si="79"/>
        <v>0.31246000000000002</v>
      </c>
      <c r="S39" s="5">
        <f t="shared" si="80"/>
        <v>2.0422957500000001</v>
      </c>
      <c r="T39" s="5">
        <f t="shared" si="81"/>
        <v>0.122537745</v>
      </c>
      <c r="U39" s="5">
        <f t="shared" si="82"/>
        <v>0.27976654109589044</v>
      </c>
      <c r="V39" s="5">
        <f t="shared" si="75"/>
        <v>0.10383026745031791</v>
      </c>
    </row>
    <row r="40" spans="2:22" x14ac:dyDescent="0.3">
      <c r="B40">
        <v>8</v>
      </c>
      <c r="C40">
        <v>15418.8</v>
      </c>
      <c r="D40">
        <v>23798.3</v>
      </c>
      <c r="E40">
        <v>6939.8</v>
      </c>
      <c r="F40">
        <f t="shared" si="72"/>
        <v>2.3798300000000001</v>
      </c>
      <c r="G40">
        <f t="shared" si="73"/>
        <v>1.5418799999999999</v>
      </c>
      <c r="H40">
        <f t="shared" si="74"/>
        <v>0.83795000000000019</v>
      </c>
      <c r="I40">
        <f t="shared" si="76"/>
        <v>0.69398000000000004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8.7073679977753712E-2</v>
      </c>
      <c r="P40" s="4">
        <v>5</v>
      </c>
      <c r="Q40" s="5">
        <f t="shared" si="79"/>
        <v>0.83795000000000019</v>
      </c>
      <c r="R40" s="5">
        <f t="shared" si="79"/>
        <v>0.69398000000000004</v>
      </c>
      <c r="S40" s="5">
        <f t="shared" si="80"/>
        <v>0.55857747000000002</v>
      </c>
      <c r="T40" s="5">
        <f t="shared" si="81"/>
        <v>3.3514648199999997E-2</v>
      </c>
      <c r="U40" s="5">
        <f t="shared" si="82"/>
        <v>7.6517461643835619E-2</v>
      </c>
      <c r="V40" s="5">
        <f t="shared" si="75"/>
        <v>8.7073679977753712E-2</v>
      </c>
    </row>
    <row r="41" spans="2:22" x14ac:dyDescent="0.3">
      <c r="B41">
        <v>9</v>
      </c>
      <c r="C41">
        <v>0</v>
      </c>
      <c r="D41">
        <v>0</v>
      </c>
      <c r="E41">
        <v>0</v>
      </c>
      <c r="F41">
        <f t="shared" si="72"/>
        <v>0</v>
      </c>
      <c r="G41">
        <f t="shared" si="73"/>
        <v>0</v>
      </c>
      <c r="H41">
        <f t="shared" si="74"/>
        <v>0</v>
      </c>
      <c r="I41">
        <f t="shared" si="76"/>
        <v>0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7.0175194508084252E-2</v>
      </c>
      <c r="P41" s="4">
        <v>8</v>
      </c>
      <c r="Q41" s="5">
        <f t="shared" si="79"/>
        <v>0</v>
      </c>
      <c r="R41" s="5">
        <f t="shared" si="79"/>
        <v>0</v>
      </c>
      <c r="S41" s="5">
        <f t="shared" si="80"/>
        <v>0</v>
      </c>
      <c r="T41" s="5">
        <f t="shared" si="81"/>
        <v>0</v>
      </c>
      <c r="U41" s="5">
        <f t="shared" si="82"/>
        <v>0</v>
      </c>
      <c r="V41" s="5">
        <f t="shared" si="75"/>
        <v>7.0175194508084252E-2</v>
      </c>
    </row>
    <row r="42" spans="2:22" x14ac:dyDescent="0.3">
      <c r="B42">
        <v>10</v>
      </c>
      <c r="C42">
        <v>0</v>
      </c>
      <c r="D42">
        <v>0</v>
      </c>
      <c r="E42">
        <v>0</v>
      </c>
      <c r="F42">
        <f t="shared" si="72"/>
        <v>0</v>
      </c>
      <c r="G42">
        <f t="shared" si="73"/>
        <v>0</v>
      </c>
      <c r="H42">
        <f t="shared" si="74"/>
        <v>0</v>
      </c>
      <c r="I42">
        <f t="shared" si="76"/>
        <v>0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5.0253741722737791E-2</v>
      </c>
      <c r="P42" s="4">
        <v>14</v>
      </c>
      <c r="Q42" s="5">
        <f t="shared" si="79"/>
        <v>0</v>
      </c>
      <c r="R42" s="5">
        <f t="shared" si="79"/>
        <v>0</v>
      </c>
      <c r="S42" s="5">
        <f t="shared" si="80"/>
        <v>0</v>
      </c>
      <c r="T42" s="5">
        <f t="shared" si="81"/>
        <v>0</v>
      </c>
      <c r="U42" s="5">
        <f t="shared" si="82"/>
        <v>0</v>
      </c>
      <c r="V42" s="5">
        <f t="shared" si="75"/>
        <v>5.0253741722737791E-2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3.2407533463626889E-2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3.2407533463626889E-2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1181.8</v>
      </c>
      <c r="D47">
        <v>59145.599999999999</v>
      </c>
      <c r="E47">
        <v>3517.7</v>
      </c>
      <c r="F47">
        <f t="shared" ref="F47:F57" si="84">D47/10000</f>
        <v>5.9145599999999998</v>
      </c>
      <c r="G47">
        <f t="shared" ref="G47:G57" si="85">C47/10000</f>
        <v>0.11817999999999999</v>
      </c>
      <c r="H47">
        <f t="shared" ref="H47:H57" si="86">F47-G47</f>
        <v>5.7963800000000001</v>
      </c>
      <c r="I47">
        <f>E47/10000</f>
        <v>0.35176999999999997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0.49552300635014157</v>
      </c>
      <c r="P47" s="2">
        <v>3</v>
      </c>
      <c r="Q47" s="8">
        <f>H47</f>
        <v>5.7963800000000001</v>
      </c>
      <c r="R47" s="8">
        <f>I47</f>
        <v>0.35176999999999997</v>
      </c>
      <c r="S47" s="8">
        <f>Q47/10^6*$Z$4*$Z$3/P47*10^12</f>
        <v>6.4397781800000011</v>
      </c>
      <c r="T47" s="8">
        <f>S47*0.06</f>
        <v>0.38638669080000004</v>
      </c>
      <c r="U47" s="8">
        <f>S47/$Z$1</f>
        <v>0.88216139452054809</v>
      </c>
      <c r="V47" s="12">
        <f t="shared" ref="V47:V57" si="87">O47</f>
        <v>0.49552300635014157</v>
      </c>
    </row>
    <row r="48" spans="2:22" x14ac:dyDescent="0.3">
      <c r="B48">
        <v>2</v>
      </c>
      <c r="C48">
        <v>5046.5</v>
      </c>
      <c r="D48">
        <v>58801.4</v>
      </c>
      <c r="E48">
        <v>3470.8</v>
      </c>
      <c r="F48">
        <f t="shared" si="84"/>
        <v>5.8801399999999999</v>
      </c>
      <c r="G48">
        <f t="shared" si="85"/>
        <v>0.50465000000000004</v>
      </c>
      <c r="H48">
        <f t="shared" si="86"/>
        <v>5.3754900000000001</v>
      </c>
      <c r="I48">
        <f t="shared" ref="I48:I57" si="88">E48/10000</f>
        <v>0.34708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0.43954789452463655</v>
      </c>
      <c r="P48" s="4">
        <v>3</v>
      </c>
      <c r="Q48" s="5">
        <f t="shared" ref="Q48:R57" si="91">H48</f>
        <v>5.3754900000000001</v>
      </c>
      <c r="R48" s="5">
        <f t="shared" si="91"/>
        <v>0.34708</v>
      </c>
      <c r="S48" s="5">
        <f t="shared" ref="S48:S57" si="92">Q48/10^6*$Z$4*$Z$3/P48*10^12</f>
        <v>5.9721693899999995</v>
      </c>
      <c r="T48" s="5">
        <f t="shared" ref="T48:T57" si="93">S48*0.06</f>
        <v>0.35833016339999996</v>
      </c>
      <c r="U48" s="5">
        <f t="shared" ref="U48:U57" si="94">S48/$Z$1</f>
        <v>0.81810539589041087</v>
      </c>
      <c r="V48" s="5">
        <f t="shared" si="87"/>
        <v>0.43954789452463655</v>
      </c>
    </row>
    <row r="49" spans="2:22" x14ac:dyDescent="0.3">
      <c r="B49">
        <v>3</v>
      </c>
      <c r="C49">
        <v>10660.9</v>
      </c>
      <c r="D49">
        <v>64975.4</v>
      </c>
      <c r="E49">
        <v>2714.6</v>
      </c>
      <c r="F49">
        <f t="shared" si="84"/>
        <v>6.4975399999999999</v>
      </c>
      <c r="G49">
        <f t="shared" si="85"/>
        <v>1.06609</v>
      </c>
      <c r="H49">
        <f t="shared" si="86"/>
        <v>5.4314499999999999</v>
      </c>
      <c r="I49">
        <f t="shared" si="88"/>
        <v>0.27145999999999998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0.3791952068536753</v>
      </c>
      <c r="P49" s="4">
        <v>3</v>
      </c>
      <c r="Q49" s="5">
        <f t="shared" si="91"/>
        <v>5.4314499999999999</v>
      </c>
      <c r="R49" s="5">
        <f t="shared" si="91"/>
        <v>0.27145999999999998</v>
      </c>
      <c r="S49" s="5">
        <f t="shared" si="92"/>
        <v>6.0343409499999998</v>
      </c>
      <c r="T49" s="5">
        <f t="shared" si="93"/>
        <v>0.362060457</v>
      </c>
      <c r="U49" s="5">
        <f t="shared" si="94"/>
        <v>0.82662204794520544</v>
      </c>
      <c r="V49" s="5">
        <f t="shared" si="87"/>
        <v>0.3791952068536753</v>
      </c>
    </row>
    <row r="50" spans="2:22" x14ac:dyDescent="0.3">
      <c r="B50">
        <v>4</v>
      </c>
      <c r="C50">
        <v>13364</v>
      </c>
      <c r="D50">
        <v>50911.4</v>
      </c>
      <c r="E50">
        <v>1669.5</v>
      </c>
      <c r="F50">
        <f t="shared" si="84"/>
        <v>5.0911400000000002</v>
      </c>
      <c r="G50">
        <f t="shared" si="85"/>
        <v>1.3364</v>
      </c>
      <c r="H50">
        <f t="shared" si="86"/>
        <v>3.75474</v>
      </c>
      <c r="I50">
        <f t="shared" si="88"/>
        <v>0.16694999999999999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0.22966932504725693</v>
      </c>
      <c r="P50" s="4">
        <v>3</v>
      </c>
      <c r="Q50" s="5">
        <f t="shared" si="91"/>
        <v>3.75474</v>
      </c>
      <c r="R50" s="5">
        <f t="shared" si="91"/>
        <v>0.16694999999999999</v>
      </c>
      <c r="S50" s="5">
        <f t="shared" si="92"/>
        <v>4.1715161400000005</v>
      </c>
      <c r="T50" s="5">
        <f t="shared" si="93"/>
        <v>0.25029096840000004</v>
      </c>
      <c r="U50" s="5">
        <f t="shared" si="94"/>
        <v>0.57144056712328772</v>
      </c>
      <c r="V50" s="5">
        <f t="shared" si="87"/>
        <v>0.22966932504725693</v>
      </c>
    </row>
    <row r="51" spans="2:22" x14ac:dyDescent="0.3">
      <c r="B51">
        <v>5</v>
      </c>
      <c r="C51">
        <v>17096</v>
      </c>
      <c r="D51">
        <v>40066.6</v>
      </c>
      <c r="E51">
        <v>1164.2</v>
      </c>
      <c r="F51">
        <f t="shared" si="84"/>
        <v>4.0066600000000001</v>
      </c>
      <c r="G51">
        <f t="shared" si="85"/>
        <v>1.7096</v>
      </c>
      <c r="H51">
        <f t="shared" si="86"/>
        <v>2.2970600000000001</v>
      </c>
      <c r="I51">
        <f t="shared" si="88"/>
        <v>0.11642000000000001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0.16599657004103827</v>
      </c>
      <c r="P51" s="4">
        <v>3</v>
      </c>
      <c r="Q51" s="5">
        <f t="shared" si="91"/>
        <v>2.2970600000000001</v>
      </c>
      <c r="R51" s="5">
        <f t="shared" si="91"/>
        <v>0.11642000000000001</v>
      </c>
      <c r="S51" s="5">
        <f t="shared" si="92"/>
        <v>2.5520336600000006</v>
      </c>
      <c r="T51" s="5">
        <f t="shared" si="93"/>
        <v>0.15312201960000002</v>
      </c>
      <c r="U51" s="5">
        <f t="shared" si="94"/>
        <v>0.34959365205479459</v>
      </c>
      <c r="V51" s="5">
        <f t="shared" si="87"/>
        <v>0.16599657004103827</v>
      </c>
    </row>
    <row r="52" spans="2:22" x14ac:dyDescent="0.3">
      <c r="B52">
        <v>6</v>
      </c>
      <c r="C52">
        <v>8887</v>
      </c>
      <c r="D52">
        <v>43604.2</v>
      </c>
      <c r="E52">
        <v>757.8</v>
      </c>
      <c r="F52">
        <f t="shared" si="84"/>
        <v>4.3604199999999995</v>
      </c>
      <c r="G52">
        <f t="shared" si="85"/>
        <v>0.88870000000000005</v>
      </c>
      <c r="H52">
        <f t="shared" si="86"/>
        <v>3.4717199999999995</v>
      </c>
      <c r="I52">
        <f t="shared" si="88"/>
        <v>7.578E-2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0.11490159130493915</v>
      </c>
      <c r="P52" s="4">
        <v>4</v>
      </c>
      <c r="Q52" s="5">
        <f t="shared" si="91"/>
        <v>3.4717199999999995</v>
      </c>
      <c r="R52" s="5">
        <f t="shared" si="91"/>
        <v>7.578E-2</v>
      </c>
      <c r="S52" s="5">
        <f t="shared" si="92"/>
        <v>2.8928106899999997</v>
      </c>
      <c r="T52" s="5">
        <f t="shared" si="93"/>
        <v>0.17356864139999997</v>
      </c>
      <c r="U52" s="5">
        <f t="shared" si="94"/>
        <v>0.39627543698630135</v>
      </c>
      <c r="V52" s="5">
        <f t="shared" si="87"/>
        <v>0.11490159130493915</v>
      </c>
    </row>
    <row r="53" spans="2:22" x14ac:dyDescent="0.3">
      <c r="B53">
        <v>7</v>
      </c>
      <c r="C53">
        <v>13262.6</v>
      </c>
      <c r="D53">
        <v>26799.599999999999</v>
      </c>
      <c r="E53">
        <v>1645.8</v>
      </c>
      <c r="F53">
        <f t="shared" si="84"/>
        <v>2.6799599999999999</v>
      </c>
      <c r="G53">
        <f t="shared" si="85"/>
        <v>1.32626</v>
      </c>
      <c r="H53">
        <f t="shared" si="86"/>
        <v>1.3536999999999999</v>
      </c>
      <c r="I53">
        <f t="shared" si="88"/>
        <v>0.16458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8.3064213960254332E-2</v>
      </c>
      <c r="P53" s="4">
        <v>4</v>
      </c>
      <c r="Q53" s="5">
        <f t="shared" si="91"/>
        <v>1.3536999999999999</v>
      </c>
      <c r="R53" s="5">
        <f t="shared" si="91"/>
        <v>0.16458</v>
      </c>
      <c r="S53" s="5">
        <f t="shared" si="92"/>
        <v>1.1279705250000001</v>
      </c>
      <c r="T53" s="5">
        <f t="shared" si="93"/>
        <v>6.7678231500000005E-2</v>
      </c>
      <c r="U53" s="5">
        <f t="shared" si="94"/>
        <v>0.15451651027397262</v>
      </c>
      <c r="V53" s="5">
        <f t="shared" si="87"/>
        <v>8.3064213960254332E-2</v>
      </c>
    </row>
    <row r="54" spans="2:22" x14ac:dyDescent="0.3">
      <c r="B54">
        <v>8</v>
      </c>
      <c r="C54">
        <v>0</v>
      </c>
      <c r="D54">
        <v>0</v>
      </c>
      <c r="E54">
        <v>0</v>
      </c>
      <c r="F54">
        <f t="shared" si="84"/>
        <v>0</v>
      </c>
      <c r="G54">
        <f t="shared" si="85"/>
        <v>0</v>
      </c>
      <c r="H54">
        <f t="shared" si="86"/>
        <v>0</v>
      </c>
      <c r="I54">
        <f t="shared" si="88"/>
        <v>0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6.9658943982202973E-2</v>
      </c>
      <c r="P54" s="4">
        <v>5</v>
      </c>
      <c r="Q54" s="5">
        <f t="shared" si="91"/>
        <v>0</v>
      </c>
      <c r="R54" s="5">
        <f t="shared" si="91"/>
        <v>0</v>
      </c>
      <c r="S54" s="5">
        <f t="shared" si="92"/>
        <v>0</v>
      </c>
      <c r="T54" s="5">
        <f t="shared" si="93"/>
        <v>0</v>
      </c>
      <c r="U54" s="5">
        <f t="shared" si="94"/>
        <v>0</v>
      </c>
      <c r="V54" s="5">
        <f t="shared" si="87"/>
        <v>6.9658943982202973E-2</v>
      </c>
    </row>
    <row r="55" spans="2:22" x14ac:dyDescent="0.3">
      <c r="B55">
        <v>9</v>
      </c>
      <c r="C55">
        <v>0</v>
      </c>
      <c r="D55">
        <v>0</v>
      </c>
      <c r="E55">
        <v>0</v>
      </c>
      <c r="F55">
        <f t="shared" si="84"/>
        <v>0</v>
      </c>
      <c r="G55">
        <f t="shared" si="85"/>
        <v>0</v>
      </c>
      <c r="H55">
        <f t="shared" si="86"/>
        <v>0</v>
      </c>
      <c r="I55">
        <f t="shared" si="88"/>
        <v>0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5.6140155606467401E-2</v>
      </c>
      <c r="P55" s="4">
        <v>8</v>
      </c>
      <c r="Q55" s="5">
        <f t="shared" si="91"/>
        <v>0</v>
      </c>
      <c r="R55" s="5">
        <f t="shared" si="91"/>
        <v>0</v>
      </c>
      <c r="S55" s="5">
        <f t="shared" si="92"/>
        <v>0</v>
      </c>
      <c r="T55" s="5">
        <f t="shared" si="93"/>
        <v>0</v>
      </c>
      <c r="U55" s="5">
        <f t="shared" si="94"/>
        <v>0</v>
      </c>
      <c r="V55" s="5">
        <f t="shared" si="87"/>
        <v>5.6140155606467401E-2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84"/>
        <v>0</v>
      </c>
      <c r="G56">
        <f t="shared" si="85"/>
        <v>0</v>
      </c>
      <c r="H56">
        <f t="shared" si="86"/>
        <v>0</v>
      </c>
      <c r="I56">
        <f t="shared" si="88"/>
        <v>0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4.0202993378190235E-2</v>
      </c>
      <c r="P56" s="4">
        <v>14</v>
      </c>
      <c r="Q56" s="5">
        <f t="shared" si="91"/>
        <v>0</v>
      </c>
      <c r="R56" s="5">
        <f t="shared" si="91"/>
        <v>0</v>
      </c>
      <c r="S56" s="5">
        <f t="shared" si="92"/>
        <v>0</v>
      </c>
      <c r="T56" s="5">
        <f t="shared" si="93"/>
        <v>0</v>
      </c>
      <c r="U56" s="5">
        <f t="shared" si="94"/>
        <v>0</v>
      </c>
      <c r="V56" s="5">
        <f t="shared" si="87"/>
        <v>4.0202993378190235E-2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2.5926026770901511E-2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2.5926026770901511E-2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-1065.7</v>
      </c>
      <c r="D61">
        <v>50383.6</v>
      </c>
      <c r="E61">
        <v>4102.2</v>
      </c>
      <c r="F61">
        <f t="shared" ref="F61:F71" si="96">D61/10000</f>
        <v>5.0383599999999999</v>
      </c>
      <c r="G61">
        <f t="shared" ref="G61:G71" si="97">C61/10000</f>
        <v>-0.10657</v>
      </c>
      <c r="H61">
        <f t="shared" ref="H61:H71" si="98">F61-G61</f>
        <v>5.1449299999999996</v>
      </c>
      <c r="I61">
        <f>E61/10000</f>
        <v>0.41021999999999997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0.41293583862511801</v>
      </c>
      <c r="P61" s="2">
        <v>3</v>
      </c>
      <c r="Q61" s="8">
        <f>H61</f>
        <v>5.1449299999999996</v>
      </c>
      <c r="R61" s="8">
        <f>I61</f>
        <v>0.41021999999999997</v>
      </c>
      <c r="S61" s="8">
        <f>Q61/10^6*$Z$4*$Z$3/P61*10^12</f>
        <v>5.7160172299999985</v>
      </c>
      <c r="T61" s="8">
        <f>S61*0.06</f>
        <v>0.34296103379999987</v>
      </c>
      <c r="U61" s="8">
        <f>S61/$Z$1</f>
        <v>0.78301605890410941</v>
      </c>
      <c r="V61" s="12">
        <f t="shared" ref="V61:V71" si="99">O61</f>
        <v>0.41293583862511801</v>
      </c>
    </row>
    <row r="62" spans="2:22" x14ac:dyDescent="0.3">
      <c r="B62">
        <v>2</v>
      </c>
      <c r="C62">
        <v>6794.5</v>
      </c>
      <c r="D62">
        <v>51025.8</v>
      </c>
      <c r="E62">
        <v>3331.1</v>
      </c>
      <c r="F62">
        <f t="shared" si="96"/>
        <v>5.1025800000000006</v>
      </c>
      <c r="G62">
        <f t="shared" si="97"/>
        <v>0.67945</v>
      </c>
      <c r="H62">
        <f t="shared" si="98"/>
        <v>4.4231300000000005</v>
      </c>
      <c r="I62">
        <f t="shared" ref="I62:I71" si="100">E62/10000</f>
        <v>0.33311000000000002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0.3662899121038638</v>
      </c>
      <c r="P62" s="4">
        <v>3</v>
      </c>
      <c r="Q62" s="5">
        <f t="shared" ref="Q62:R71" si="103">H62</f>
        <v>4.4231300000000005</v>
      </c>
      <c r="R62" s="5">
        <f t="shared" si="103"/>
        <v>0.33311000000000002</v>
      </c>
      <c r="S62" s="5">
        <f t="shared" ref="S62:S71" si="104">Q62/10^6*$Z$4*$Z$3/P62*10^12</f>
        <v>4.9140974300000009</v>
      </c>
      <c r="T62" s="5">
        <f t="shared" ref="T62:T71" si="105">S62*0.06</f>
        <v>0.29484584580000006</v>
      </c>
      <c r="U62" s="5">
        <f t="shared" ref="U62:U71" si="106">S62/$Z$1</f>
        <v>0.67316403150684945</v>
      </c>
      <c r="V62" s="5">
        <f t="shared" si="99"/>
        <v>0.3662899121038638</v>
      </c>
    </row>
    <row r="63" spans="2:22" x14ac:dyDescent="0.3">
      <c r="B63">
        <v>3</v>
      </c>
      <c r="C63">
        <v>9462.4</v>
      </c>
      <c r="D63">
        <v>57206.7</v>
      </c>
      <c r="E63">
        <v>3070.4</v>
      </c>
      <c r="F63">
        <f t="shared" si="96"/>
        <v>5.7206700000000001</v>
      </c>
      <c r="G63">
        <f t="shared" si="97"/>
        <v>0.94623999999999997</v>
      </c>
      <c r="H63">
        <f t="shared" si="98"/>
        <v>4.7744300000000006</v>
      </c>
      <c r="I63">
        <f t="shared" si="100"/>
        <v>0.30704000000000004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0.31599600571139608</v>
      </c>
      <c r="P63" s="4">
        <v>3</v>
      </c>
      <c r="Q63" s="5">
        <f t="shared" si="103"/>
        <v>4.7744300000000006</v>
      </c>
      <c r="R63" s="5">
        <f t="shared" si="103"/>
        <v>0.30704000000000004</v>
      </c>
      <c r="S63" s="5">
        <f t="shared" si="104"/>
        <v>5.3043917300000016</v>
      </c>
      <c r="T63" s="5">
        <f t="shared" si="105"/>
        <v>0.31826350380000007</v>
      </c>
      <c r="U63" s="5">
        <f t="shared" si="106"/>
        <v>0.7266290041095893</v>
      </c>
      <c r="V63" s="5">
        <f t="shared" si="99"/>
        <v>0.31599600571139608</v>
      </c>
    </row>
    <row r="64" spans="2:22" x14ac:dyDescent="0.3">
      <c r="B64">
        <v>4</v>
      </c>
      <c r="C64">
        <v>11602</v>
      </c>
      <c r="D64">
        <v>48439.8</v>
      </c>
      <c r="E64">
        <v>1345</v>
      </c>
      <c r="F64">
        <f t="shared" si="96"/>
        <v>4.8439800000000002</v>
      </c>
      <c r="G64">
        <f t="shared" si="97"/>
        <v>1.1601999999999999</v>
      </c>
      <c r="H64">
        <f t="shared" si="98"/>
        <v>3.6837800000000005</v>
      </c>
      <c r="I64">
        <f t="shared" si="100"/>
        <v>0.13450000000000001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0.19139110420604744</v>
      </c>
      <c r="P64" s="4">
        <v>3</v>
      </c>
      <c r="Q64" s="5">
        <f t="shared" si="103"/>
        <v>3.6837800000000005</v>
      </c>
      <c r="R64" s="5">
        <f t="shared" si="103"/>
        <v>0.13450000000000001</v>
      </c>
      <c r="S64" s="5">
        <f t="shared" si="104"/>
        <v>4.0926795800000013</v>
      </c>
      <c r="T64" s="5">
        <f t="shared" si="105"/>
        <v>0.24556077480000008</v>
      </c>
      <c r="U64" s="5">
        <f t="shared" si="106"/>
        <v>0.56064103835616452</v>
      </c>
      <c r="V64" s="5">
        <f t="shared" si="99"/>
        <v>0.19139110420604744</v>
      </c>
    </row>
    <row r="65" spans="2:22" x14ac:dyDescent="0.3">
      <c r="B65">
        <v>5</v>
      </c>
      <c r="C65">
        <v>14503.4</v>
      </c>
      <c r="D65">
        <v>37897.699999999997</v>
      </c>
      <c r="E65">
        <v>1285.8</v>
      </c>
      <c r="F65">
        <f t="shared" si="96"/>
        <v>3.7897699999999999</v>
      </c>
      <c r="G65">
        <f t="shared" si="97"/>
        <v>1.45034</v>
      </c>
      <c r="H65">
        <f t="shared" si="98"/>
        <v>2.3394300000000001</v>
      </c>
      <c r="I65">
        <f t="shared" si="100"/>
        <v>0.12858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0.13833047503419857</v>
      </c>
      <c r="P65" s="4">
        <v>3</v>
      </c>
      <c r="Q65" s="5">
        <f t="shared" si="103"/>
        <v>2.3394300000000001</v>
      </c>
      <c r="R65" s="5">
        <f t="shared" si="103"/>
        <v>0.12858</v>
      </c>
      <c r="S65" s="5">
        <f t="shared" si="104"/>
        <v>2.5991067299999999</v>
      </c>
      <c r="T65" s="5">
        <f t="shared" si="105"/>
        <v>0.15594640379999999</v>
      </c>
      <c r="U65" s="5">
        <f t="shared" si="106"/>
        <v>0.3560420178082192</v>
      </c>
      <c r="V65" s="5">
        <f t="shared" si="99"/>
        <v>0.13833047503419857</v>
      </c>
    </row>
    <row r="66" spans="2:22" x14ac:dyDescent="0.3">
      <c r="B66">
        <v>6</v>
      </c>
      <c r="C66">
        <v>10443</v>
      </c>
      <c r="D66">
        <v>36974</v>
      </c>
      <c r="E66">
        <v>1477.3</v>
      </c>
      <c r="F66">
        <f t="shared" si="96"/>
        <v>3.6974</v>
      </c>
      <c r="G66">
        <f t="shared" si="97"/>
        <v>1.0443</v>
      </c>
      <c r="H66">
        <f t="shared" si="98"/>
        <v>2.6531000000000002</v>
      </c>
      <c r="I66">
        <f t="shared" si="100"/>
        <v>0.14773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9.5751326087449296E-2</v>
      </c>
      <c r="P66" s="4">
        <v>4</v>
      </c>
      <c r="Q66" s="5">
        <f t="shared" si="103"/>
        <v>2.6531000000000002</v>
      </c>
      <c r="R66" s="5">
        <f t="shared" si="103"/>
        <v>0.14773</v>
      </c>
      <c r="S66" s="5">
        <f t="shared" si="104"/>
        <v>2.2106955749999999</v>
      </c>
      <c r="T66" s="5">
        <f t="shared" si="105"/>
        <v>0.1326417345</v>
      </c>
      <c r="U66" s="5">
        <f t="shared" si="106"/>
        <v>0.30283501027397258</v>
      </c>
      <c r="V66" s="5">
        <f t="shared" si="99"/>
        <v>9.5751326087449296E-2</v>
      </c>
    </row>
    <row r="67" spans="2:22" x14ac:dyDescent="0.3">
      <c r="B67">
        <v>7</v>
      </c>
      <c r="C67">
        <v>0</v>
      </c>
      <c r="D67">
        <v>0</v>
      </c>
      <c r="E67">
        <v>0</v>
      </c>
      <c r="F67">
        <f t="shared" si="96"/>
        <v>0</v>
      </c>
      <c r="G67">
        <f t="shared" si="97"/>
        <v>0</v>
      </c>
      <c r="H67">
        <f t="shared" si="98"/>
        <v>0</v>
      </c>
      <c r="I67">
        <f t="shared" si="100"/>
        <v>0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6.9220178300211946E-2</v>
      </c>
      <c r="P67" s="4">
        <v>4</v>
      </c>
      <c r="Q67" s="5">
        <f t="shared" si="103"/>
        <v>0</v>
      </c>
      <c r="R67" s="5">
        <f t="shared" si="103"/>
        <v>0</v>
      </c>
      <c r="S67" s="5">
        <f t="shared" si="104"/>
        <v>0</v>
      </c>
      <c r="T67" s="5">
        <f t="shared" si="105"/>
        <v>0</v>
      </c>
      <c r="U67" s="5">
        <f t="shared" si="106"/>
        <v>0</v>
      </c>
      <c r="V67" s="5">
        <f t="shared" si="99"/>
        <v>6.9220178300211946E-2</v>
      </c>
    </row>
    <row r="68" spans="2:22" x14ac:dyDescent="0.3">
      <c r="B68">
        <v>8</v>
      </c>
      <c r="C68">
        <v>0</v>
      </c>
      <c r="D68">
        <v>0</v>
      </c>
      <c r="E68">
        <v>0</v>
      </c>
      <c r="F68">
        <f t="shared" si="96"/>
        <v>0</v>
      </c>
      <c r="G68">
        <f t="shared" si="97"/>
        <v>0</v>
      </c>
      <c r="H68">
        <f t="shared" si="98"/>
        <v>0</v>
      </c>
      <c r="I68">
        <f t="shared" si="100"/>
        <v>0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5.8049119985169144E-2</v>
      </c>
      <c r="P68" s="4">
        <v>5</v>
      </c>
      <c r="Q68" s="5">
        <f t="shared" si="103"/>
        <v>0</v>
      </c>
      <c r="R68" s="5">
        <f t="shared" si="103"/>
        <v>0</v>
      </c>
      <c r="S68" s="5">
        <f t="shared" si="104"/>
        <v>0</v>
      </c>
      <c r="T68" s="5">
        <f t="shared" si="105"/>
        <v>0</v>
      </c>
      <c r="U68" s="5">
        <f t="shared" si="106"/>
        <v>0</v>
      </c>
      <c r="V68" s="5">
        <f t="shared" si="99"/>
        <v>5.8049119985169144E-2</v>
      </c>
    </row>
    <row r="69" spans="2:22" x14ac:dyDescent="0.3">
      <c r="B69">
        <v>9</v>
      </c>
      <c r="C69">
        <v>0</v>
      </c>
      <c r="D69">
        <v>0</v>
      </c>
      <c r="E69">
        <v>0</v>
      </c>
      <c r="F69">
        <f t="shared" si="96"/>
        <v>0</v>
      </c>
      <c r="G69">
        <f t="shared" si="97"/>
        <v>0</v>
      </c>
      <c r="H69">
        <f t="shared" si="98"/>
        <v>0</v>
      </c>
      <c r="I69">
        <f t="shared" si="100"/>
        <v>0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4.6783463005389499E-2</v>
      </c>
      <c r="P69" s="4">
        <v>8</v>
      </c>
      <c r="Q69" s="5">
        <f t="shared" si="103"/>
        <v>0</v>
      </c>
      <c r="R69" s="5">
        <f t="shared" si="103"/>
        <v>0</v>
      </c>
      <c r="S69" s="5">
        <f t="shared" si="104"/>
        <v>0</v>
      </c>
      <c r="T69" s="5">
        <f t="shared" si="105"/>
        <v>0</v>
      </c>
      <c r="U69" s="5">
        <f t="shared" si="106"/>
        <v>0</v>
      </c>
      <c r="V69" s="5">
        <f t="shared" si="99"/>
        <v>4.6783463005389499E-2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96"/>
        <v>0</v>
      </c>
      <c r="G70">
        <f t="shared" si="97"/>
        <v>0</v>
      </c>
      <c r="H70">
        <f t="shared" si="98"/>
        <v>0</v>
      </c>
      <c r="I70">
        <f t="shared" si="100"/>
        <v>0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3.3502494481825192E-2</v>
      </c>
      <c r="P70" s="4">
        <v>14</v>
      </c>
      <c r="Q70" s="5">
        <f t="shared" si="103"/>
        <v>0</v>
      </c>
      <c r="R70" s="5">
        <f t="shared" si="103"/>
        <v>0</v>
      </c>
      <c r="S70" s="5">
        <f t="shared" si="104"/>
        <v>0</v>
      </c>
      <c r="T70" s="5">
        <f t="shared" si="105"/>
        <v>0</v>
      </c>
      <c r="U70" s="5">
        <f t="shared" si="106"/>
        <v>0</v>
      </c>
      <c r="V70" s="5">
        <f t="shared" si="99"/>
        <v>3.3502494481825192E-2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2.1605022309084593E-2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2.1605022309084593E-2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452.7</v>
      </c>
      <c r="D75">
        <v>48338</v>
      </c>
      <c r="E75">
        <v>3560.6</v>
      </c>
      <c r="F75">
        <f t="shared" ref="F75:F85" si="108">D75/10000</f>
        <v>4.8338000000000001</v>
      </c>
      <c r="G75">
        <f t="shared" ref="G75:G85" si="109">C75/10000</f>
        <v>4.5269999999999998E-2</v>
      </c>
      <c r="H75">
        <f t="shared" ref="H75:H85" si="110">F75-G75</f>
        <v>4.7885299999999997</v>
      </c>
      <c r="I75">
        <f>E75/10000</f>
        <v>0.35605999999999999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0.3539450045358154</v>
      </c>
      <c r="P75" s="2">
        <v>3</v>
      </c>
      <c r="Q75" s="8">
        <f>H75</f>
        <v>4.7885299999999997</v>
      </c>
      <c r="R75" s="8">
        <f>I75</f>
        <v>0.35605999999999999</v>
      </c>
      <c r="S75" s="8">
        <f>Q75/10^6*$Z$4*$Z$3/P75*10^12</f>
        <v>5.3200568299999995</v>
      </c>
      <c r="T75" s="8">
        <f>S75*0.06</f>
        <v>0.31920340979999995</v>
      </c>
      <c r="U75" s="8">
        <f>S75/$Z$1</f>
        <v>0.72877490821917801</v>
      </c>
      <c r="V75" s="12">
        <f t="shared" ref="V75:V85" si="111">O75</f>
        <v>0.3539450045358154</v>
      </c>
    </row>
    <row r="76" spans="2:22" x14ac:dyDescent="0.3">
      <c r="B76">
        <v>2</v>
      </c>
      <c r="C76">
        <v>8914.6</v>
      </c>
      <c r="D76">
        <v>52368.800000000003</v>
      </c>
      <c r="E76">
        <v>3246.2</v>
      </c>
      <c r="F76">
        <f t="shared" si="108"/>
        <v>5.2368800000000002</v>
      </c>
      <c r="G76">
        <f t="shared" si="109"/>
        <v>0.89146000000000003</v>
      </c>
      <c r="H76">
        <f t="shared" si="110"/>
        <v>4.3454199999999998</v>
      </c>
      <c r="I76">
        <f t="shared" ref="I76:I85" si="112">E76/10000</f>
        <v>0.32461999999999996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0.31396278180331183</v>
      </c>
      <c r="P76" s="4">
        <v>3</v>
      </c>
      <c r="Q76" s="5">
        <f t="shared" ref="Q76:R85" si="115">H76</f>
        <v>4.3454199999999998</v>
      </c>
      <c r="R76" s="5">
        <f t="shared" si="115"/>
        <v>0.32461999999999996</v>
      </c>
      <c r="S76" s="5">
        <f t="shared" ref="S76:S85" si="116">Q76/10^6*$Z$4*$Z$3/P76*10^12</f>
        <v>4.8277616199999995</v>
      </c>
      <c r="T76" s="5">
        <f t="shared" ref="T76:T85" si="117">S76*0.06</f>
        <v>0.28966569719999996</v>
      </c>
      <c r="U76" s="5">
        <f t="shared" ref="U76:U85" si="118">S76/$Z$1</f>
        <v>0.66133720821917807</v>
      </c>
      <c r="V76" s="5">
        <f t="shared" si="111"/>
        <v>0.31396278180331183</v>
      </c>
    </row>
    <row r="77" spans="2:22" x14ac:dyDescent="0.3">
      <c r="B77">
        <v>3</v>
      </c>
      <c r="C77">
        <v>5424.9</v>
      </c>
      <c r="D77">
        <v>53589.8</v>
      </c>
      <c r="E77">
        <v>2783.4</v>
      </c>
      <c r="F77">
        <f t="shared" si="108"/>
        <v>5.3589799999999999</v>
      </c>
      <c r="G77">
        <f t="shared" si="109"/>
        <v>0.54248999999999992</v>
      </c>
      <c r="H77">
        <f t="shared" si="110"/>
        <v>4.8164899999999999</v>
      </c>
      <c r="I77">
        <f t="shared" si="112"/>
        <v>0.27834000000000003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0.27085371918119666</v>
      </c>
      <c r="P77" s="4">
        <v>3</v>
      </c>
      <c r="Q77" s="5">
        <f t="shared" si="115"/>
        <v>4.8164899999999999</v>
      </c>
      <c r="R77" s="5">
        <f t="shared" si="115"/>
        <v>0.27834000000000003</v>
      </c>
      <c r="S77" s="5">
        <f t="shared" si="116"/>
        <v>5.3511203900000002</v>
      </c>
      <c r="T77" s="5">
        <f t="shared" si="117"/>
        <v>0.32106722339999999</v>
      </c>
      <c r="U77" s="5">
        <f t="shared" si="118"/>
        <v>0.73303019041095896</v>
      </c>
      <c r="V77" s="5">
        <f t="shared" si="111"/>
        <v>0.27085371918119666</v>
      </c>
    </row>
    <row r="78" spans="2:22" x14ac:dyDescent="0.3">
      <c r="B78">
        <v>4</v>
      </c>
      <c r="C78">
        <v>11653.6</v>
      </c>
      <c r="D78">
        <v>44876</v>
      </c>
      <c r="E78">
        <v>1424.9</v>
      </c>
      <c r="F78">
        <f t="shared" si="108"/>
        <v>4.4875999999999996</v>
      </c>
      <c r="G78">
        <f t="shared" si="109"/>
        <v>1.16536</v>
      </c>
      <c r="H78">
        <f t="shared" si="110"/>
        <v>3.3222399999999999</v>
      </c>
      <c r="I78">
        <f t="shared" si="112"/>
        <v>0.14249000000000001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0.16404951789089781</v>
      </c>
      <c r="P78" s="4">
        <v>3</v>
      </c>
      <c r="Q78" s="5">
        <f t="shared" si="115"/>
        <v>3.3222399999999999</v>
      </c>
      <c r="R78" s="5">
        <f t="shared" si="115"/>
        <v>0.14249000000000001</v>
      </c>
      <c r="S78" s="5">
        <f t="shared" si="116"/>
        <v>3.6910086400000006</v>
      </c>
      <c r="T78" s="5">
        <f t="shared" si="117"/>
        <v>0.22146051840000003</v>
      </c>
      <c r="U78" s="5">
        <f t="shared" si="118"/>
        <v>0.50561762191780835</v>
      </c>
      <c r="V78" s="5">
        <f t="shared" si="111"/>
        <v>0.16404951789089781</v>
      </c>
    </row>
    <row r="79" spans="2:22" x14ac:dyDescent="0.3">
      <c r="B79">
        <v>5</v>
      </c>
      <c r="C79">
        <v>15841.1</v>
      </c>
      <c r="D79">
        <v>36855.1</v>
      </c>
      <c r="E79">
        <v>1172.8</v>
      </c>
      <c r="F79">
        <f t="shared" si="108"/>
        <v>3.6855099999999998</v>
      </c>
      <c r="G79">
        <f t="shared" si="109"/>
        <v>1.5841100000000001</v>
      </c>
      <c r="H79">
        <f t="shared" si="110"/>
        <v>2.1013999999999999</v>
      </c>
      <c r="I79">
        <f t="shared" si="112"/>
        <v>0.11728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0.11856897860074163</v>
      </c>
      <c r="P79" s="4">
        <v>3</v>
      </c>
      <c r="Q79" s="5">
        <f t="shared" si="115"/>
        <v>2.1013999999999999</v>
      </c>
      <c r="R79" s="5">
        <f t="shared" si="115"/>
        <v>0.11728</v>
      </c>
      <c r="S79" s="5">
        <f t="shared" si="116"/>
        <v>2.3346554000000004</v>
      </c>
      <c r="T79" s="5">
        <f t="shared" si="117"/>
        <v>0.14007932400000001</v>
      </c>
      <c r="U79" s="5">
        <f t="shared" si="118"/>
        <v>0.31981580821917815</v>
      </c>
      <c r="V79" s="5">
        <f t="shared" si="111"/>
        <v>0.11856897860074163</v>
      </c>
    </row>
    <row r="80" spans="2:22" x14ac:dyDescent="0.3">
      <c r="B80">
        <v>6</v>
      </c>
      <c r="C80">
        <v>8086</v>
      </c>
      <c r="D80">
        <v>34096.800000000003</v>
      </c>
      <c r="E80">
        <v>1437.1</v>
      </c>
      <c r="F80">
        <f t="shared" si="108"/>
        <v>3.4096800000000003</v>
      </c>
      <c r="G80">
        <f t="shared" si="109"/>
        <v>0.80859999999999999</v>
      </c>
      <c r="H80">
        <f t="shared" si="110"/>
        <v>2.6010800000000005</v>
      </c>
      <c r="I80">
        <f t="shared" si="112"/>
        <v>0.14371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8.2072565217813684E-2</v>
      </c>
      <c r="P80" s="4">
        <v>4</v>
      </c>
      <c r="Q80" s="5">
        <f t="shared" si="115"/>
        <v>2.6010800000000005</v>
      </c>
      <c r="R80" s="5">
        <f t="shared" si="115"/>
        <v>0.14371</v>
      </c>
      <c r="S80" s="5">
        <f t="shared" si="116"/>
        <v>2.1673499100000004</v>
      </c>
      <c r="T80" s="5">
        <f t="shared" si="117"/>
        <v>0.13004099460000001</v>
      </c>
      <c r="U80" s="5">
        <f t="shared" si="118"/>
        <v>0.29689724794520556</v>
      </c>
      <c r="V80" s="5">
        <f t="shared" si="111"/>
        <v>8.2072565217813684E-2</v>
      </c>
    </row>
    <row r="81" spans="2:22" x14ac:dyDescent="0.3">
      <c r="B81">
        <v>7</v>
      </c>
      <c r="C81">
        <v>0</v>
      </c>
      <c r="D81">
        <v>0</v>
      </c>
      <c r="E81">
        <v>0</v>
      </c>
      <c r="F81">
        <f t="shared" si="108"/>
        <v>0</v>
      </c>
      <c r="G81">
        <f t="shared" si="109"/>
        <v>0</v>
      </c>
      <c r="H81">
        <f t="shared" si="110"/>
        <v>0</v>
      </c>
      <c r="I81">
        <f t="shared" si="112"/>
        <v>0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5.9331581400181667E-2</v>
      </c>
      <c r="P81" s="4">
        <v>4</v>
      </c>
      <c r="Q81" s="5">
        <f t="shared" si="115"/>
        <v>0</v>
      </c>
      <c r="R81" s="5">
        <f t="shared" si="115"/>
        <v>0</v>
      </c>
      <c r="S81" s="5">
        <f t="shared" si="116"/>
        <v>0</v>
      </c>
      <c r="T81" s="5">
        <f t="shared" si="117"/>
        <v>0</v>
      </c>
      <c r="U81" s="5">
        <f t="shared" si="118"/>
        <v>0</v>
      </c>
      <c r="V81" s="5">
        <f t="shared" si="111"/>
        <v>5.9331581400181667E-2</v>
      </c>
    </row>
    <row r="82" spans="2:22" x14ac:dyDescent="0.3">
      <c r="B82">
        <v>8</v>
      </c>
      <c r="C82">
        <v>0</v>
      </c>
      <c r="D82">
        <v>0</v>
      </c>
      <c r="E82">
        <v>0</v>
      </c>
      <c r="F82">
        <f t="shared" si="108"/>
        <v>0</v>
      </c>
      <c r="G82">
        <f t="shared" si="109"/>
        <v>0</v>
      </c>
      <c r="H82">
        <f t="shared" si="110"/>
        <v>0</v>
      </c>
      <c r="I82">
        <f t="shared" si="112"/>
        <v>0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4.9756388558716405E-2</v>
      </c>
      <c r="P82" s="4">
        <v>5</v>
      </c>
      <c r="Q82" s="5">
        <f t="shared" si="115"/>
        <v>0</v>
      </c>
      <c r="R82" s="5">
        <f t="shared" si="115"/>
        <v>0</v>
      </c>
      <c r="S82" s="5">
        <f t="shared" si="116"/>
        <v>0</v>
      </c>
      <c r="T82" s="5">
        <f t="shared" si="117"/>
        <v>0</v>
      </c>
      <c r="U82" s="5">
        <f t="shared" si="118"/>
        <v>0</v>
      </c>
      <c r="V82" s="5">
        <f t="shared" si="111"/>
        <v>4.9756388558716405E-2</v>
      </c>
    </row>
    <row r="83" spans="2:22" x14ac:dyDescent="0.3">
      <c r="B83">
        <v>9</v>
      </c>
      <c r="C83">
        <v>0</v>
      </c>
      <c r="D83">
        <v>0</v>
      </c>
      <c r="E83">
        <v>0</v>
      </c>
      <c r="F83">
        <f t="shared" si="108"/>
        <v>0</v>
      </c>
      <c r="G83">
        <f t="shared" si="109"/>
        <v>0</v>
      </c>
      <c r="H83">
        <f t="shared" si="110"/>
        <v>0</v>
      </c>
      <c r="I83">
        <f t="shared" si="112"/>
        <v>0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4.0100111147476712E-2</v>
      </c>
      <c r="P83" s="4">
        <v>8</v>
      </c>
      <c r="Q83" s="5">
        <f t="shared" si="115"/>
        <v>0</v>
      </c>
      <c r="R83" s="5">
        <f t="shared" si="115"/>
        <v>0</v>
      </c>
      <c r="S83" s="5">
        <f t="shared" si="116"/>
        <v>0</v>
      </c>
      <c r="T83" s="5">
        <f t="shared" si="117"/>
        <v>0</v>
      </c>
      <c r="U83" s="5">
        <f t="shared" si="118"/>
        <v>0</v>
      </c>
      <c r="V83" s="5">
        <f t="shared" si="111"/>
        <v>4.0100111147476712E-2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08"/>
        <v>0</v>
      </c>
      <c r="G84">
        <f t="shared" si="109"/>
        <v>0</v>
      </c>
      <c r="H84">
        <f t="shared" si="110"/>
        <v>0</v>
      </c>
      <c r="I84">
        <f t="shared" si="112"/>
        <v>0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2.8716423841564451E-2</v>
      </c>
      <c r="P84" s="4">
        <v>14</v>
      </c>
      <c r="Q84" s="5">
        <f t="shared" si="115"/>
        <v>0</v>
      </c>
      <c r="R84" s="5">
        <f t="shared" si="115"/>
        <v>0</v>
      </c>
      <c r="S84" s="5">
        <f t="shared" si="116"/>
        <v>0</v>
      </c>
      <c r="T84" s="5">
        <f t="shared" si="117"/>
        <v>0</v>
      </c>
      <c r="U84" s="5">
        <f t="shared" si="118"/>
        <v>0</v>
      </c>
      <c r="V84" s="5">
        <f t="shared" si="111"/>
        <v>2.8716423841564451E-2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1.8518590550643938E-2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1.8518590550643938E-2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808.6</v>
      </c>
      <c r="D89">
        <v>45041.8</v>
      </c>
      <c r="E89">
        <v>3759.6</v>
      </c>
      <c r="F89">
        <f t="shared" ref="F89:F99" si="120">D89/10000</f>
        <v>4.5041799999999999</v>
      </c>
      <c r="G89">
        <f t="shared" ref="G89:G99" si="121">C89/10000</f>
        <v>8.0860000000000001E-2</v>
      </c>
      <c r="H89">
        <f t="shared" ref="H89:H99" si="122">F89-G89</f>
        <v>4.4233199999999995</v>
      </c>
      <c r="I89">
        <f>E89/10000</f>
        <v>0.37596000000000002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0.3097018789688385</v>
      </c>
      <c r="P89" s="2">
        <v>3</v>
      </c>
      <c r="Q89" s="8">
        <f>H89</f>
        <v>4.4233199999999995</v>
      </c>
      <c r="R89" s="8">
        <f>I89</f>
        <v>0.37596000000000002</v>
      </c>
      <c r="S89" s="8">
        <f>Q89/10^6*$Z$4*$Z$3/P89*10^12</f>
        <v>4.9143085199999996</v>
      </c>
      <c r="T89" s="8">
        <f>S89*0.06</f>
        <v>0.29485851119999995</v>
      </c>
      <c r="U89" s="8">
        <f>S89/$Z$1</f>
        <v>0.67319294794520546</v>
      </c>
      <c r="V89" s="12">
        <f t="shared" ref="V89:V99" si="123">O89</f>
        <v>0.3097018789688385</v>
      </c>
    </row>
    <row r="90" spans="2:22" x14ac:dyDescent="0.3">
      <c r="B90">
        <v>2</v>
      </c>
      <c r="C90">
        <v>9505.2000000000007</v>
      </c>
      <c r="D90">
        <v>51340.9</v>
      </c>
      <c r="E90">
        <v>3716.5</v>
      </c>
      <c r="F90">
        <f t="shared" si="120"/>
        <v>5.1340900000000005</v>
      </c>
      <c r="G90">
        <f t="shared" si="121"/>
        <v>0.95052000000000003</v>
      </c>
      <c r="H90">
        <f t="shared" si="122"/>
        <v>4.1835700000000005</v>
      </c>
      <c r="I90">
        <f t="shared" ref="I90:I99" si="124">E90/10000</f>
        <v>0.37164999999999998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0.27471743407789784</v>
      </c>
      <c r="P90" s="4">
        <v>3</v>
      </c>
      <c r="Q90" s="5">
        <f t="shared" ref="Q90:R99" si="127">H90</f>
        <v>4.1835700000000005</v>
      </c>
      <c r="R90" s="5">
        <f t="shared" si="127"/>
        <v>0.37164999999999998</v>
      </c>
      <c r="S90" s="5">
        <f t="shared" ref="S90:S99" si="128">Q90/10^6*$Z$4*$Z$3/P90*10^12</f>
        <v>4.6479462700000003</v>
      </c>
      <c r="T90" s="5">
        <f t="shared" ref="T90:T99" si="129">S90*0.06</f>
        <v>0.27887677620000001</v>
      </c>
      <c r="U90" s="5">
        <f t="shared" ref="U90:U99" si="130">S90/$Z$1</f>
        <v>0.63670496849315072</v>
      </c>
      <c r="V90" s="5">
        <f t="shared" si="123"/>
        <v>0.27471743407789784</v>
      </c>
    </row>
    <row r="91" spans="2:22" x14ac:dyDescent="0.3">
      <c r="B91">
        <v>3</v>
      </c>
      <c r="C91">
        <v>8227.7999999999993</v>
      </c>
      <c r="D91">
        <v>52021.3</v>
      </c>
      <c r="E91">
        <v>2833.7</v>
      </c>
      <c r="F91">
        <f t="shared" si="120"/>
        <v>5.2021300000000004</v>
      </c>
      <c r="G91">
        <f t="shared" si="121"/>
        <v>0.82277999999999996</v>
      </c>
      <c r="H91">
        <f t="shared" si="122"/>
        <v>4.3793500000000005</v>
      </c>
      <c r="I91">
        <f t="shared" si="124"/>
        <v>0.28336999999999996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0.23699700428354706</v>
      </c>
      <c r="P91" s="4">
        <v>3</v>
      </c>
      <c r="Q91" s="5">
        <f t="shared" si="127"/>
        <v>4.3793500000000005</v>
      </c>
      <c r="R91" s="5">
        <f t="shared" si="127"/>
        <v>0.28336999999999996</v>
      </c>
      <c r="S91" s="5">
        <f t="shared" si="128"/>
        <v>4.8654578500000012</v>
      </c>
      <c r="T91" s="5">
        <f t="shared" si="129"/>
        <v>0.29192747100000005</v>
      </c>
      <c r="U91" s="5">
        <f t="shared" si="130"/>
        <v>0.66650107534246594</v>
      </c>
      <c r="V91" s="5">
        <f t="shared" si="123"/>
        <v>0.23699700428354706</v>
      </c>
    </row>
    <row r="92" spans="2:22" x14ac:dyDescent="0.3">
      <c r="B92">
        <v>4</v>
      </c>
      <c r="C92">
        <v>12282.8</v>
      </c>
      <c r="D92">
        <v>41961.7</v>
      </c>
      <c r="E92">
        <v>1512</v>
      </c>
      <c r="F92">
        <f t="shared" si="120"/>
        <v>4.1961699999999995</v>
      </c>
      <c r="G92">
        <f t="shared" si="121"/>
        <v>1.2282799999999998</v>
      </c>
      <c r="H92">
        <f t="shared" si="122"/>
        <v>2.9678899999999997</v>
      </c>
      <c r="I92">
        <f t="shared" si="124"/>
        <v>0.1512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0.14354332815453558</v>
      </c>
      <c r="P92" s="4">
        <v>3</v>
      </c>
      <c r="Q92" s="5">
        <f t="shared" si="127"/>
        <v>2.9678899999999997</v>
      </c>
      <c r="R92" s="5">
        <f t="shared" si="127"/>
        <v>0.1512</v>
      </c>
      <c r="S92" s="5">
        <f t="shared" si="128"/>
        <v>3.2973257899999999</v>
      </c>
      <c r="T92" s="5">
        <f t="shared" si="129"/>
        <v>0.19783954739999998</v>
      </c>
      <c r="U92" s="5">
        <f t="shared" si="130"/>
        <v>0.45168846438356164</v>
      </c>
      <c r="V92" s="5">
        <f t="shared" si="123"/>
        <v>0.14354332815453558</v>
      </c>
    </row>
    <row r="93" spans="2:22" x14ac:dyDescent="0.3">
      <c r="B93">
        <v>5</v>
      </c>
      <c r="C93">
        <v>15196</v>
      </c>
      <c r="D93">
        <v>32307</v>
      </c>
      <c r="E93">
        <v>1493.6</v>
      </c>
      <c r="F93">
        <f t="shared" si="120"/>
        <v>3.2307000000000001</v>
      </c>
      <c r="G93">
        <f t="shared" si="121"/>
        <v>1.5196000000000001</v>
      </c>
      <c r="H93">
        <f t="shared" si="122"/>
        <v>1.7111000000000001</v>
      </c>
      <c r="I93">
        <f t="shared" si="124"/>
        <v>0.14935999999999999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0.10374785627564892</v>
      </c>
      <c r="P93" s="4">
        <v>3</v>
      </c>
      <c r="Q93" s="5">
        <f t="shared" si="127"/>
        <v>1.7111000000000001</v>
      </c>
      <c r="R93" s="5">
        <f t="shared" si="127"/>
        <v>0.14935999999999999</v>
      </c>
      <c r="S93" s="5">
        <f t="shared" si="128"/>
        <v>1.9010321000000001</v>
      </c>
      <c r="T93" s="5">
        <f t="shared" si="129"/>
        <v>0.11406192600000001</v>
      </c>
      <c r="U93" s="5">
        <f t="shared" si="130"/>
        <v>0.2604153561643836</v>
      </c>
      <c r="V93" s="5">
        <f t="shared" si="123"/>
        <v>0.10374785627564892</v>
      </c>
    </row>
    <row r="94" spans="2:22" x14ac:dyDescent="0.3">
      <c r="B94">
        <v>6</v>
      </c>
      <c r="C94">
        <v>9088.4</v>
      </c>
      <c r="D94">
        <v>23628.6</v>
      </c>
      <c r="E94">
        <v>645.5</v>
      </c>
      <c r="F94">
        <f t="shared" si="120"/>
        <v>2.36286</v>
      </c>
      <c r="G94">
        <f t="shared" si="121"/>
        <v>0.90883999999999998</v>
      </c>
      <c r="H94">
        <f t="shared" si="122"/>
        <v>1.4540199999999999</v>
      </c>
      <c r="I94">
        <f t="shared" si="124"/>
        <v>6.4549999999999996E-2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7.1813494565586972E-2</v>
      </c>
      <c r="P94" s="4">
        <v>4</v>
      </c>
      <c r="Q94" s="5">
        <f t="shared" si="127"/>
        <v>1.4540199999999999</v>
      </c>
      <c r="R94" s="5">
        <f t="shared" si="127"/>
        <v>6.4549999999999996E-2</v>
      </c>
      <c r="S94" s="5">
        <f t="shared" si="128"/>
        <v>1.2115621649999999</v>
      </c>
      <c r="T94" s="5">
        <f t="shared" si="129"/>
        <v>7.269372989999999E-2</v>
      </c>
      <c r="U94" s="5">
        <f t="shared" si="130"/>
        <v>0.16596741986301369</v>
      </c>
      <c r="V94" s="5">
        <f t="shared" si="123"/>
        <v>7.1813494565586972E-2</v>
      </c>
    </row>
    <row r="95" spans="2:22" x14ac:dyDescent="0.3">
      <c r="B95">
        <v>7</v>
      </c>
      <c r="C95">
        <v>0</v>
      </c>
      <c r="D95">
        <v>0</v>
      </c>
      <c r="E95">
        <v>0</v>
      </c>
      <c r="F95">
        <f t="shared" si="120"/>
        <v>0</v>
      </c>
      <c r="G95">
        <f t="shared" si="121"/>
        <v>0</v>
      </c>
      <c r="H95">
        <f t="shared" si="122"/>
        <v>0</v>
      </c>
      <c r="I95">
        <f t="shared" si="124"/>
        <v>0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5.1915133725158956E-2</v>
      </c>
      <c r="P95" s="4">
        <v>4</v>
      </c>
      <c r="Q95" s="5">
        <f t="shared" si="127"/>
        <v>0</v>
      </c>
      <c r="R95" s="5">
        <f t="shared" si="127"/>
        <v>0</v>
      </c>
      <c r="S95" s="5">
        <f t="shared" si="128"/>
        <v>0</v>
      </c>
      <c r="T95" s="5">
        <f t="shared" si="129"/>
        <v>0</v>
      </c>
      <c r="U95" s="5">
        <f t="shared" si="130"/>
        <v>0</v>
      </c>
      <c r="V95" s="5">
        <f t="shared" si="123"/>
        <v>5.1915133725158956E-2</v>
      </c>
    </row>
    <row r="96" spans="2:22" x14ac:dyDescent="0.3">
      <c r="B96">
        <v>8</v>
      </c>
      <c r="C96">
        <v>0</v>
      </c>
      <c r="D96">
        <v>0</v>
      </c>
      <c r="E96">
        <v>0</v>
      </c>
      <c r="F96">
        <f t="shared" si="120"/>
        <v>0</v>
      </c>
      <c r="G96">
        <f t="shared" si="121"/>
        <v>0</v>
      </c>
      <c r="H96">
        <f t="shared" si="122"/>
        <v>0</v>
      </c>
      <c r="I96">
        <f t="shared" si="124"/>
        <v>0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4.3536839988876856E-2</v>
      </c>
      <c r="P96" s="4">
        <v>5</v>
      </c>
      <c r="Q96" s="5">
        <f t="shared" si="127"/>
        <v>0</v>
      </c>
      <c r="R96" s="5">
        <f t="shared" si="127"/>
        <v>0</v>
      </c>
      <c r="S96" s="5">
        <f t="shared" si="128"/>
        <v>0</v>
      </c>
      <c r="T96" s="5">
        <f t="shared" si="129"/>
        <v>0</v>
      </c>
      <c r="U96" s="5">
        <f t="shared" si="130"/>
        <v>0</v>
      </c>
      <c r="V96" s="5">
        <f t="shared" si="123"/>
        <v>4.3536839988876856E-2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20"/>
        <v>0</v>
      </c>
      <c r="G97">
        <f t="shared" si="121"/>
        <v>0</v>
      </c>
      <c r="H97">
        <f t="shared" si="122"/>
        <v>0</v>
      </c>
      <c r="I97">
        <f t="shared" si="124"/>
        <v>0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3.5087597254042126E-2</v>
      </c>
      <c r="P97" s="4">
        <v>8</v>
      </c>
      <c r="Q97" s="5">
        <f t="shared" si="127"/>
        <v>0</v>
      </c>
      <c r="R97" s="5">
        <f t="shared" si="127"/>
        <v>0</v>
      </c>
      <c r="S97" s="5">
        <f t="shared" si="128"/>
        <v>0</v>
      </c>
      <c r="T97" s="5">
        <f t="shared" si="129"/>
        <v>0</v>
      </c>
      <c r="U97" s="5">
        <f t="shared" si="130"/>
        <v>0</v>
      </c>
      <c r="V97" s="5">
        <f t="shared" si="123"/>
        <v>3.5087597254042126E-2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2.5126870861368895E-2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2.5126870861368895E-2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1.6203766731813445E-2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1.6203766731813445E-2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302</v>
      </c>
      <c r="D103">
        <v>41056.800000000003</v>
      </c>
      <c r="E103">
        <v>3703.1</v>
      </c>
      <c r="F103">
        <f t="shared" ref="F103:F113" si="132">D103/10000</f>
        <v>4.1056800000000004</v>
      </c>
      <c r="G103">
        <f t="shared" ref="G103:G113" si="133">C103/10000</f>
        <v>3.0200000000000001E-2</v>
      </c>
      <c r="H103">
        <f t="shared" ref="H103:H113" si="134">F103-G103</f>
        <v>4.0754800000000007</v>
      </c>
      <c r="I103">
        <f>E103/10000</f>
        <v>0.37030999999999997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0.27529055908341199</v>
      </c>
      <c r="P103" s="2">
        <v>3</v>
      </c>
      <c r="Q103" s="8">
        <f>H103</f>
        <v>4.0754800000000007</v>
      </c>
      <c r="R103" s="8">
        <f>I103</f>
        <v>0.37030999999999997</v>
      </c>
      <c r="S103" s="8">
        <f>Q103/10^6*$Z$4*$Z$3/P103*10^12</f>
        <v>4.5278582800000002</v>
      </c>
      <c r="T103" s="8">
        <f>S103*0.06</f>
        <v>0.27167149680000002</v>
      </c>
      <c r="U103" s="8">
        <f>S103/$Z$1</f>
        <v>0.62025455890410963</v>
      </c>
      <c r="V103" s="12">
        <f t="shared" ref="V103:V113" si="135">O103</f>
        <v>0.27529055908341199</v>
      </c>
    </row>
    <row r="104" spans="2:22" x14ac:dyDescent="0.3">
      <c r="B104">
        <v>2</v>
      </c>
      <c r="C104">
        <v>9008</v>
      </c>
      <c r="D104">
        <v>46425.7</v>
      </c>
      <c r="E104">
        <v>3741.9</v>
      </c>
      <c r="F104">
        <f t="shared" si="132"/>
        <v>4.6425700000000001</v>
      </c>
      <c r="G104">
        <f t="shared" si="133"/>
        <v>0.90080000000000005</v>
      </c>
      <c r="H104">
        <f t="shared" si="134"/>
        <v>3.7417699999999998</v>
      </c>
      <c r="I104">
        <f t="shared" ref="I104:I113" si="136">E104/10000</f>
        <v>0.37419000000000002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0.24419327473590918</v>
      </c>
      <c r="P104" s="4">
        <v>3</v>
      </c>
      <c r="Q104" s="5">
        <f t="shared" ref="Q104:R113" si="139">H104</f>
        <v>3.7417699999999998</v>
      </c>
      <c r="R104" s="5">
        <f t="shared" si="139"/>
        <v>0.37419000000000002</v>
      </c>
      <c r="S104" s="5">
        <f t="shared" ref="S104:S113" si="140">Q104/10^6*$Z$4*$Z$3/P104*10^12</f>
        <v>4.1571064700000004</v>
      </c>
      <c r="T104" s="5">
        <f t="shared" ref="T104:T113" si="141">S104*0.06</f>
        <v>0.24942638820000002</v>
      </c>
      <c r="U104" s="5">
        <f t="shared" ref="U104:U113" si="142">S104/$Z$1</f>
        <v>0.56946663972602751</v>
      </c>
      <c r="V104" s="5">
        <f t="shared" si="135"/>
        <v>0.24419327473590918</v>
      </c>
    </row>
    <row r="105" spans="2:22" x14ac:dyDescent="0.3">
      <c r="B105">
        <v>3</v>
      </c>
      <c r="C105">
        <v>8880.7999999999993</v>
      </c>
      <c r="D105">
        <v>54363.3</v>
      </c>
      <c r="E105">
        <v>2841.1</v>
      </c>
      <c r="F105">
        <f t="shared" si="132"/>
        <v>5.4363299999999999</v>
      </c>
      <c r="G105">
        <f t="shared" si="133"/>
        <v>0.88807999999999998</v>
      </c>
      <c r="H105">
        <f t="shared" si="134"/>
        <v>4.5482499999999995</v>
      </c>
      <c r="I105">
        <f t="shared" si="136"/>
        <v>0.28410999999999997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0.21066400380759739</v>
      </c>
      <c r="P105" s="4">
        <v>3</v>
      </c>
      <c r="Q105" s="5">
        <f t="shared" si="139"/>
        <v>4.5482499999999995</v>
      </c>
      <c r="R105" s="5">
        <f t="shared" si="139"/>
        <v>0.28410999999999997</v>
      </c>
      <c r="S105" s="5">
        <f t="shared" si="140"/>
        <v>5.0531057499999994</v>
      </c>
      <c r="T105" s="5">
        <f t="shared" si="141"/>
        <v>0.30318634499999997</v>
      </c>
      <c r="U105" s="5">
        <f t="shared" si="142"/>
        <v>0.69220626712328759</v>
      </c>
      <c r="V105" s="5">
        <f t="shared" si="135"/>
        <v>0.21066400380759739</v>
      </c>
    </row>
    <row r="106" spans="2:22" x14ac:dyDescent="0.3">
      <c r="B106">
        <v>4</v>
      </c>
      <c r="C106">
        <v>18178</v>
      </c>
      <c r="D106">
        <v>43515.1</v>
      </c>
      <c r="E106">
        <v>1647.8</v>
      </c>
      <c r="F106">
        <f t="shared" si="132"/>
        <v>4.3515100000000002</v>
      </c>
      <c r="G106">
        <f t="shared" si="133"/>
        <v>1.8178000000000001</v>
      </c>
      <c r="H106">
        <f t="shared" si="134"/>
        <v>2.5337100000000001</v>
      </c>
      <c r="I106">
        <f t="shared" si="136"/>
        <v>0.16477999999999998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0.12759406947069829</v>
      </c>
      <c r="P106" s="4">
        <v>3</v>
      </c>
      <c r="Q106" s="5">
        <f t="shared" si="139"/>
        <v>2.5337100000000001</v>
      </c>
      <c r="R106" s="5">
        <f t="shared" si="139"/>
        <v>0.16477999999999998</v>
      </c>
      <c r="S106" s="5">
        <f t="shared" si="140"/>
        <v>2.8149518100000002</v>
      </c>
      <c r="T106" s="5">
        <f t="shared" si="141"/>
        <v>0.16889710860000001</v>
      </c>
      <c r="U106" s="5">
        <f t="shared" si="142"/>
        <v>0.38560983698630141</v>
      </c>
      <c r="V106" s="5">
        <f t="shared" si="135"/>
        <v>0.12759406947069829</v>
      </c>
    </row>
    <row r="107" spans="2:22" x14ac:dyDescent="0.3">
      <c r="B107">
        <v>5</v>
      </c>
      <c r="C107">
        <v>20431.5</v>
      </c>
      <c r="D107">
        <v>43222</v>
      </c>
      <c r="E107">
        <v>894.6</v>
      </c>
      <c r="F107">
        <f t="shared" si="132"/>
        <v>4.3221999999999996</v>
      </c>
      <c r="G107">
        <f t="shared" si="133"/>
        <v>2.0431499999999998</v>
      </c>
      <c r="H107">
        <f t="shared" si="134"/>
        <v>2.2790499999999998</v>
      </c>
      <c r="I107">
        <f t="shared" si="136"/>
        <v>8.9459999999999998E-2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9.2220316689465703E-2</v>
      </c>
      <c r="P107" s="4">
        <v>3</v>
      </c>
      <c r="Q107" s="5">
        <f t="shared" si="139"/>
        <v>2.2790499999999998</v>
      </c>
      <c r="R107" s="5">
        <f t="shared" si="139"/>
        <v>8.9459999999999998E-2</v>
      </c>
      <c r="S107" s="5">
        <f t="shared" si="140"/>
        <v>2.53202455</v>
      </c>
      <c r="T107" s="5">
        <f t="shared" si="141"/>
        <v>0.151921473</v>
      </c>
      <c r="U107" s="5">
        <f t="shared" si="142"/>
        <v>0.34685267808219178</v>
      </c>
      <c r="V107" s="5">
        <f t="shared" si="135"/>
        <v>9.2220316689465703E-2</v>
      </c>
    </row>
    <row r="108" spans="2:22" x14ac:dyDescent="0.3">
      <c r="B108">
        <v>6</v>
      </c>
      <c r="C108">
        <v>19757.599999999999</v>
      </c>
      <c r="D108">
        <v>29545.9</v>
      </c>
      <c r="E108">
        <v>2388.3000000000002</v>
      </c>
      <c r="F108">
        <f t="shared" si="132"/>
        <v>2.95459</v>
      </c>
      <c r="G108">
        <f t="shared" si="133"/>
        <v>1.97576</v>
      </c>
      <c r="H108">
        <f t="shared" si="134"/>
        <v>0.97883000000000009</v>
      </c>
      <c r="I108">
        <f t="shared" si="136"/>
        <v>0.23883000000000001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6.3834217391632864E-2</v>
      </c>
      <c r="P108" s="4">
        <v>4</v>
      </c>
      <c r="Q108" s="5">
        <f t="shared" si="139"/>
        <v>0.97883000000000009</v>
      </c>
      <c r="R108" s="5">
        <f t="shared" si="139"/>
        <v>0.23883000000000001</v>
      </c>
      <c r="S108" s="5">
        <f t="shared" si="140"/>
        <v>0.81561009750000013</v>
      </c>
      <c r="T108" s="5">
        <f t="shared" si="141"/>
        <v>4.8936605850000009E-2</v>
      </c>
      <c r="U108" s="5">
        <f t="shared" si="142"/>
        <v>0.11172741061643837</v>
      </c>
      <c r="V108" s="5">
        <f t="shared" si="135"/>
        <v>6.3834217391632864E-2</v>
      </c>
    </row>
    <row r="109" spans="2:22" x14ac:dyDescent="0.3">
      <c r="B109">
        <v>7</v>
      </c>
      <c r="C109">
        <v>0</v>
      </c>
      <c r="D109">
        <v>0</v>
      </c>
      <c r="E109">
        <v>0</v>
      </c>
      <c r="F109">
        <f t="shared" si="132"/>
        <v>0</v>
      </c>
      <c r="G109">
        <f t="shared" si="133"/>
        <v>0</v>
      </c>
      <c r="H109">
        <f t="shared" si="134"/>
        <v>0</v>
      </c>
      <c r="I109">
        <f t="shared" si="136"/>
        <v>0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4.6146785533474628E-2</v>
      </c>
      <c r="P109" s="4">
        <v>4</v>
      </c>
      <c r="Q109" s="5">
        <f t="shared" si="139"/>
        <v>0</v>
      </c>
      <c r="R109" s="5">
        <f t="shared" si="139"/>
        <v>0</v>
      </c>
      <c r="S109" s="5">
        <f t="shared" si="140"/>
        <v>0</v>
      </c>
      <c r="T109" s="5">
        <f t="shared" si="141"/>
        <v>0</v>
      </c>
      <c r="U109" s="5">
        <f t="shared" si="142"/>
        <v>0</v>
      </c>
      <c r="V109" s="5">
        <f t="shared" si="135"/>
        <v>4.6146785533474628E-2</v>
      </c>
    </row>
    <row r="110" spans="2:22" x14ac:dyDescent="0.3">
      <c r="B110">
        <v>8</v>
      </c>
      <c r="C110">
        <v>0</v>
      </c>
      <c r="D110">
        <v>0</v>
      </c>
      <c r="E110">
        <v>0</v>
      </c>
      <c r="F110">
        <f t="shared" si="132"/>
        <v>0</v>
      </c>
      <c r="G110">
        <f t="shared" si="133"/>
        <v>0</v>
      </c>
      <c r="H110">
        <f t="shared" si="134"/>
        <v>0</v>
      </c>
      <c r="I110">
        <f t="shared" si="136"/>
        <v>0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3.8699413323446091E-2</v>
      </c>
      <c r="P110" s="4">
        <v>5</v>
      </c>
      <c r="Q110" s="5">
        <f t="shared" si="139"/>
        <v>0</v>
      </c>
      <c r="R110" s="5">
        <f t="shared" si="139"/>
        <v>0</v>
      </c>
      <c r="S110" s="5">
        <f t="shared" si="140"/>
        <v>0</v>
      </c>
      <c r="T110" s="5">
        <f t="shared" si="141"/>
        <v>0</v>
      </c>
      <c r="U110" s="5">
        <f t="shared" si="142"/>
        <v>0</v>
      </c>
      <c r="V110" s="5">
        <f t="shared" si="135"/>
        <v>3.8699413323446091E-2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32"/>
        <v>0</v>
      </c>
      <c r="G111">
        <f t="shared" si="133"/>
        <v>0</v>
      </c>
      <c r="H111">
        <f t="shared" si="134"/>
        <v>0</v>
      </c>
      <c r="I111">
        <f t="shared" si="136"/>
        <v>0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3.1188975336926335E-2</v>
      </c>
      <c r="P111" s="4">
        <v>8</v>
      </c>
      <c r="Q111" s="5">
        <f t="shared" si="139"/>
        <v>0</v>
      </c>
      <c r="R111" s="5">
        <f t="shared" si="139"/>
        <v>0</v>
      </c>
      <c r="S111" s="5">
        <f t="shared" si="140"/>
        <v>0</v>
      </c>
      <c r="T111" s="5">
        <f t="shared" si="141"/>
        <v>0</v>
      </c>
      <c r="U111" s="5">
        <f t="shared" si="142"/>
        <v>0</v>
      </c>
      <c r="V111" s="5">
        <f t="shared" si="135"/>
        <v>3.1188975336926335E-2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2.2334996321216796E-2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2.2334996321216796E-2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1.4403348206056396E-2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1.4403348206056396E-2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70.400000000000006</v>
      </c>
      <c r="D117">
        <v>43393.8</v>
      </c>
      <c r="E117">
        <v>3716.9</v>
      </c>
      <c r="F117">
        <f t="shared" ref="F117:F127" si="144">D117/10000</f>
        <v>4.3393800000000002</v>
      </c>
      <c r="G117">
        <f t="shared" ref="G117:G127" si="145">C117/10000</f>
        <v>7.0400000000000003E-3</v>
      </c>
      <c r="H117">
        <f t="shared" ref="H117:H127" si="146">F117-G117</f>
        <v>4.3323400000000003</v>
      </c>
      <c r="I117">
        <f>E117/10000</f>
        <v>0.37169000000000002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0.24776150317507079</v>
      </c>
      <c r="P117" s="2">
        <v>3</v>
      </c>
      <c r="Q117" s="8">
        <f>H117</f>
        <v>4.3323400000000003</v>
      </c>
      <c r="R117" s="8">
        <f>I117</f>
        <v>0.37169000000000002</v>
      </c>
      <c r="S117" s="8">
        <f>Q117/10^6*$Z$4*$Z$3/P117*10^12</f>
        <v>4.8132297400000006</v>
      </c>
      <c r="T117" s="8">
        <f>S117*0.06</f>
        <v>0.28879378440000003</v>
      </c>
      <c r="U117" s="8">
        <f>S117/$Z$1</f>
        <v>0.65934653972602753</v>
      </c>
      <c r="V117" s="12">
        <f t="shared" ref="V117:V127" si="147">O117</f>
        <v>0.24776150317507079</v>
      </c>
    </row>
    <row r="118" spans="2:22" x14ac:dyDescent="0.3">
      <c r="B118">
        <v>2</v>
      </c>
      <c r="C118">
        <v>8833.7999999999993</v>
      </c>
      <c r="D118">
        <v>47013.9</v>
      </c>
      <c r="E118">
        <v>3267.9</v>
      </c>
      <c r="F118">
        <f t="shared" si="144"/>
        <v>4.70139</v>
      </c>
      <c r="G118">
        <f t="shared" si="145"/>
        <v>0.88337999999999994</v>
      </c>
      <c r="H118">
        <f t="shared" si="146"/>
        <v>3.8180100000000001</v>
      </c>
      <c r="I118">
        <f t="shared" ref="I118:I127" si="148">E118/10000</f>
        <v>0.32679000000000002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0.21977394726231828</v>
      </c>
      <c r="P118" s="4">
        <v>3</v>
      </c>
      <c r="Q118" s="5">
        <f t="shared" ref="Q118:R127" si="151">H118</f>
        <v>3.8180100000000001</v>
      </c>
      <c r="R118" s="5">
        <f t="shared" si="151"/>
        <v>0.32679000000000002</v>
      </c>
      <c r="S118" s="5">
        <f t="shared" ref="S118:S127" si="152">Q118/10^6*$Z$4*$Z$3/P118*10^12</f>
        <v>4.241809110000001</v>
      </c>
      <c r="T118" s="5">
        <f t="shared" ref="T118:T127" si="153">S118*0.06</f>
        <v>0.25450854660000005</v>
      </c>
      <c r="U118" s="5">
        <f t="shared" ref="U118:U127" si="154">S118/$Z$1</f>
        <v>0.5810697410958906</v>
      </c>
      <c r="V118" s="5">
        <f t="shared" si="147"/>
        <v>0.21977394726231828</v>
      </c>
    </row>
    <row r="119" spans="2:22" x14ac:dyDescent="0.3">
      <c r="B119">
        <v>3</v>
      </c>
      <c r="C119">
        <v>4708.1000000000004</v>
      </c>
      <c r="D119">
        <v>48502.8</v>
      </c>
      <c r="E119">
        <v>2708.7</v>
      </c>
      <c r="F119">
        <f t="shared" si="144"/>
        <v>4.8502800000000006</v>
      </c>
      <c r="G119">
        <f t="shared" si="145"/>
        <v>0.47081000000000006</v>
      </c>
      <c r="H119">
        <f t="shared" si="146"/>
        <v>4.3794700000000004</v>
      </c>
      <c r="I119">
        <f t="shared" si="148"/>
        <v>0.27087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0.18959760342683765</v>
      </c>
      <c r="P119" s="4">
        <v>3</v>
      </c>
      <c r="Q119" s="5">
        <f t="shared" si="151"/>
        <v>4.3794700000000004</v>
      </c>
      <c r="R119" s="5">
        <f t="shared" si="151"/>
        <v>0.27087</v>
      </c>
      <c r="S119" s="5">
        <f t="shared" si="152"/>
        <v>4.8655911700000001</v>
      </c>
      <c r="T119" s="5">
        <f t="shared" si="153"/>
        <v>0.29193547019999999</v>
      </c>
      <c r="U119" s="5">
        <f t="shared" si="154"/>
        <v>0.66651933835616439</v>
      </c>
      <c r="V119" s="5">
        <f t="shared" si="147"/>
        <v>0.18959760342683765</v>
      </c>
    </row>
    <row r="120" spans="2:22" x14ac:dyDescent="0.3">
      <c r="B120">
        <v>4</v>
      </c>
      <c r="C120">
        <v>10534.3</v>
      </c>
      <c r="D120">
        <v>36027.5</v>
      </c>
      <c r="E120">
        <v>2259.9</v>
      </c>
      <c r="F120">
        <f t="shared" si="144"/>
        <v>3.6027499999999999</v>
      </c>
      <c r="G120">
        <f t="shared" si="145"/>
        <v>1.0534299999999999</v>
      </c>
      <c r="H120">
        <f t="shared" si="146"/>
        <v>2.5493199999999998</v>
      </c>
      <c r="I120">
        <f t="shared" si="148"/>
        <v>0.22599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0.11483466252362846</v>
      </c>
      <c r="P120" s="4">
        <v>3</v>
      </c>
      <c r="Q120" s="5">
        <f t="shared" si="151"/>
        <v>2.5493199999999998</v>
      </c>
      <c r="R120" s="5">
        <f t="shared" si="151"/>
        <v>0.22599</v>
      </c>
      <c r="S120" s="5">
        <f t="shared" si="152"/>
        <v>2.83229452</v>
      </c>
      <c r="T120" s="5">
        <f t="shared" si="153"/>
        <v>0.1699376712</v>
      </c>
      <c r="U120" s="5">
        <f t="shared" si="154"/>
        <v>0.38798555068493151</v>
      </c>
      <c r="V120" s="5">
        <f t="shared" si="147"/>
        <v>0.11483466252362846</v>
      </c>
    </row>
    <row r="121" spans="2:22" x14ac:dyDescent="0.3">
      <c r="B121">
        <v>5</v>
      </c>
      <c r="C121">
        <v>13344.9</v>
      </c>
      <c r="D121">
        <v>25482.5</v>
      </c>
      <c r="E121">
        <v>2819.5</v>
      </c>
      <c r="F121">
        <f t="shared" si="144"/>
        <v>2.5482499999999999</v>
      </c>
      <c r="G121">
        <f t="shared" si="145"/>
        <v>1.33449</v>
      </c>
      <c r="H121">
        <f t="shared" si="146"/>
        <v>1.21376</v>
      </c>
      <c r="I121">
        <f t="shared" si="148"/>
        <v>0.28194999999999998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8.2998285020519133E-2</v>
      </c>
      <c r="P121" s="4">
        <v>3</v>
      </c>
      <c r="Q121" s="5">
        <f t="shared" si="151"/>
        <v>1.21376</v>
      </c>
      <c r="R121" s="5">
        <f t="shared" si="151"/>
        <v>0.28194999999999998</v>
      </c>
      <c r="S121" s="5">
        <f t="shared" si="152"/>
        <v>1.34848736</v>
      </c>
      <c r="T121" s="5">
        <f t="shared" si="153"/>
        <v>8.0909241600000001E-2</v>
      </c>
      <c r="U121" s="5">
        <f t="shared" si="154"/>
        <v>0.18472429589041098</v>
      </c>
      <c r="V121" s="5">
        <f t="shared" si="147"/>
        <v>8.2998285020519133E-2</v>
      </c>
    </row>
    <row r="122" spans="2:22" x14ac:dyDescent="0.3">
      <c r="B122">
        <v>6</v>
      </c>
      <c r="C122">
        <v>0</v>
      </c>
      <c r="D122">
        <v>0</v>
      </c>
      <c r="E122">
        <v>0</v>
      </c>
      <c r="F122">
        <f t="shared" si="144"/>
        <v>0</v>
      </c>
      <c r="G122">
        <f t="shared" si="145"/>
        <v>0</v>
      </c>
      <c r="H122">
        <f t="shared" si="146"/>
        <v>0</v>
      </c>
      <c r="I122">
        <f t="shared" si="148"/>
        <v>0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5.7450795652469577E-2</v>
      </c>
      <c r="P122" s="4">
        <v>4</v>
      </c>
      <c r="Q122" s="5">
        <f t="shared" si="151"/>
        <v>0</v>
      </c>
      <c r="R122" s="5">
        <f t="shared" si="151"/>
        <v>0</v>
      </c>
      <c r="S122" s="5">
        <f t="shared" si="152"/>
        <v>0</v>
      </c>
      <c r="T122" s="5">
        <f t="shared" si="153"/>
        <v>0</v>
      </c>
      <c r="U122" s="5">
        <f t="shared" si="154"/>
        <v>0</v>
      </c>
      <c r="V122" s="5">
        <f t="shared" si="147"/>
        <v>5.7450795652469577E-2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44"/>
        <v>0</v>
      </c>
      <c r="G123">
        <f t="shared" si="145"/>
        <v>0</v>
      </c>
      <c r="H123">
        <f t="shared" si="146"/>
        <v>0</v>
      </c>
      <c r="I123">
        <f t="shared" si="148"/>
        <v>0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4.1532106980127166E-2</v>
      </c>
      <c r="P123" s="4">
        <v>4</v>
      </c>
      <c r="Q123" s="5">
        <f t="shared" si="151"/>
        <v>0</v>
      </c>
      <c r="R123" s="5">
        <f t="shared" si="151"/>
        <v>0</v>
      </c>
      <c r="S123" s="5">
        <f t="shared" si="152"/>
        <v>0</v>
      </c>
      <c r="T123" s="5">
        <f t="shared" si="153"/>
        <v>0</v>
      </c>
      <c r="U123" s="5">
        <f t="shared" si="154"/>
        <v>0</v>
      </c>
      <c r="V123" s="5">
        <f t="shared" si="147"/>
        <v>4.1532106980127166E-2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44"/>
        <v>0</v>
      </c>
      <c r="G124">
        <f t="shared" si="145"/>
        <v>0</v>
      </c>
      <c r="H124">
        <f t="shared" si="146"/>
        <v>0</v>
      </c>
      <c r="I124">
        <f t="shared" si="148"/>
        <v>0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3.4829471991101486E-2</v>
      </c>
      <c r="P124" s="4">
        <v>5</v>
      </c>
      <c r="Q124" s="5">
        <f t="shared" si="151"/>
        <v>0</v>
      </c>
      <c r="R124" s="5">
        <f t="shared" si="151"/>
        <v>0</v>
      </c>
      <c r="S124" s="5">
        <f t="shared" si="152"/>
        <v>0</v>
      </c>
      <c r="T124" s="5">
        <f t="shared" si="153"/>
        <v>0</v>
      </c>
      <c r="U124" s="5">
        <f t="shared" si="154"/>
        <v>0</v>
      </c>
      <c r="V124" s="5">
        <f t="shared" si="147"/>
        <v>3.4829471991101486E-2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44"/>
        <v>0</v>
      </c>
      <c r="G125">
        <f t="shared" si="145"/>
        <v>0</v>
      </c>
      <c r="H125">
        <f t="shared" si="146"/>
        <v>0</v>
      </c>
      <c r="I125">
        <f t="shared" si="148"/>
        <v>0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2.8070077803233701E-2</v>
      </c>
      <c r="P125" s="4">
        <v>8</v>
      </c>
      <c r="Q125" s="5">
        <f t="shared" si="151"/>
        <v>0</v>
      </c>
      <c r="R125" s="5">
        <f t="shared" si="151"/>
        <v>0</v>
      </c>
      <c r="S125" s="5">
        <f t="shared" si="152"/>
        <v>0</v>
      </c>
      <c r="T125" s="5">
        <f t="shared" si="153"/>
        <v>0</v>
      </c>
      <c r="U125" s="5">
        <f t="shared" si="154"/>
        <v>0</v>
      </c>
      <c r="V125" s="5">
        <f t="shared" si="147"/>
        <v>2.8070077803233701E-2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2.0101496689095118E-2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2.0101496689095118E-2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1.2963013385450755E-2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1.2963013385450755E-2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576.29999999999995</v>
      </c>
      <c r="D131">
        <v>36182.400000000001</v>
      </c>
      <c r="E131">
        <v>4667.8</v>
      </c>
      <c r="F131">
        <f t="shared" ref="F131:F141" si="156">D131/10000</f>
        <v>3.6182400000000001</v>
      </c>
      <c r="G131">
        <f t="shared" ref="G131:G141" si="157">C131/10000</f>
        <v>5.7629999999999994E-2</v>
      </c>
      <c r="H131">
        <f t="shared" ref="H131:H141" si="158">F131-G131</f>
        <v>3.5606100000000001</v>
      </c>
      <c r="I131">
        <f>E131/10000</f>
        <v>0.46678000000000003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0.1651743354500472</v>
      </c>
      <c r="P131" s="2">
        <v>3</v>
      </c>
      <c r="Q131" s="8">
        <f>H131</f>
        <v>3.5606100000000001</v>
      </c>
      <c r="R131" s="8">
        <f>I131</f>
        <v>0.46678000000000003</v>
      </c>
      <c r="S131" s="8">
        <f>Q131/10^6*$Z$4*$Z$3/P131*10^12</f>
        <v>3.9558377100000004</v>
      </c>
      <c r="T131" s="8">
        <f>S131*0.06</f>
        <v>0.23735026260000003</v>
      </c>
      <c r="U131" s="8">
        <f>S131/$Z$1</f>
        <v>0.5418955767123288</v>
      </c>
      <c r="V131" s="12">
        <f t="shared" ref="V131:V141" si="159">O131</f>
        <v>0.1651743354500472</v>
      </c>
    </row>
    <row r="132" spans="2:22" x14ac:dyDescent="0.3">
      <c r="B132">
        <v>2</v>
      </c>
      <c r="C132">
        <v>-3</v>
      </c>
      <c r="D132">
        <v>41908</v>
      </c>
      <c r="E132">
        <v>4740.2</v>
      </c>
      <c r="F132">
        <f t="shared" si="156"/>
        <v>4.1908000000000003</v>
      </c>
      <c r="G132">
        <f t="shared" si="157"/>
        <v>-2.9999999999999997E-4</v>
      </c>
      <c r="H132">
        <f t="shared" si="158"/>
        <v>4.1911000000000005</v>
      </c>
      <c r="I132">
        <f t="shared" ref="I132:I141" si="160">E132/10000</f>
        <v>0.47402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0.14651596484154553</v>
      </c>
      <c r="P132" s="4">
        <v>3</v>
      </c>
      <c r="Q132" s="5">
        <f t="shared" ref="Q132:R141" si="163">H132</f>
        <v>4.1911000000000005</v>
      </c>
      <c r="R132" s="5">
        <f t="shared" si="163"/>
        <v>0.47402</v>
      </c>
      <c r="S132" s="5">
        <f t="shared" ref="S132:S141" si="164">Q132/10^6*$Z$4*$Z$3/P132*10^12</f>
        <v>4.656312100000001</v>
      </c>
      <c r="T132" s="5">
        <f t="shared" ref="T132:T141" si="165">S132*0.06</f>
        <v>0.27937872600000002</v>
      </c>
      <c r="U132" s="5">
        <f t="shared" ref="U132:U141" si="166">S132/$Z$1</f>
        <v>0.63785097260273982</v>
      </c>
      <c r="V132" s="5">
        <f t="shared" si="159"/>
        <v>0.14651596484154553</v>
      </c>
    </row>
    <row r="133" spans="2:22" x14ac:dyDescent="0.3">
      <c r="B133">
        <v>3</v>
      </c>
      <c r="C133">
        <v>8339.9</v>
      </c>
      <c r="D133">
        <v>45276.2</v>
      </c>
      <c r="E133">
        <v>3787.9</v>
      </c>
      <c r="F133">
        <f t="shared" si="156"/>
        <v>4.5276199999999998</v>
      </c>
      <c r="G133">
        <f t="shared" si="157"/>
        <v>0.83399000000000001</v>
      </c>
      <c r="H133">
        <f t="shared" si="158"/>
        <v>3.6936299999999997</v>
      </c>
      <c r="I133">
        <f t="shared" si="160"/>
        <v>0.37879000000000002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0.12639840228455843</v>
      </c>
      <c r="P133" s="4">
        <v>3</v>
      </c>
      <c r="Q133" s="5">
        <f t="shared" si="163"/>
        <v>3.6936299999999997</v>
      </c>
      <c r="R133" s="5">
        <f t="shared" si="163"/>
        <v>0.37879000000000002</v>
      </c>
      <c r="S133" s="5">
        <f t="shared" si="164"/>
        <v>4.1036229299999993</v>
      </c>
      <c r="T133" s="5">
        <f t="shared" si="165"/>
        <v>0.24621737579999994</v>
      </c>
      <c r="U133" s="5">
        <f t="shared" si="166"/>
        <v>0.56214012739726016</v>
      </c>
      <c r="V133" s="5">
        <f t="shared" si="159"/>
        <v>0.12639840228455843</v>
      </c>
    </row>
    <row r="134" spans="2:22" x14ac:dyDescent="0.3">
      <c r="B134">
        <v>4</v>
      </c>
      <c r="C134">
        <v>8039.3</v>
      </c>
      <c r="D134">
        <v>29992.7</v>
      </c>
      <c r="E134">
        <v>3295.6</v>
      </c>
      <c r="F134">
        <f t="shared" si="156"/>
        <v>2.9992700000000001</v>
      </c>
      <c r="G134">
        <f t="shared" si="157"/>
        <v>0.80393000000000003</v>
      </c>
      <c r="H134">
        <f t="shared" si="158"/>
        <v>2.1953399999999998</v>
      </c>
      <c r="I134">
        <f t="shared" si="160"/>
        <v>0.32955999999999996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7.6556441682418971E-2</v>
      </c>
      <c r="P134" s="4">
        <v>3</v>
      </c>
      <c r="Q134" s="5">
        <f t="shared" si="163"/>
        <v>2.1953399999999998</v>
      </c>
      <c r="R134" s="5">
        <f t="shared" si="163"/>
        <v>0.32955999999999996</v>
      </c>
      <c r="S134" s="5">
        <f t="shared" si="164"/>
        <v>2.43902274</v>
      </c>
      <c r="T134" s="5">
        <f t="shared" si="165"/>
        <v>0.14634136439999998</v>
      </c>
      <c r="U134" s="5">
        <f t="shared" si="166"/>
        <v>0.33411270410958904</v>
      </c>
      <c r="V134" s="5">
        <f t="shared" si="159"/>
        <v>7.6556441682418971E-2</v>
      </c>
    </row>
    <row r="135" spans="2:22" x14ac:dyDescent="0.3">
      <c r="B135">
        <v>5</v>
      </c>
      <c r="C135">
        <v>10951.1</v>
      </c>
      <c r="D135">
        <v>22090.3</v>
      </c>
      <c r="E135">
        <v>2239.1</v>
      </c>
      <c r="F135">
        <f t="shared" si="156"/>
        <v>2.2090299999999998</v>
      </c>
      <c r="G135">
        <f t="shared" si="157"/>
        <v>1.09511</v>
      </c>
      <c r="H135">
        <f t="shared" si="158"/>
        <v>1.1139199999999998</v>
      </c>
      <c r="I135">
        <f t="shared" si="160"/>
        <v>0.22391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5.5332190013679422E-2</v>
      </c>
      <c r="P135" s="4">
        <v>3</v>
      </c>
      <c r="Q135" s="5">
        <f t="shared" si="163"/>
        <v>1.1139199999999998</v>
      </c>
      <c r="R135" s="5">
        <f t="shared" si="163"/>
        <v>0.22391</v>
      </c>
      <c r="S135" s="5">
        <f t="shared" si="164"/>
        <v>1.2375651199999997</v>
      </c>
      <c r="T135" s="5">
        <f t="shared" si="165"/>
        <v>7.4253907199999983E-2</v>
      </c>
      <c r="U135" s="5">
        <f t="shared" si="166"/>
        <v>0.16952946849315065</v>
      </c>
      <c r="V135" s="5">
        <f t="shared" si="159"/>
        <v>5.5332190013679422E-2</v>
      </c>
    </row>
    <row r="136" spans="2:22" x14ac:dyDescent="0.3">
      <c r="B136">
        <v>6</v>
      </c>
      <c r="C136">
        <v>0</v>
      </c>
      <c r="D136">
        <v>0</v>
      </c>
      <c r="E136">
        <v>0</v>
      </c>
      <c r="F136">
        <f t="shared" si="156"/>
        <v>0</v>
      </c>
      <c r="G136">
        <f t="shared" si="157"/>
        <v>0</v>
      </c>
      <c r="H136">
        <f t="shared" si="158"/>
        <v>0</v>
      </c>
      <c r="I136">
        <f t="shared" si="160"/>
        <v>0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3.8300530434979718E-2</v>
      </c>
      <c r="P136" s="4">
        <v>4</v>
      </c>
      <c r="Q136" s="5">
        <f t="shared" si="163"/>
        <v>0</v>
      </c>
      <c r="R136" s="5">
        <f t="shared" si="163"/>
        <v>0</v>
      </c>
      <c r="S136" s="5">
        <f t="shared" si="164"/>
        <v>0</v>
      </c>
      <c r="T136" s="5">
        <f t="shared" si="165"/>
        <v>0</v>
      </c>
      <c r="U136" s="5">
        <f t="shared" si="166"/>
        <v>0</v>
      </c>
      <c r="V136" s="5">
        <f t="shared" si="159"/>
        <v>3.8300530434979718E-2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2.7688071320084776E-2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2.7688071320084776E-2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2.3219647994067658E-2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2.3219647994067658E-2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1.8713385202155802E-2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1.8713385202155802E-2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1.3400997792730077E-2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1.3400997792730077E-2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8.6420089236338374E-3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8.6420089236338374E-3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1684.6</v>
      </c>
      <c r="D145">
        <v>45002.1</v>
      </c>
      <c r="E145">
        <v>4991.5</v>
      </c>
      <c r="F145">
        <f t="shared" ref="F145:F155" si="168">D145/10000</f>
        <v>4.50021</v>
      </c>
      <c r="G145">
        <f t="shared" ref="G145:G155" si="169">C145/10000</f>
        <v>0.16846</v>
      </c>
      <c r="H145">
        <f t="shared" ref="H145:H155" si="170">F145-G145</f>
        <v>4.3317500000000004</v>
      </c>
      <c r="I145">
        <f>E145/10000</f>
        <v>0.49914999999999998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0.12388075158753539</v>
      </c>
      <c r="P145" s="2">
        <v>3</v>
      </c>
      <c r="Q145" s="8">
        <f>H145</f>
        <v>4.3317500000000004</v>
      </c>
      <c r="R145" s="8">
        <f>I145</f>
        <v>0.49914999999999998</v>
      </c>
      <c r="S145" s="8">
        <f>Q145/10^6*$Z$4*$Z$3/P145*10^12</f>
        <v>4.8125742500000008</v>
      </c>
      <c r="T145" s="8">
        <f>S145*0.06</f>
        <v>0.28875445500000002</v>
      </c>
      <c r="U145" s="8">
        <f>S145/$Z$1</f>
        <v>0.65925674657534261</v>
      </c>
      <c r="V145" s="12">
        <f t="shared" ref="V145:V155" si="171">O145</f>
        <v>0.12388075158753539</v>
      </c>
    </row>
    <row r="146" spans="2:22" x14ac:dyDescent="0.3">
      <c r="B146">
        <v>2</v>
      </c>
      <c r="C146">
        <v>9907.2000000000007</v>
      </c>
      <c r="D146">
        <v>42342.7</v>
      </c>
      <c r="E146">
        <v>5727.5</v>
      </c>
      <c r="F146">
        <f t="shared" si="168"/>
        <v>4.2342699999999995</v>
      </c>
      <c r="G146">
        <f t="shared" si="169"/>
        <v>0.99072000000000005</v>
      </c>
      <c r="H146">
        <f t="shared" si="170"/>
        <v>3.2435499999999995</v>
      </c>
      <c r="I146">
        <f t="shared" ref="I146:I155" si="172">E146/10000</f>
        <v>0.57274999999999998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0.10988697363115914</v>
      </c>
      <c r="P146" s="4">
        <v>3</v>
      </c>
      <c r="Q146" s="5">
        <f t="shared" ref="Q146:R155" si="175">H146</f>
        <v>3.2435499999999995</v>
      </c>
      <c r="R146" s="5">
        <f t="shared" si="175"/>
        <v>0.57274999999999998</v>
      </c>
      <c r="S146" s="5">
        <f t="shared" ref="S146:S155" si="176">Q146/10^6*$Z$4*$Z$3/P146*10^12</f>
        <v>3.6035840499999998</v>
      </c>
      <c r="T146" s="5">
        <f t="shared" ref="T146:T155" si="177">S146*0.06</f>
        <v>0.21621504299999997</v>
      </c>
      <c r="U146" s="5">
        <f t="shared" ref="U146:U155" si="178">S146/$Z$1</f>
        <v>0.49364165068493149</v>
      </c>
      <c r="V146" s="5">
        <f t="shared" si="171"/>
        <v>0.10988697363115914</v>
      </c>
    </row>
    <row r="147" spans="2:22" x14ac:dyDescent="0.3">
      <c r="B147">
        <v>3</v>
      </c>
      <c r="C147">
        <v>9302.7000000000007</v>
      </c>
      <c r="D147">
        <v>39449.199999999997</v>
      </c>
      <c r="E147">
        <v>5119.5</v>
      </c>
      <c r="F147">
        <f t="shared" si="168"/>
        <v>3.9449199999999998</v>
      </c>
      <c r="G147">
        <f t="shared" si="169"/>
        <v>0.93027000000000004</v>
      </c>
      <c r="H147">
        <f t="shared" si="170"/>
        <v>3.0146499999999996</v>
      </c>
      <c r="I147">
        <f t="shared" si="172"/>
        <v>0.51195000000000002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9.4798801713418826E-2</v>
      </c>
      <c r="P147" s="4">
        <v>3</v>
      </c>
      <c r="Q147" s="5">
        <f t="shared" si="175"/>
        <v>3.0146499999999996</v>
      </c>
      <c r="R147" s="5">
        <f t="shared" si="175"/>
        <v>0.51195000000000002</v>
      </c>
      <c r="S147" s="5">
        <f t="shared" si="176"/>
        <v>3.3492761499999992</v>
      </c>
      <c r="T147" s="5">
        <f t="shared" si="177"/>
        <v>0.20095656899999995</v>
      </c>
      <c r="U147" s="5">
        <f t="shared" si="178"/>
        <v>0.45880495205479443</v>
      </c>
      <c r="V147" s="5">
        <f t="shared" si="171"/>
        <v>9.4798801713418826E-2</v>
      </c>
    </row>
    <row r="148" spans="2:22" x14ac:dyDescent="0.3">
      <c r="B148">
        <v>4</v>
      </c>
      <c r="C148">
        <v>6712</v>
      </c>
      <c r="D148">
        <v>19374.099999999999</v>
      </c>
      <c r="E148">
        <v>3095.6</v>
      </c>
      <c r="F148">
        <f t="shared" si="168"/>
        <v>1.9374099999999999</v>
      </c>
      <c r="G148">
        <f t="shared" si="169"/>
        <v>0.67120000000000002</v>
      </c>
      <c r="H148">
        <f t="shared" si="170"/>
        <v>1.2662099999999998</v>
      </c>
      <c r="I148">
        <f t="shared" si="172"/>
        <v>0.30956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5.7417331261814232E-2</v>
      </c>
      <c r="P148" s="4">
        <v>3</v>
      </c>
      <c r="Q148" s="5">
        <f t="shared" si="175"/>
        <v>1.2662099999999998</v>
      </c>
      <c r="R148" s="5">
        <f t="shared" si="175"/>
        <v>0.30956</v>
      </c>
      <c r="S148" s="5">
        <f t="shared" si="176"/>
        <v>1.4067593099999998</v>
      </c>
      <c r="T148" s="5">
        <f t="shared" si="177"/>
        <v>8.4405558599999986E-2</v>
      </c>
      <c r="U148" s="5">
        <f t="shared" si="178"/>
        <v>0.19270675479452051</v>
      </c>
      <c r="V148" s="5">
        <f t="shared" si="171"/>
        <v>5.7417331261814232E-2</v>
      </c>
    </row>
    <row r="149" spans="2:22" x14ac:dyDescent="0.3">
      <c r="B149">
        <v>5</v>
      </c>
      <c r="C149">
        <v>0</v>
      </c>
      <c r="D149">
        <v>0</v>
      </c>
      <c r="E149">
        <v>0</v>
      </c>
      <c r="F149">
        <f t="shared" si="168"/>
        <v>0</v>
      </c>
      <c r="G149">
        <f t="shared" si="169"/>
        <v>0</v>
      </c>
      <c r="H149">
        <f t="shared" si="170"/>
        <v>0</v>
      </c>
      <c r="I149">
        <f t="shared" si="172"/>
        <v>0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4.1499142510259567E-2</v>
      </c>
      <c r="P149" s="4">
        <v>3</v>
      </c>
      <c r="Q149" s="5">
        <f t="shared" si="175"/>
        <v>0</v>
      </c>
      <c r="R149" s="5">
        <f t="shared" si="175"/>
        <v>0</v>
      </c>
      <c r="S149" s="5">
        <f t="shared" si="176"/>
        <v>0</v>
      </c>
      <c r="T149" s="5">
        <f t="shared" si="177"/>
        <v>0</v>
      </c>
      <c r="U149" s="5">
        <f t="shared" si="178"/>
        <v>0</v>
      </c>
      <c r="V149" s="5">
        <f t="shared" si="171"/>
        <v>4.1499142510259567E-2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2.8725397826234789E-2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2.8725397826234789E-2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2.0766053490063583E-2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2.0766053490063583E-2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1.7414735995550743E-2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1.7414735995550743E-2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1.403503890161685E-2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1.403503890161685E-2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1.0050748344547559E-2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1.0050748344547559E-2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6.4815066927253777E-3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6.4815066927253777E-3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1148.3</v>
      </c>
      <c r="D159">
        <v>41022.1</v>
      </c>
      <c r="E159">
        <v>6522.2</v>
      </c>
      <c r="F159">
        <f t="shared" ref="F159:F169" si="180">D159/10000</f>
        <v>4.1022099999999995</v>
      </c>
      <c r="G159">
        <f t="shared" ref="G159:G169" si="181">C159/10000</f>
        <v>0.11483</v>
      </c>
      <c r="H159">
        <f t="shared" ref="H159:H169" si="182">F159-G159</f>
        <v>3.9873799999999995</v>
      </c>
      <c r="I159">
        <f>E159/10000</f>
        <v>0.65222000000000002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9.910460127002832E-2</v>
      </c>
      <c r="P159" s="2">
        <v>3</v>
      </c>
      <c r="Q159" s="8">
        <f>H159</f>
        <v>3.9873799999999995</v>
      </c>
      <c r="R159" s="8">
        <f>I159</f>
        <v>0.65222000000000002</v>
      </c>
      <c r="S159" s="8">
        <f>Q159/10^6*$Z$4*$Z$3/P159*10^12</f>
        <v>4.4299791799999992</v>
      </c>
      <c r="T159" s="8">
        <f>S159*0.06</f>
        <v>0.26579875079999993</v>
      </c>
      <c r="U159" s="8">
        <f>S159/$Z$1</f>
        <v>0.60684646301369849</v>
      </c>
      <c r="V159" s="12">
        <f t="shared" ref="V159:V169" si="183">O159</f>
        <v>9.910460127002832E-2</v>
      </c>
    </row>
    <row r="160" spans="2:22" x14ac:dyDescent="0.3">
      <c r="B160">
        <v>2</v>
      </c>
      <c r="C160">
        <v>5043</v>
      </c>
      <c r="D160">
        <v>40921</v>
      </c>
      <c r="E160">
        <v>6309.4</v>
      </c>
      <c r="F160">
        <f t="shared" si="180"/>
        <v>4.0921000000000003</v>
      </c>
      <c r="G160">
        <f t="shared" si="181"/>
        <v>0.50429999999999997</v>
      </c>
      <c r="H160">
        <f t="shared" si="182"/>
        <v>3.5878000000000005</v>
      </c>
      <c r="I160">
        <f t="shared" ref="I160:I169" si="184">E160/10000</f>
        <v>0.63093999999999995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8.7909578904927302E-2</v>
      </c>
      <c r="P160" s="4">
        <v>3</v>
      </c>
      <c r="Q160" s="5">
        <f t="shared" ref="Q160:R169" si="187">H160</f>
        <v>3.5878000000000005</v>
      </c>
      <c r="R160" s="5">
        <f t="shared" si="187"/>
        <v>0.63093999999999995</v>
      </c>
      <c r="S160" s="5">
        <f t="shared" ref="S160:S169" si="188">Q160/10^6*$Z$4*$Z$3/P160*10^12</f>
        <v>3.9860458000000016</v>
      </c>
      <c r="T160" s="5">
        <f t="shared" ref="T160:T169" si="189">S160*0.06</f>
        <v>0.23916274800000009</v>
      </c>
      <c r="U160" s="5">
        <f t="shared" ref="U160:U169" si="190">S160/$Z$1</f>
        <v>0.54603367123287694</v>
      </c>
      <c r="V160" s="5">
        <f t="shared" si="183"/>
        <v>8.7909578904927302E-2</v>
      </c>
    </row>
    <row r="161" spans="2:22" x14ac:dyDescent="0.3">
      <c r="B161">
        <v>3</v>
      </c>
      <c r="C161">
        <v>2768.5</v>
      </c>
      <c r="D161">
        <v>35976</v>
      </c>
      <c r="E161">
        <v>5407.7</v>
      </c>
      <c r="F161">
        <f t="shared" si="180"/>
        <v>3.5975999999999999</v>
      </c>
      <c r="G161">
        <f t="shared" si="181"/>
        <v>0.27684999999999998</v>
      </c>
      <c r="H161">
        <f t="shared" si="182"/>
        <v>3.3207499999999999</v>
      </c>
      <c r="I161">
        <f t="shared" si="184"/>
        <v>0.54076999999999997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7.5839041370735064E-2</v>
      </c>
      <c r="P161" s="4">
        <v>3</v>
      </c>
      <c r="Q161" s="5">
        <f t="shared" si="187"/>
        <v>3.3207499999999999</v>
      </c>
      <c r="R161" s="5">
        <f t="shared" si="187"/>
        <v>0.54076999999999997</v>
      </c>
      <c r="S161" s="5">
        <f t="shared" si="188"/>
        <v>3.6893532499999995</v>
      </c>
      <c r="T161" s="5">
        <f t="shared" si="189"/>
        <v>0.22136119499999996</v>
      </c>
      <c r="U161" s="5">
        <f t="shared" si="190"/>
        <v>0.50539085616438351</v>
      </c>
      <c r="V161" s="5">
        <f t="shared" si="183"/>
        <v>7.5839041370735064E-2</v>
      </c>
    </row>
    <row r="162" spans="2:22" x14ac:dyDescent="0.3">
      <c r="B162">
        <v>4</v>
      </c>
      <c r="C162">
        <v>-996.4</v>
      </c>
      <c r="D162">
        <v>10352.700000000001</v>
      </c>
      <c r="E162">
        <v>1157.5</v>
      </c>
      <c r="F162">
        <f t="shared" si="180"/>
        <v>1.0352700000000001</v>
      </c>
      <c r="G162">
        <f t="shared" si="181"/>
        <v>-9.9639999999999992E-2</v>
      </c>
      <c r="H162">
        <f t="shared" si="182"/>
        <v>1.1349100000000001</v>
      </c>
      <c r="I162">
        <f t="shared" si="184"/>
        <v>0.11575000000000001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4.5933865009451381E-2</v>
      </c>
      <c r="P162" s="4">
        <v>3</v>
      </c>
      <c r="Q162" s="5">
        <f t="shared" si="187"/>
        <v>1.1349100000000001</v>
      </c>
      <c r="R162" s="5">
        <f t="shared" si="187"/>
        <v>0.11575000000000001</v>
      </c>
      <c r="S162" s="5">
        <f t="shared" si="188"/>
        <v>1.26088501</v>
      </c>
      <c r="T162" s="5">
        <f t="shared" si="189"/>
        <v>7.5653100599999995E-2</v>
      </c>
      <c r="U162" s="5">
        <f t="shared" si="190"/>
        <v>0.17272397397260275</v>
      </c>
      <c r="V162" s="5">
        <f t="shared" si="183"/>
        <v>4.5933865009451381E-2</v>
      </c>
    </row>
    <row r="163" spans="2:22" x14ac:dyDescent="0.3">
      <c r="B163">
        <v>5</v>
      </c>
      <c r="C163">
        <v>0</v>
      </c>
      <c r="D163">
        <v>0</v>
      </c>
      <c r="E163">
        <v>0</v>
      </c>
      <c r="F163">
        <f t="shared" si="180"/>
        <v>0</v>
      </c>
      <c r="G163">
        <f t="shared" si="181"/>
        <v>0</v>
      </c>
      <c r="H163">
        <f t="shared" si="182"/>
        <v>0</v>
      </c>
      <c r="I163">
        <f t="shared" si="184"/>
        <v>0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3.3199314008207657E-2</v>
      </c>
      <c r="P163" s="4">
        <v>3</v>
      </c>
      <c r="Q163" s="5">
        <f t="shared" si="187"/>
        <v>0</v>
      </c>
      <c r="R163" s="5">
        <f t="shared" si="187"/>
        <v>0</v>
      </c>
      <c r="S163" s="5">
        <f t="shared" si="188"/>
        <v>0</v>
      </c>
      <c r="T163" s="5">
        <f t="shared" si="189"/>
        <v>0</v>
      </c>
      <c r="U163" s="5">
        <f t="shared" si="190"/>
        <v>0</v>
      </c>
      <c r="V163" s="5">
        <f t="shared" si="183"/>
        <v>3.3199314008207657E-2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2.2980318260987832E-2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2.2980318260987832E-2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1.6612842792050865E-2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1.6612842792050865E-2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1.3931788796440595E-2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1.3931788796440595E-2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1.122803112129348E-2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1.122803112129348E-2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8.0405986756380467E-3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8.0405986756380467E-3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5.1852053541803023E-3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5.1852053541803023E-3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Q170"/>
  <sheetViews>
    <sheetView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880.6</v>
      </c>
      <c r="D5">
        <v>111964.4</v>
      </c>
      <c r="E5">
        <v>4814.7</v>
      </c>
      <c r="F5">
        <f t="shared" ref="F5:F15" si="0">D5/10000</f>
        <v>11.196439999999999</v>
      </c>
      <c r="G5">
        <f t="shared" ref="G5:G15" si="1">C5/10000</f>
        <v>8.8059999999999999E-2</v>
      </c>
      <c r="H5">
        <f t="shared" ref="H5:H15" si="2">F5-G5</f>
        <v>11.108379999999999</v>
      </c>
      <c r="I5">
        <f>E5/10000</f>
        <v>0.48147000000000001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0.99104601270028314</v>
      </c>
      <c r="P5" s="2">
        <v>3</v>
      </c>
      <c r="Q5" s="8">
        <f>H5</f>
        <v>11.108379999999999</v>
      </c>
      <c r="R5" s="8">
        <f>I5</f>
        <v>0.48147000000000001</v>
      </c>
      <c r="S5" s="8">
        <f>Q5/10^6*$Z$4*$Z$3/P5*10^12</f>
        <v>12.34141018</v>
      </c>
      <c r="T5" s="8">
        <f>S5*0.06</f>
        <v>0.74048461080000005</v>
      </c>
      <c r="U5" s="55">
        <f>S5/$Z$1</f>
        <v>1.6906041342465754</v>
      </c>
      <c r="V5" s="12">
        <f t="shared" ref="V5:V15" si="4">O5</f>
        <v>0.99104601270028314</v>
      </c>
    </row>
    <row r="6" spans="2:95" x14ac:dyDescent="0.3">
      <c r="B6">
        <v>2</v>
      </c>
      <c r="C6">
        <v>8947.1</v>
      </c>
      <c r="D6">
        <v>123111.2</v>
      </c>
      <c r="E6">
        <v>4268.1000000000004</v>
      </c>
      <c r="F6">
        <f t="shared" si="0"/>
        <v>12.311119999999999</v>
      </c>
      <c r="G6">
        <f t="shared" si="1"/>
        <v>0.89471000000000001</v>
      </c>
      <c r="H6">
        <f t="shared" si="2"/>
        <v>11.416409999999999</v>
      </c>
      <c r="I6">
        <f t="shared" ref="I6:I15" si="5">E6/10000</f>
        <v>0.42681000000000002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0.8790957890492731</v>
      </c>
      <c r="P6" s="4">
        <v>3</v>
      </c>
      <c r="Q6" s="5">
        <f t="shared" ref="Q6:R15" si="7">H6</f>
        <v>11.416409999999999</v>
      </c>
      <c r="R6" s="5">
        <f t="shared" si="7"/>
        <v>0.42681000000000002</v>
      </c>
      <c r="S6" s="5">
        <f t="shared" ref="S6:S15" si="8">Q6/10^6*$Z$4*$Z$3/P6*10^12</f>
        <v>12.68363151</v>
      </c>
      <c r="T6" s="5">
        <f t="shared" ref="T6:T15" si="9">S6*0.06</f>
        <v>0.76101789059999991</v>
      </c>
      <c r="U6" s="56">
        <f t="shared" ref="U6:U15" si="10">S6/$Z$1</f>
        <v>1.7374837684931508</v>
      </c>
      <c r="V6" s="5">
        <f t="shared" si="4"/>
        <v>0.8790957890492731</v>
      </c>
    </row>
    <row r="7" spans="2:95" x14ac:dyDescent="0.3">
      <c r="B7">
        <v>3</v>
      </c>
      <c r="C7">
        <v>13836</v>
      </c>
      <c r="D7">
        <v>131922.6</v>
      </c>
      <c r="E7">
        <v>2859.1</v>
      </c>
      <c r="F7">
        <f t="shared" si="0"/>
        <v>13.192260000000001</v>
      </c>
      <c r="G7">
        <f t="shared" si="1"/>
        <v>1.3835999999999999</v>
      </c>
      <c r="H7">
        <f t="shared" si="2"/>
        <v>11.808660000000001</v>
      </c>
      <c r="I7">
        <f t="shared" si="5"/>
        <v>0.28591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0.75839041370735061</v>
      </c>
      <c r="P7" s="4">
        <v>3</v>
      </c>
      <c r="Q7" s="5">
        <f t="shared" si="7"/>
        <v>11.808660000000001</v>
      </c>
      <c r="R7" s="5">
        <f t="shared" si="7"/>
        <v>0.28591</v>
      </c>
      <c r="S7" s="5">
        <f t="shared" si="8"/>
        <v>13.119421260000003</v>
      </c>
      <c r="T7" s="5">
        <f t="shared" si="9"/>
        <v>0.78716527560000016</v>
      </c>
      <c r="U7" s="56">
        <f t="shared" si="10"/>
        <v>1.7971809945205484</v>
      </c>
      <c r="V7" s="5">
        <f t="shared" si="4"/>
        <v>0.75839041370735061</v>
      </c>
      <c r="Y7" t="s">
        <v>41</v>
      </c>
      <c r="Z7">
        <v>5</v>
      </c>
    </row>
    <row r="8" spans="2:95" x14ac:dyDescent="0.3">
      <c r="B8">
        <v>4</v>
      </c>
      <c r="C8">
        <v>15479.2</v>
      </c>
      <c r="D8">
        <v>147274</v>
      </c>
      <c r="E8">
        <v>25671</v>
      </c>
      <c r="F8">
        <f t="shared" si="0"/>
        <v>14.727399999999999</v>
      </c>
      <c r="G8">
        <f t="shared" si="1"/>
        <v>1.54792</v>
      </c>
      <c r="H8">
        <f t="shared" si="2"/>
        <v>13.17948</v>
      </c>
      <c r="I8">
        <f t="shared" si="5"/>
        <v>2.5670999999999999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0.45933865009451386</v>
      </c>
      <c r="P8" s="4">
        <v>3</v>
      </c>
      <c r="Q8" s="5">
        <f t="shared" si="7"/>
        <v>13.17948</v>
      </c>
      <c r="R8" s="5">
        <f t="shared" si="7"/>
        <v>2.5670999999999999</v>
      </c>
      <c r="S8" s="5">
        <f t="shared" si="8"/>
        <v>14.642402280000002</v>
      </c>
      <c r="T8" s="5">
        <f t="shared" si="9"/>
        <v>0.8785441368000001</v>
      </c>
      <c r="U8" s="56">
        <f t="shared" si="10"/>
        <v>2.0058085315068497</v>
      </c>
      <c r="V8" s="5">
        <f t="shared" si="4"/>
        <v>0.45933865009451386</v>
      </c>
    </row>
    <row r="9" spans="2:95" x14ac:dyDescent="0.3">
      <c r="B9">
        <v>5</v>
      </c>
      <c r="C9">
        <v>20643.900000000001</v>
      </c>
      <c r="D9">
        <v>107927.9</v>
      </c>
      <c r="E9">
        <v>1325</v>
      </c>
      <c r="F9">
        <f t="shared" si="0"/>
        <v>10.79279</v>
      </c>
      <c r="G9">
        <f t="shared" si="1"/>
        <v>2.0643899999999999</v>
      </c>
      <c r="H9">
        <f t="shared" si="2"/>
        <v>8.7284000000000006</v>
      </c>
      <c r="I9">
        <f t="shared" si="5"/>
        <v>0.13250000000000001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0.33199314008207653</v>
      </c>
      <c r="P9" s="4">
        <v>3</v>
      </c>
      <c r="Q9" s="5">
        <f t="shared" si="7"/>
        <v>8.7284000000000006</v>
      </c>
      <c r="R9" s="5">
        <f t="shared" si="7"/>
        <v>0.13250000000000001</v>
      </c>
      <c r="S9" s="5">
        <f t="shared" si="8"/>
        <v>9.6972524000000018</v>
      </c>
      <c r="T9" s="5">
        <f t="shared" si="9"/>
        <v>0.58183514400000014</v>
      </c>
      <c r="U9" s="56">
        <f t="shared" si="10"/>
        <v>1.3283907397260277</v>
      </c>
      <c r="V9" s="5">
        <f t="shared" si="4"/>
        <v>0.33199314008207653</v>
      </c>
    </row>
    <row r="10" spans="2:95" ht="15" thickBot="1" x14ac:dyDescent="0.35">
      <c r="B10">
        <v>6</v>
      </c>
      <c r="C10">
        <v>19472</v>
      </c>
      <c r="D10">
        <v>89800.5</v>
      </c>
      <c r="E10">
        <v>1213.8</v>
      </c>
      <c r="F10">
        <f t="shared" si="0"/>
        <v>8.9800500000000003</v>
      </c>
      <c r="G10">
        <f t="shared" si="1"/>
        <v>1.9472</v>
      </c>
      <c r="H10">
        <f t="shared" si="2"/>
        <v>7.0328499999999998</v>
      </c>
      <c r="I10">
        <f t="shared" si="5"/>
        <v>0.12138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0.22980318260987831</v>
      </c>
      <c r="P10" s="4">
        <v>4</v>
      </c>
      <c r="Q10" s="5">
        <f t="shared" si="7"/>
        <v>7.0328499999999998</v>
      </c>
      <c r="R10" s="5">
        <f t="shared" si="7"/>
        <v>0.12138</v>
      </c>
      <c r="S10" s="5">
        <f t="shared" si="8"/>
        <v>5.8601222625</v>
      </c>
      <c r="T10" s="5">
        <f t="shared" si="9"/>
        <v>0.35160733574999997</v>
      </c>
      <c r="U10" s="56">
        <f t="shared" si="10"/>
        <v>0.80275647431506847</v>
      </c>
      <c r="V10" s="5">
        <f t="shared" si="4"/>
        <v>0.22980318260987831</v>
      </c>
    </row>
    <row r="11" spans="2:95" ht="15.6" thickTop="1" thickBot="1" x14ac:dyDescent="0.35">
      <c r="B11">
        <v>7</v>
      </c>
      <c r="C11">
        <v>12048.3</v>
      </c>
      <c r="D11">
        <v>52662.1</v>
      </c>
      <c r="E11">
        <v>5827.7</v>
      </c>
      <c r="F11">
        <f t="shared" si="0"/>
        <v>5.2662100000000001</v>
      </c>
      <c r="G11">
        <f t="shared" si="1"/>
        <v>1.2048299999999998</v>
      </c>
      <c r="H11">
        <f t="shared" si="2"/>
        <v>4.0613799999999998</v>
      </c>
      <c r="I11">
        <f t="shared" si="5"/>
        <v>0.58277000000000001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0.16612842792050866</v>
      </c>
      <c r="P11" s="4">
        <v>4</v>
      </c>
      <c r="Q11" s="5">
        <f t="shared" si="7"/>
        <v>4.0613799999999998</v>
      </c>
      <c r="R11" s="5">
        <f t="shared" si="7"/>
        <v>0.58277000000000001</v>
      </c>
      <c r="S11" s="5">
        <f t="shared" si="8"/>
        <v>3.3841448850000004</v>
      </c>
      <c r="T11" s="5">
        <f t="shared" si="9"/>
        <v>0.20304869310000001</v>
      </c>
      <c r="U11" s="56">
        <f t="shared" si="10"/>
        <v>0.46358149109589047</v>
      </c>
      <c r="V11" s="5">
        <f t="shared" si="4"/>
        <v>0.16612842792050866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17066.599999999999</v>
      </c>
      <c r="D12">
        <v>32017</v>
      </c>
      <c r="E12">
        <v>8594.4</v>
      </c>
      <c r="F12">
        <f t="shared" si="0"/>
        <v>3.2017000000000002</v>
      </c>
      <c r="G12">
        <f t="shared" si="1"/>
        <v>1.7066599999999998</v>
      </c>
      <c r="H12">
        <f t="shared" si="2"/>
        <v>1.4950400000000004</v>
      </c>
      <c r="I12">
        <f t="shared" si="5"/>
        <v>0.85943999999999998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0.13931788796440595</v>
      </c>
      <c r="P12" s="4">
        <v>5</v>
      </c>
      <c r="Q12" s="5">
        <f t="shared" si="7"/>
        <v>1.4950400000000004</v>
      </c>
      <c r="R12" s="5">
        <f t="shared" si="7"/>
        <v>0.85943999999999998</v>
      </c>
      <c r="S12" s="5">
        <f t="shared" si="8"/>
        <v>0.99659366400000038</v>
      </c>
      <c r="T12" s="5">
        <f t="shared" si="9"/>
        <v>5.9795619840000022E-2</v>
      </c>
      <c r="U12" s="56">
        <f t="shared" si="10"/>
        <v>0.13651968000000006</v>
      </c>
      <c r="V12" s="5">
        <f t="shared" si="4"/>
        <v>0.13931788796440595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0</v>
      </c>
      <c r="D13">
        <v>0</v>
      </c>
      <c r="E13">
        <v>0</v>
      </c>
      <c r="F13">
        <f t="shared" si="0"/>
        <v>0</v>
      </c>
      <c r="G13">
        <f t="shared" si="1"/>
        <v>0</v>
      </c>
      <c r="H13">
        <f t="shared" si="2"/>
        <v>0</v>
      </c>
      <c r="I13">
        <f t="shared" si="5"/>
        <v>0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0.1122803112129348</v>
      </c>
      <c r="P13" s="4">
        <v>8</v>
      </c>
      <c r="Q13" s="5">
        <f t="shared" si="7"/>
        <v>0</v>
      </c>
      <c r="R13" s="5">
        <f t="shared" si="7"/>
        <v>0</v>
      </c>
      <c r="S13" s="5">
        <f t="shared" si="8"/>
        <v>0</v>
      </c>
      <c r="T13" s="5">
        <f t="shared" si="9"/>
        <v>0</v>
      </c>
      <c r="U13" s="56">
        <f t="shared" si="10"/>
        <v>0</v>
      </c>
      <c r="V13" s="5">
        <f t="shared" si="4"/>
        <v>0.1122803112129348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0</v>
      </c>
      <c r="D14">
        <v>0</v>
      </c>
      <c r="E14">
        <v>0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5"/>
        <v>0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8.0405986756380471E-2</v>
      </c>
      <c r="P14" s="4">
        <v>14</v>
      </c>
      <c r="Q14" s="5">
        <f t="shared" si="7"/>
        <v>0</v>
      </c>
      <c r="R14" s="5">
        <f t="shared" si="7"/>
        <v>0</v>
      </c>
      <c r="S14" s="5">
        <f t="shared" si="8"/>
        <v>0</v>
      </c>
      <c r="T14" s="5">
        <f t="shared" si="9"/>
        <v>0</v>
      </c>
      <c r="U14" s="56">
        <f t="shared" si="10"/>
        <v>0</v>
      </c>
      <c r="V14" s="5">
        <f t="shared" si="4"/>
        <v>8.0405986756380471E-2</v>
      </c>
      <c r="X14" s="58">
        <f t="shared" ref="X14:X21" si="12">O5</f>
        <v>0.99104601270028314</v>
      </c>
      <c r="Y14" s="32">
        <f t="shared" ref="Y14:AA21" si="13">S5</f>
        <v>12.34141018</v>
      </c>
      <c r="Z14" s="32">
        <f t="shared" si="13"/>
        <v>0.74048461080000005</v>
      </c>
      <c r="AA14" s="32">
        <f t="shared" si="13"/>
        <v>1.6906041342465754</v>
      </c>
      <c r="AB14" s="41">
        <f>I5/H5</f>
        <v>4.3342953698018979E-2</v>
      </c>
      <c r="AC14" s="33">
        <f t="shared" ref="AC14:AC21" si="14">R5</f>
        <v>0.48147000000000001</v>
      </c>
      <c r="AD14" s="31">
        <f t="shared" ref="AD14:AD20" si="15">O19</f>
        <v>0.6606973418001888</v>
      </c>
      <c r="AE14" s="32">
        <f t="shared" ref="AE14:AG20" si="16">S19</f>
        <v>7.2313434600000006</v>
      </c>
      <c r="AF14" s="32">
        <f t="shared" si="16"/>
        <v>0.43388060760000002</v>
      </c>
      <c r="AG14" s="32">
        <f t="shared" si="16"/>
        <v>0.990594994520548</v>
      </c>
      <c r="AH14" s="41">
        <f>I19/H19</f>
        <v>6.7706172816745167E-2</v>
      </c>
      <c r="AI14" s="33">
        <f>R19</f>
        <v>0.44068999999999997</v>
      </c>
      <c r="AJ14" s="31">
        <f t="shared" ref="AJ14:AJ19" si="17">O33</f>
        <v>0.49552300635014157</v>
      </c>
      <c r="AK14" s="32">
        <f t="shared" ref="AK14:AM19" si="18">S33</f>
        <v>5.6585563099999989</v>
      </c>
      <c r="AL14" s="32">
        <f t="shared" si="18"/>
        <v>0.33951337859999992</v>
      </c>
      <c r="AM14" s="32">
        <f t="shared" si="18"/>
        <v>0.77514469999999991</v>
      </c>
      <c r="AN14" s="41">
        <f>I33/H33</f>
        <v>7.9869080599464792E-2</v>
      </c>
      <c r="AO14" s="33">
        <f>R33</f>
        <v>0.40678999999999998</v>
      </c>
      <c r="AP14" s="31">
        <f t="shared" ref="AP14:AP19" si="19">O47</f>
        <v>0.39641840508011328</v>
      </c>
      <c r="AQ14" s="32">
        <f t="shared" ref="AQ14:AS19" si="20">S47</f>
        <v>5.1893254600000001</v>
      </c>
      <c r="AR14" s="32">
        <f t="shared" si="20"/>
        <v>0.31135952760000002</v>
      </c>
      <c r="AS14" s="32">
        <f t="shared" si="20"/>
        <v>0.71086650136986307</v>
      </c>
      <c r="AT14" s="41">
        <f>I47/H47</f>
        <v>9.1079587056773256E-2</v>
      </c>
      <c r="AU14" s="33">
        <f>R47</f>
        <v>0.42541999999999996</v>
      </c>
      <c r="AV14" s="31">
        <f t="shared" ref="AV14:AV19" si="21">O61</f>
        <v>0.3303486709000944</v>
      </c>
      <c r="AW14" s="32">
        <f t="shared" ref="AW14:AY19" si="22">S61</f>
        <v>5.0920907399999997</v>
      </c>
      <c r="AX14" s="32">
        <f t="shared" si="22"/>
        <v>0.30552544439999996</v>
      </c>
      <c r="AY14" s="32">
        <f t="shared" si="22"/>
        <v>0.69754667671232873</v>
      </c>
      <c r="AZ14" s="41">
        <f>I61/H61</f>
        <v>7.5872616912557228E-2</v>
      </c>
      <c r="BA14" s="33">
        <f>R61</f>
        <v>0.34775</v>
      </c>
      <c r="BB14" s="31">
        <f t="shared" ref="BB14:BB18" si="23">O75</f>
        <v>0.28315600362865234</v>
      </c>
      <c r="BC14" s="32">
        <f t="shared" ref="BC14:BE18" si="24">S75</f>
        <v>4.602695240000001</v>
      </c>
      <c r="BD14" s="32">
        <f t="shared" si="24"/>
        <v>0.27616171440000004</v>
      </c>
      <c r="BE14" s="32">
        <f t="shared" si="24"/>
        <v>0.63050619726027413</v>
      </c>
      <c r="BF14" s="41">
        <f>I75/H75</f>
        <v>8.9373473269544548E-2</v>
      </c>
      <c r="BG14" s="33">
        <f>R75</f>
        <v>0.37025999999999998</v>
      </c>
      <c r="BH14" s="31">
        <f t="shared" ref="BH14:BH18" si="25">O89</f>
        <v>0.24776150317507079</v>
      </c>
      <c r="BI14" s="32">
        <f t="shared" ref="BI14:BK18" si="26">S89</f>
        <v>4.5272138999999996</v>
      </c>
      <c r="BJ14" s="32">
        <f t="shared" si="26"/>
        <v>0.27163283399999999</v>
      </c>
      <c r="BK14" s="32">
        <f t="shared" si="26"/>
        <v>0.62016628767123283</v>
      </c>
      <c r="BL14" s="41">
        <f>I89/H89</f>
        <v>9.3209649316547655E-2</v>
      </c>
      <c r="BM14" s="33">
        <f>R89</f>
        <v>0.37981999999999999</v>
      </c>
      <c r="BN14" s="31">
        <f t="shared" ref="BN14:BN18" si="27">O103</f>
        <v>0.22023244726672958</v>
      </c>
      <c r="BO14" s="32">
        <f t="shared" ref="BO14:BQ18" si="28">S103</f>
        <v>4.4318234399999996</v>
      </c>
      <c r="BP14" s="32">
        <f t="shared" si="28"/>
        <v>0.26590940639999999</v>
      </c>
      <c r="BQ14" s="32">
        <f t="shared" si="28"/>
        <v>0.607099101369863</v>
      </c>
      <c r="BR14" s="41">
        <f>I103/H103</f>
        <v>8.654463229248141E-2</v>
      </c>
      <c r="BS14" s="33">
        <f>R103</f>
        <v>0.34523000000000004</v>
      </c>
      <c r="BT14" s="31">
        <f t="shared" ref="BT14:BT17" si="29">O117</f>
        <v>0.19820920254005664</v>
      </c>
      <c r="BU14" s="32">
        <f t="shared" ref="BU14:BW17" si="30">S117</f>
        <v>4.4024263800000005</v>
      </c>
      <c r="BV14" s="32">
        <f t="shared" si="30"/>
        <v>0.2641455828</v>
      </c>
      <c r="BW14" s="32">
        <f t="shared" si="30"/>
        <v>0.60307210684931511</v>
      </c>
      <c r="BX14" s="41">
        <f>I117/H117</f>
        <v>9.9891989562355829E-2</v>
      </c>
      <c r="BY14" s="33">
        <f>R117</f>
        <v>0.39583000000000002</v>
      </c>
      <c r="BZ14" s="31">
        <f t="shared" ref="BZ14:BZ18" si="31">O131</f>
        <v>0.13213946836003776</v>
      </c>
      <c r="CA14" s="32">
        <f t="shared" ref="CA14:CC18" si="32">S131</f>
        <v>4.6129942100000001</v>
      </c>
      <c r="CB14" s="32">
        <f t="shared" si="32"/>
        <v>0.27677965259999998</v>
      </c>
      <c r="CC14" s="32">
        <f t="shared" si="32"/>
        <v>0.63191701506849318</v>
      </c>
      <c r="CD14" s="41">
        <f>I131/H131</f>
        <v>0.11052212007870696</v>
      </c>
      <c r="CE14" s="33">
        <f>R131</f>
        <v>0.45889999999999997</v>
      </c>
      <c r="CF14" s="31">
        <f t="shared" ref="CF14:CF18" si="33">O145</f>
        <v>9.910460127002832E-2</v>
      </c>
      <c r="CG14" s="32">
        <f t="shared" ref="CG14:CI18" si="34">S145</f>
        <v>4.3117132300000005</v>
      </c>
      <c r="CH14" s="32">
        <f t="shared" si="34"/>
        <v>0.2587027938</v>
      </c>
      <c r="CI14" s="32">
        <f t="shared" si="34"/>
        <v>0.59064564794520558</v>
      </c>
      <c r="CJ14" s="41">
        <f>I145/H145</f>
        <v>0.13932227584625334</v>
      </c>
      <c r="CK14" s="33">
        <f>R145</f>
        <v>0.54069999999999996</v>
      </c>
      <c r="CL14" s="31">
        <f t="shared" ref="CL14:CL17" si="35">O159</f>
        <v>7.928368101602265E-2</v>
      </c>
      <c r="CM14" s="32">
        <f t="shared" ref="CM14:CO17" si="36">S159</f>
        <v>4.0187425300000008</v>
      </c>
      <c r="CN14" s="32">
        <f t="shared" si="36"/>
        <v>0.24112455180000003</v>
      </c>
      <c r="CO14" s="32">
        <f t="shared" si="36"/>
        <v>0.55051267534246584</v>
      </c>
      <c r="CP14" s="41">
        <f>I159/H159</f>
        <v>0.14698263588436455</v>
      </c>
      <c r="CQ14" s="33">
        <f>R159</f>
        <v>0.53166999999999998</v>
      </c>
    </row>
    <row r="15" spans="2:95" ht="15" thickBot="1" x14ac:dyDescent="0.35">
      <c r="B15">
        <v>11</v>
      </c>
      <c r="C15">
        <v>0</v>
      </c>
      <c r="D15">
        <v>0</v>
      </c>
      <c r="E15">
        <v>0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5"/>
        <v>0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5.1852053541803021E-2</v>
      </c>
      <c r="P15" s="7">
        <v>21</v>
      </c>
      <c r="Q15" s="6">
        <f t="shared" si="7"/>
        <v>0</v>
      </c>
      <c r="R15" s="6">
        <f t="shared" si="7"/>
        <v>0</v>
      </c>
      <c r="S15" s="6">
        <f t="shared" si="8"/>
        <v>0</v>
      </c>
      <c r="T15" s="6">
        <f t="shared" si="9"/>
        <v>0</v>
      </c>
      <c r="U15" s="57">
        <f t="shared" si="10"/>
        <v>0</v>
      </c>
      <c r="V15" s="6">
        <f t="shared" si="4"/>
        <v>5.1852053541803021E-2</v>
      </c>
      <c r="X15" s="59">
        <f t="shared" si="12"/>
        <v>0.8790957890492731</v>
      </c>
      <c r="Y15" s="35">
        <f t="shared" si="13"/>
        <v>12.68363151</v>
      </c>
      <c r="Z15" s="35">
        <f t="shared" si="13"/>
        <v>0.76101789059999991</v>
      </c>
      <c r="AA15" s="35">
        <f t="shared" si="13"/>
        <v>1.7374837684931508</v>
      </c>
      <c r="AB15" s="42">
        <f t="shared" ref="AB15:AB21" si="37">I6/H6</f>
        <v>3.7385658013333441E-2</v>
      </c>
      <c r="AC15" s="36">
        <f t="shared" si="14"/>
        <v>0.42681000000000002</v>
      </c>
      <c r="AD15" s="34">
        <f t="shared" si="15"/>
        <v>0.5860638593661821</v>
      </c>
      <c r="AE15" s="35">
        <f t="shared" si="16"/>
        <v>7.5731203900000015</v>
      </c>
      <c r="AF15" s="35">
        <f t="shared" si="16"/>
        <v>0.4543872234000001</v>
      </c>
      <c r="AG15" s="35">
        <f t="shared" si="16"/>
        <v>1.0374137520547948</v>
      </c>
      <c r="AH15" s="42">
        <f t="shared" ref="AH15:AH20" si="38">I20/H20</f>
        <v>6.1938035557889758E-2</v>
      </c>
      <c r="AI15" s="36">
        <f t="shared" ref="AI15:AI20" si="39">R20</f>
        <v>0.42220000000000002</v>
      </c>
      <c r="AJ15" s="34">
        <f t="shared" si="17"/>
        <v>0.43954789452463655</v>
      </c>
      <c r="AK15" s="35">
        <f t="shared" si="18"/>
        <v>6.0787142899999989</v>
      </c>
      <c r="AL15" s="35">
        <f t="shared" si="18"/>
        <v>0.36472285739999993</v>
      </c>
      <c r="AM15" s="35">
        <f t="shared" si="18"/>
        <v>0.83270058767123278</v>
      </c>
      <c r="AN15" s="42">
        <f t="shared" ref="AN15:AN19" si="40">I34/H34</f>
        <v>6.629028455291984E-2</v>
      </c>
      <c r="AO15" s="36">
        <f t="shared" ref="AO15:AO19" si="41">R34</f>
        <v>0.36270000000000002</v>
      </c>
      <c r="AP15" s="34">
        <f t="shared" si="19"/>
        <v>0.35163831561970926</v>
      </c>
      <c r="AQ15" s="35">
        <f t="shared" si="20"/>
        <v>5.3195679899999995</v>
      </c>
      <c r="AR15" s="35">
        <f t="shared" si="20"/>
        <v>0.31917407939999998</v>
      </c>
      <c r="AS15" s="35">
        <f t="shared" si="20"/>
        <v>0.72870794383561643</v>
      </c>
      <c r="AT15" s="42">
        <f t="shared" ref="AT15:AT19" si="42">I48/H48</f>
        <v>7.5714951055640148E-2</v>
      </c>
      <c r="AU15" s="36">
        <f t="shared" ref="AU15:AU19" si="43">R48</f>
        <v>0.36253000000000002</v>
      </c>
      <c r="AV15" s="34">
        <f t="shared" si="21"/>
        <v>0.29303192968309105</v>
      </c>
      <c r="AW15" s="35">
        <f t="shared" si="22"/>
        <v>4.95071599</v>
      </c>
      <c r="AX15" s="35">
        <f t="shared" si="22"/>
        <v>0.29704295939999997</v>
      </c>
      <c r="AY15" s="35">
        <f t="shared" si="22"/>
        <v>0.67818027260273972</v>
      </c>
      <c r="AZ15" s="42">
        <f t="shared" ref="AZ15:AZ19" si="44">I62/H62</f>
        <v>7.0465363132252726E-2</v>
      </c>
      <c r="BA15" s="36">
        <f t="shared" ref="BA15:BA19" si="45">R62</f>
        <v>0.314</v>
      </c>
      <c r="BB15" s="34">
        <f t="shared" si="23"/>
        <v>0.25117022544264944</v>
      </c>
      <c r="BC15" s="35">
        <f t="shared" si="24"/>
        <v>4.4018597699999997</v>
      </c>
      <c r="BD15" s="35">
        <f t="shared" si="24"/>
        <v>0.26411158619999997</v>
      </c>
      <c r="BE15" s="35">
        <f t="shared" si="24"/>
        <v>0.60299448904109587</v>
      </c>
      <c r="BF15" s="42">
        <f t="shared" ref="BF15:BF18" si="46">I76/H76</f>
        <v>7.9127829644604977E-2</v>
      </c>
      <c r="BG15" s="36">
        <f t="shared" ref="BG15:BG18" si="47">R76</f>
        <v>0.31351000000000001</v>
      </c>
      <c r="BH15" s="34">
        <f t="shared" si="25"/>
        <v>0.21977394726231828</v>
      </c>
      <c r="BI15" s="35">
        <f t="shared" si="26"/>
        <v>4.4623981600000002</v>
      </c>
      <c r="BJ15" s="35">
        <f t="shared" si="26"/>
        <v>0.26774388960000001</v>
      </c>
      <c r="BK15" s="35">
        <f t="shared" si="26"/>
        <v>0.61128741917808227</v>
      </c>
      <c r="BL15" s="42">
        <f t="shared" ref="BL15:BL18" si="48">I90/H90</f>
        <v>7.7678411376899639E-2</v>
      </c>
      <c r="BM15" s="36">
        <f t="shared" ref="BM15:BM18" si="49">R90</f>
        <v>0.312</v>
      </c>
      <c r="BN15" s="34">
        <f t="shared" si="27"/>
        <v>0.19535461978872734</v>
      </c>
      <c r="BO15" s="35">
        <f t="shared" si="28"/>
        <v>4.3469652600000002</v>
      </c>
      <c r="BP15" s="35">
        <f t="shared" si="28"/>
        <v>0.26081791560000001</v>
      </c>
      <c r="BQ15" s="35">
        <f t="shared" si="28"/>
        <v>0.59547469315068502</v>
      </c>
      <c r="BR15" s="42">
        <f t="shared" ref="BR15:BR18" si="50">I104/H104</f>
        <v>8.0254864976767717E-2</v>
      </c>
      <c r="BS15" s="36">
        <f t="shared" ref="BS15:BS18" si="51">R104</f>
        <v>0.31401000000000001</v>
      </c>
      <c r="BT15" s="34">
        <f t="shared" si="29"/>
        <v>0.17581915780985463</v>
      </c>
      <c r="BU15" s="35">
        <f t="shared" si="30"/>
        <v>4.2868490500000007</v>
      </c>
      <c r="BV15" s="35">
        <f t="shared" si="30"/>
        <v>0.25721094300000003</v>
      </c>
      <c r="BW15" s="35">
        <f t="shared" si="30"/>
        <v>0.58723959589041108</v>
      </c>
      <c r="BX15" s="42">
        <f t="shared" ref="BX15:BX17" si="52">I118/H118</f>
        <v>7.8995995905197541E-2</v>
      </c>
      <c r="BY15" s="36">
        <f t="shared" ref="BY15:BY17" si="53">R118</f>
        <v>0.30480999999999997</v>
      </c>
      <c r="BZ15" s="34">
        <f t="shared" si="31"/>
        <v>0.11721277187323642</v>
      </c>
      <c r="CA15" s="35">
        <f t="shared" si="32"/>
        <v>4.0725704800000004</v>
      </c>
      <c r="CB15" s="35">
        <f t="shared" si="32"/>
        <v>0.24435422880000002</v>
      </c>
      <c r="CC15" s="35">
        <f t="shared" si="32"/>
        <v>0.55788636712328776</v>
      </c>
      <c r="CD15" s="42">
        <f t="shared" ref="CD15:CD18" si="54">I132/H132</f>
        <v>0.10418530804652887</v>
      </c>
      <c r="CE15" s="36">
        <f t="shared" ref="CE15:CE18" si="55">R132</f>
        <v>0.38190999999999997</v>
      </c>
      <c r="CF15" s="34">
        <f t="shared" si="33"/>
        <v>8.7909578904927316E-2</v>
      </c>
      <c r="CG15" s="35">
        <f t="shared" si="34"/>
        <v>3.7869545999999996</v>
      </c>
      <c r="CH15" s="35">
        <f t="shared" si="34"/>
        <v>0.22721727599999997</v>
      </c>
      <c r="CI15" s="35">
        <f t="shared" si="34"/>
        <v>0.51876090410958897</v>
      </c>
      <c r="CJ15" s="42">
        <f t="shared" ref="CJ15:CJ18" si="56">I146/H146</f>
        <v>0.14465176318723233</v>
      </c>
      <c r="CK15" s="36">
        <f t="shared" ref="CK15:CK18" si="57">R146</f>
        <v>0.49306000000000005</v>
      </c>
      <c r="CL15" s="34">
        <f t="shared" si="35"/>
        <v>7.0327663123941841E-2</v>
      </c>
      <c r="CM15" s="35">
        <f t="shared" si="36"/>
        <v>3.22797717</v>
      </c>
      <c r="CN15" s="35">
        <f t="shared" si="36"/>
        <v>0.19367863019999998</v>
      </c>
      <c r="CO15" s="35">
        <f t="shared" si="36"/>
        <v>0.44218865342465752</v>
      </c>
      <c r="CP15" s="42">
        <f t="shared" ref="CP15:CP17" si="58">I160/H160</f>
        <v>0.22203292410522227</v>
      </c>
      <c r="CQ15" s="36">
        <f t="shared" ref="CQ15:CQ17" si="59">R160</f>
        <v>0.64511000000000007</v>
      </c>
    </row>
    <row r="16" spans="2:95" ht="15" thickTop="1" x14ac:dyDescent="0.3">
      <c r="X16" s="59">
        <f t="shared" si="12"/>
        <v>0.75839041370735061</v>
      </c>
      <c r="Y16" s="35">
        <f t="shared" si="13"/>
        <v>13.119421260000003</v>
      </c>
      <c r="Z16" s="35">
        <f t="shared" si="13"/>
        <v>0.78716527560000016</v>
      </c>
      <c r="AA16" s="35">
        <f t="shared" si="13"/>
        <v>1.7971809945205484</v>
      </c>
      <c r="AB16" s="42">
        <f t="shared" si="37"/>
        <v>2.4211891950483795E-2</v>
      </c>
      <c r="AC16" s="36">
        <f t="shared" si="14"/>
        <v>0.28591</v>
      </c>
      <c r="AD16" s="34">
        <f t="shared" si="15"/>
        <v>0.5055936091382337</v>
      </c>
      <c r="AE16" s="35">
        <f t="shared" si="16"/>
        <v>7.8707684000000002</v>
      </c>
      <c r="AF16" s="35">
        <f t="shared" si="16"/>
        <v>0.472246104</v>
      </c>
      <c r="AG16" s="35">
        <f t="shared" si="16"/>
        <v>1.0781874520547945</v>
      </c>
      <c r="AH16" s="42">
        <f t="shared" si="38"/>
        <v>5.1705154988425268E-2</v>
      </c>
      <c r="AI16" s="36">
        <f t="shared" si="39"/>
        <v>0.36630000000000001</v>
      </c>
      <c r="AJ16" s="34">
        <f t="shared" si="17"/>
        <v>0.3791952068536753</v>
      </c>
      <c r="AK16" s="35">
        <f t="shared" si="18"/>
        <v>5.66463348</v>
      </c>
      <c r="AL16" s="35">
        <f t="shared" si="18"/>
        <v>0.33987800879999996</v>
      </c>
      <c r="AM16" s="35">
        <f t="shared" si="18"/>
        <v>0.77597718904109592</v>
      </c>
      <c r="AN16" s="42">
        <f t="shared" si="40"/>
        <v>8.727945272109644E-2</v>
      </c>
      <c r="AO16" s="36">
        <f t="shared" si="41"/>
        <v>0.44501000000000002</v>
      </c>
      <c r="AP16" s="34">
        <f t="shared" si="19"/>
        <v>0.30335616548294025</v>
      </c>
      <c r="AQ16" s="35">
        <f t="shared" si="20"/>
        <v>5.2036018100000003</v>
      </c>
      <c r="AR16" s="35">
        <f t="shared" si="20"/>
        <v>0.31221610859999999</v>
      </c>
      <c r="AS16" s="35">
        <f t="shared" si="20"/>
        <v>0.71282216575342472</v>
      </c>
      <c r="AT16" s="42">
        <f t="shared" si="42"/>
        <v>6.5518573950991837E-2</v>
      </c>
      <c r="AU16" s="36">
        <f t="shared" si="43"/>
        <v>0.30686999999999998</v>
      </c>
      <c r="AV16" s="34">
        <f t="shared" si="21"/>
        <v>0.25279680456911685</v>
      </c>
      <c r="AW16" s="35">
        <f t="shared" si="22"/>
        <v>4.7017742199999999</v>
      </c>
      <c r="AX16" s="35">
        <f t="shared" si="22"/>
        <v>0.2821064532</v>
      </c>
      <c r="AY16" s="35">
        <f t="shared" si="22"/>
        <v>0.64407866027397265</v>
      </c>
      <c r="AZ16" s="42">
        <f t="shared" si="44"/>
        <v>7.2870638607568011E-2</v>
      </c>
      <c r="BA16" s="36">
        <f t="shared" si="45"/>
        <v>0.30839</v>
      </c>
      <c r="BB16" s="34">
        <f t="shared" si="23"/>
        <v>0.21668297534495734</v>
      </c>
      <c r="BC16" s="35">
        <f t="shared" si="24"/>
        <v>4.3422324000000003</v>
      </c>
      <c r="BD16" s="35">
        <f t="shared" si="24"/>
        <v>0.26053394400000002</v>
      </c>
      <c r="BE16" s="35">
        <f t="shared" si="24"/>
        <v>0.59482635616438362</v>
      </c>
      <c r="BF16" s="42">
        <f t="shared" si="46"/>
        <v>7.6734725207245932E-2</v>
      </c>
      <c r="BG16" s="36">
        <f t="shared" si="47"/>
        <v>0.29991000000000001</v>
      </c>
      <c r="BH16" s="34">
        <f t="shared" si="25"/>
        <v>0.18959760342683765</v>
      </c>
      <c r="BI16" s="35">
        <f t="shared" si="26"/>
        <v>4.0489061800000004</v>
      </c>
      <c r="BJ16" s="35">
        <f t="shared" si="26"/>
        <v>0.24293437080000002</v>
      </c>
      <c r="BK16" s="35">
        <f t="shared" si="26"/>
        <v>0.55464468219178087</v>
      </c>
      <c r="BL16" s="42">
        <f t="shared" si="48"/>
        <v>7.3749169954834576E-2</v>
      </c>
      <c r="BM16" s="36">
        <f t="shared" si="49"/>
        <v>0.26877000000000001</v>
      </c>
      <c r="BN16" s="34">
        <f t="shared" si="27"/>
        <v>0.16853120304607791</v>
      </c>
      <c r="BO16" s="35">
        <f t="shared" si="28"/>
        <v>3.9394615699999993</v>
      </c>
      <c r="BP16" s="35">
        <f t="shared" si="28"/>
        <v>0.23636769419999995</v>
      </c>
      <c r="BQ16" s="35">
        <f t="shared" si="28"/>
        <v>0.53965226986301362</v>
      </c>
      <c r="BR16" s="42">
        <f t="shared" si="50"/>
        <v>6.9838995789467756E-2</v>
      </c>
      <c r="BS16" s="36">
        <f t="shared" si="51"/>
        <v>0.24764</v>
      </c>
      <c r="BT16" s="34">
        <f t="shared" si="29"/>
        <v>0.15167808274147013</v>
      </c>
      <c r="BU16" s="35">
        <f t="shared" si="30"/>
        <v>3.904198430000001</v>
      </c>
      <c r="BV16" s="35">
        <f t="shared" si="30"/>
        <v>0.23425190580000005</v>
      </c>
      <c r="BW16" s="35">
        <f t="shared" si="30"/>
        <v>0.53482170273972618</v>
      </c>
      <c r="BX16" s="42">
        <f t="shared" si="52"/>
        <v>8.9367780930130633E-2</v>
      </c>
      <c r="BY16" s="36">
        <f t="shared" si="53"/>
        <v>0.31405</v>
      </c>
      <c r="BZ16" s="34">
        <f t="shared" si="31"/>
        <v>0.10111872182764674</v>
      </c>
      <c r="CA16" s="35">
        <f t="shared" si="32"/>
        <v>3.4392227100000006</v>
      </c>
      <c r="CB16" s="35">
        <f t="shared" si="32"/>
        <v>0.20635336260000003</v>
      </c>
      <c r="CC16" s="35">
        <f t="shared" si="32"/>
        <v>0.47112639863013706</v>
      </c>
      <c r="CD16" s="42">
        <f t="shared" si="54"/>
        <v>0.11731128921278841</v>
      </c>
      <c r="CE16" s="36">
        <f t="shared" si="55"/>
        <v>0.36314999999999997</v>
      </c>
      <c r="CF16" s="34">
        <f t="shared" si="33"/>
        <v>7.5839041370735064E-2</v>
      </c>
      <c r="CG16" s="35">
        <f t="shared" si="34"/>
        <v>2.9026208200000005</v>
      </c>
      <c r="CH16" s="35">
        <f t="shared" si="34"/>
        <v>0.17415724920000003</v>
      </c>
      <c r="CI16" s="35">
        <f t="shared" si="34"/>
        <v>0.397619290410959</v>
      </c>
      <c r="CJ16" s="42">
        <f t="shared" si="56"/>
        <v>0.16056295978749299</v>
      </c>
      <c r="CK16" s="36">
        <f t="shared" si="57"/>
        <v>0.41948999999999997</v>
      </c>
      <c r="CL16" s="34">
        <f t="shared" si="35"/>
        <v>6.0671233096588048E-2</v>
      </c>
      <c r="CM16" s="35">
        <f t="shared" si="36"/>
        <v>2.3286226700000001</v>
      </c>
      <c r="CN16" s="35">
        <f t="shared" si="36"/>
        <v>0.1397173602</v>
      </c>
      <c r="CO16" s="35">
        <f t="shared" si="36"/>
        <v>0.31898940684931509</v>
      </c>
      <c r="CP16" s="42">
        <f t="shared" si="58"/>
        <v>0.30287170140794001</v>
      </c>
      <c r="CQ16" s="36">
        <f t="shared" si="59"/>
        <v>0.63480999999999999</v>
      </c>
    </row>
    <row r="17" spans="2:95" ht="15" thickBot="1" x14ac:dyDescent="0.35">
      <c r="X17" s="59">
        <f t="shared" si="12"/>
        <v>0.45933865009451386</v>
      </c>
      <c r="Y17" s="35">
        <f t="shared" si="13"/>
        <v>14.642402280000002</v>
      </c>
      <c r="Z17" s="35">
        <f t="shared" si="13"/>
        <v>0.8785441368000001</v>
      </c>
      <c r="AA17" s="35">
        <f t="shared" si="13"/>
        <v>2.0058085315068497</v>
      </c>
      <c r="AB17" s="42">
        <f t="shared" si="37"/>
        <v>0.19478006719536733</v>
      </c>
      <c r="AC17" s="36">
        <f t="shared" si="14"/>
        <v>2.5670999999999999</v>
      </c>
      <c r="AD17" s="34">
        <f t="shared" si="15"/>
        <v>0.30622576672967589</v>
      </c>
      <c r="AE17" s="35">
        <f t="shared" si="16"/>
        <v>4.6615893500000007</v>
      </c>
      <c r="AF17" s="35">
        <f t="shared" si="16"/>
        <v>0.27969536100000003</v>
      </c>
      <c r="AG17" s="35">
        <f t="shared" si="16"/>
        <v>0.63857388356164391</v>
      </c>
      <c r="AH17" s="42">
        <f t="shared" si="38"/>
        <v>1.9319089099943995E-2</v>
      </c>
      <c r="AI17" s="36">
        <f t="shared" si="39"/>
        <v>8.1060000000000007E-2</v>
      </c>
      <c r="AJ17" s="34">
        <f t="shared" si="17"/>
        <v>0.22966932504725693</v>
      </c>
      <c r="AK17" s="35">
        <f t="shared" si="18"/>
        <v>3.61147215</v>
      </c>
      <c r="AL17" s="35">
        <f t="shared" si="18"/>
        <v>0.21668832899999999</v>
      </c>
      <c r="AM17" s="35">
        <f t="shared" si="18"/>
        <v>0.49472221232876712</v>
      </c>
      <c r="AN17" s="42">
        <f t="shared" si="40"/>
        <v>2.3564517865657639E-2</v>
      </c>
      <c r="AO17" s="36">
        <f t="shared" si="41"/>
        <v>7.6600000000000001E-2</v>
      </c>
      <c r="AP17" s="34">
        <f t="shared" si="19"/>
        <v>0.18373546003780555</v>
      </c>
      <c r="AQ17" s="35">
        <f t="shared" si="20"/>
        <v>3.0606939</v>
      </c>
      <c r="AR17" s="35">
        <f t="shared" si="20"/>
        <v>0.183641634</v>
      </c>
      <c r="AS17" s="35">
        <f t="shared" si="20"/>
        <v>0.41927313698630136</v>
      </c>
      <c r="AT17" s="42">
        <f t="shared" si="42"/>
        <v>6.9668590511452314E-2</v>
      </c>
      <c r="AU17" s="36">
        <f t="shared" si="43"/>
        <v>0.19192999999999999</v>
      </c>
      <c r="AV17" s="34">
        <f t="shared" si="21"/>
        <v>0.15311288336483794</v>
      </c>
      <c r="AW17" s="35">
        <f t="shared" si="22"/>
        <v>3.0460064799999995</v>
      </c>
      <c r="AX17" s="35">
        <f t="shared" si="22"/>
        <v>0.18276038879999995</v>
      </c>
      <c r="AY17" s="35">
        <f t="shared" si="22"/>
        <v>0.41726116164383559</v>
      </c>
      <c r="AZ17" s="42">
        <f t="shared" si="44"/>
        <v>2.652023576785037E-2</v>
      </c>
      <c r="BA17" s="36">
        <f t="shared" si="45"/>
        <v>7.2709999999999997E-2</v>
      </c>
      <c r="BB17" s="34">
        <f t="shared" si="23"/>
        <v>0.13123961431271824</v>
      </c>
      <c r="BC17" s="35">
        <f t="shared" si="24"/>
        <v>2.8090746199999996</v>
      </c>
      <c r="BD17" s="35">
        <f t="shared" si="24"/>
        <v>0.16854447719999996</v>
      </c>
      <c r="BE17" s="35">
        <f t="shared" si="24"/>
        <v>0.38480474246575336</v>
      </c>
      <c r="BF17" s="42">
        <f t="shared" si="46"/>
        <v>3.891758489491462E-2</v>
      </c>
      <c r="BG17" s="36">
        <f t="shared" si="47"/>
        <v>9.8400000000000001E-2</v>
      </c>
      <c r="BH17" s="34">
        <f t="shared" si="25"/>
        <v>0.11483466252362846</v>
      </c>
      <c r="BI17" s="35">
        <f t="shared" si="26"/>
        <v>2.3073470200000004</v>
      </c>
      <c r="BJ17" s="35">
        <f t="shared" si="26"/>
        <v>0.13844082120000001</v>
      </c>
      <c r="BK17" s="35">
        <f t="shared" si="26"/>
        <v>0.3160749342465754</v>
      </c>
      <c r="BL17" s="42">
        <f t="shared" si="48"/>
        <v>4.2064309858341122E-2</v>
      </c>
      <c r="BM17" s="36">
        <f t="shared" si="49"/>
        <v>8.7360000000000007E-2</v>
      </c>
      <c r="BN17" s="34">
        <f t="shared" si="27"/>
        <v>0.10207525557655864</v>
      </c>
      <c r="BO17" s="35">
        <f t="shared" si="28"/>
        <v>2.1009010000000004</v>
      </c>
      <c r="BP17" s="35">
        <f t="shared" si="28"/>
        <v>0.12605406000000002</v>
      </c>
      <c r="BQ17" s="35">
        <f t="shared" si="28"/>
        <v>0.28779465753424666</v>
      </c>
      <c r="BR17" s="42">
        <f t="shared" si="50"/>
        <v>5.2099418297197254E-2</v>
      </c>
      <c r="BS17" s="36">
        <f t="shared" si="51"/>
        <v>9.852000000000001E-2</v>
      </c>
      <c r="BT17" s="34">
        <f t="shared" si="29"/>
        <v>9.1867730018902777E-2</v>
      </c>
      <c r="BU17" s="35">
        <f t="shared" si="30"/>
        <v>1.94993832</v>
      </c>
      <c r="BV17" s="35">
        <f t="shared" si="30"/>
        <v>0.1169962992</v>
      </c>
      <c r="BW17" s="35">
        <f t="shared" si="30"/>
        <v>0.2671148383561644</v>
      </c>
      <c r="BX17" s="42">
        <f t="shared" si="52"/>
        <v>5.5437804822462279E-2</v>
      </c>
      <c r="BY17" s="36">
        <f t="shared" si="53"/>
        <v>9.7299999999999998E-2</v>
      </c>
      <c r="BZ17" s="34">
        <f t="shared" si="31"/>
        <v>6.124515334593518E-2</v>
      </c>
      <c r="CA17" s="35">
        <f t="shared" si="32"/>
        <v>2.2024575099999999</v>
      </c>
      <c r="CB17" s="35">
        <f t="shared" si="32"/>
        <v>0.13214745059999999</v>
      </c>
      <c r="CC17" s="35">
        <f t="shared" si="32"/>
        <v>0.30170650821917805</v>
      </c>
      <c r="CD17" s="42">
        <f t="shared" si="54"/>
        <v>2.9484314546435908E-2</v>
      </c>
      <c r="CE17" s="36">
        <f t="shared" si="55"/>
        <v>5.8450000000000002E-2</v>
      </c>
      <c r="CF17" s="34">
        <f t="shared" si="33"/>
        <v>4.5933865009451388E-2</v>
      </c>
      <c r="CG17" s="35">
        <f t="shared" si="34"/>
        <v>1.5705984800000001</v>
      </c>
      <c r="CH17" s="35">
        <f t="shared" si="34"/>
        <v>9.4235908800000004E-2</v>
      </c>
      <c r="CI17" s="35">
        <f t="shared" si="34"/>
        <v>0.21515047671232879</v>
      </c>
      <c r="CJ17" s="42">
        <f t="shared" si="56"/>
        <v>4.3397374228962705E-2</v>
      </c>
      <c r="CK17" s="36">
        <f t="shared" si="57"/>
        <v>6.1350000000000002E-2</v>
      </c>
      <c r="CL17" s="34">
        <f t="shared" si="35"/>
        <v>3.6747092007561107E-2</v>
      </c>
      <c r="CM17" s="35">
        <f t="shared" si="36"/>
        <v>0.99105643999999993</v>
      </c>
      <c r="CN17" s="35">
        <f t="shared" si="36"/>
        <v>5.9463386399999991E-2</v>
      </c>
      <c r="CO17" s="35">
        <f t="shared" si="36"/>
        <v>0.13576115616438356</v>
      </c>
      <c r="CP17" s="42">
        <f t="shared" si="58"/>
        <v>9.0242590018384833E-2</v>
      </c>
      <c r="CQ17" s="36">
        <f t="shared" si="59"/>
        <v>8.0500000000000002E-2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59">
        <f t="shared" si="12"/>
        <v>0.33199314008207653</v>
      </c>
      <c r="Y18" s="35">
        <f t="shared" si="13"/>
        <v>9.6972524000000018</v>
      </c>
      <c r="Z18" s="35">
        <f t="shared" si="13"/>
        <v>0.58183514400000014</v>
      </c>
      <c r="AA18" s="35">
        <f t="shared" si="13"/>
        <v>1.3283907397260277</v>
      </c>
      <c r="AB18" s="42">
        <f t="shared" si="37"/>
        <v>1.5180330873928784E-2</v>
      </c>
      <c r="AC18" s="36">
        <f t="shared" si="14"/>
        <v>0.13250000000000001</v>
      </c>
      <c r="AD18" s="34">
        <f t="shared" si="15"/>
        <v>0.22132876005471772</v>
      </c>
      <c r="AE18" s="35">
        <f t="shared" si="16"/>
        <v>4.3246341600000013</v>
      </c>
      <c r="AF18" s="35">
        <f t="shared" si="16"/>
        <v>0.25947804960000009</v>
      </c>
      <c r="AG18" s="35">
        <f t="shared" si="16"/>
        <v>0.59241563835616462</v>
      </c>
      <c r="AH18" s="42">
        <f t="shared" si="38"/>
        <v>2.2440244980167289E-2</v>
      </c>
      <c r="AI18" s="36">
        <f t="shared" si="39"/>
        <v>8.7349999999999997E-2</v>
      </c>
      <c r="AJ18" s="34">
        <f t="shared" si="17"/>
        <v>0.16599657004103827</v>
      </c>
      <c r="AK18" s="35">
        <f t="shared" si="18"/>
        <v>2.9140863399999999</v>
      </c>
      <c r="AL18" s="35">
        <f t="shared" si="18"/>
        <v>0.17484518039999999</v>
      </c>
      <c r="AM18" s="35">
        <f t="shared" si="18"/>
        <v>0.3991899095890411</v>
      </c>
      <c r="AN18" s="42">
        <f t="shared" si="40"/>
        <v>2.4213287379810444E-2</v>
      </c>
      <c r="AO18" s="36">
        <f t="shared" si="41"/>
        <v>6.3509999999999997E-2</v>
      </c>
      <c r="AP18" s="34">
        <f t="shared" si="19"/>
        <v>0.1327972560328306</v>
      </c>
      <c r="AQ18" s="35">
        <f t="shared" si="20"/>
        <v>2.4445333000000002</v>
      </c>
      <c r="AR18" s="35">
        <f t="shared" si="20"/>
        <v>0.146671998</v>
      </c>
      <c r="AS18" s="35">
        <f t="shared" si="20"/>
        <v>0.33486757534246581</v>
      </c>
      <c r="AT18" s="42">
        <f t="shared" si="42"/>
        <v>2.5405626505476522E-2</v>
      </c>
      <c r="AU18" s="36">
        <f t="shared" si="43"/>
        <v>5.5899999999999998E-2</v>
      </c>
      <c r="AV18" s="34">
        <f t="shared" si="21"/>
        <v>0.11066438002735886</v>
      </c>
      <c r="AW18" s="35">
        <f t="shared" si="22"/>
        <v>2.2058682799999998</v>
      </c>
      <c r="AX18" s="35">
        <f t="shared" si="22"/>
        <v>0.13235209679999999</v>
      </c>
      <c r="AY18" s="35">
        <f t="shared" si="22"/>
        <v>0.30217373698630134</v>
      </c>
      <c r="AZ18" s="42">
        <f t="shared" si="44"/>
        <v>4.8351028466668014E-2</v>
      </c>
      <c r="BA18" s="36">
        <f t="shared" si="45"/>
        <v>9.6000000000000002E-2</v>
      </c>
      <c r="BB18" s="34">
        <f t="shared" si="23"/>
        <v>9.4855182880593303E-2</v>
      </c>
      <c r="BC18" s="35">
        <f t="shared" si="24"/>
        <v>2.25108598</v>
      </c>
      <c r="BD18" s="35">
        <f t="shared" si="24"/>
        <v>0.1350651588</v>
      </c>
      <c r="BE18" s="35">
        <f t="shared" si="24"/>
        <v>0.30836794246575344</v>
      </c>
      <c r="BF18" s="42">
        <f t="shared" si="46"/>
        <v>2.8343977336663075E-2</v>
      </c>
      <c r="BG18" s="36">
        <f t="shared" si="47"/>
        <v>5.7429999999999995E-2</v>
      </c>
      <c r="BH18" s="34">
        <f t="shared" si="25"/>
        <v>8.2998285020519133E-2</v>
      </c>
      <c r="BI18" s="35">
        <f t="shared" si="26"/>
        <v>1.9035874000000002</v>
      </c>
      <c r="BJ18" s="35">
        <f t="shared" si="26"/>
        <v>0.11421524400000001</v>
      </c>
      <c r="BK18" s="35">
        <f t="shared" si="26"/>
        <v>0.26076539726027398</v>
      </c>
      <c r="BL18" s="42">
        <f t="shared" si="48"/>
        <v>2.6193533325551535E-2</v>
      </c>
      <c r="BM18" s="36">
        <f t="shared" si="49"/>
        <v>4.4880000000000003E-2</v>
      </c>
      <c r="BN18" s="34">
        <f t="shared" si="27"/>
        <v>7.3776253351572563E-2</v>
      </c>
      <c r="BO18" s="35">
        <f t="shared" si="28"/>
        <v>1.4761634800000001</v>
      </c>
      <c r="BP18" s="35">
        <f t="shared" si="28"/>
        <v>8.8569808799999997E-2</v>
      </c>
      <c r="BQ18" s="35">
        <f t="shared" si="28"/>
        <v>0.20221417534246577</v>
      </c>
      <c r="BR18" s="42">
        <f t="shared" si="50"/>
        <v>3.6449709486106513E-2</v>
      </c>
      <c r="BS18" s="36">
        <f t="shared" si="51"/>
        <v>4.8430000000000001E-2</v>
      </c>
      <c r="BT18" s="34"/>
      <c r="BU18" s="35"/>
      <c r="BV18" s="35"/>
      <c r="BW18" s="35"/>
      <c r="BX18" s="42"/>
      <c r="BY18" s="36"/>
      <c r="BZ18" s="34">
        <f t="shared" si="31"/>
        <v>4.4265752010943536E-2</v>
      </c>
      <c r="CA18" s="35">
        <f t="shared" si="32"/>
        <v>1.3620637800000002</v>
      </c>
      <c r="CB18" s="35">
        <f t="shared" si="32"/>
        <v>8.172382680000001E-2</v>
      </c>
      <c r="CC18" s="35">
        <f t="shared" si="32"/>
        <v>0.18658407945205482</v>
      </c>
      <c r="CD18" s="42">
        <f t="shared" si="54"/>
        <v>3.2268063100539979E-2</v>
      </c>
      <c r="CE18" s="36">
        <f t="shared" si="55"/>
        <v>3.9560000000000005E-2</v>
      </c>
      <c r="CF18" s="34">
        <f t="shared" si="33"/>
        <v>3.319931400820765E-2</v>
      </c>
      <c r="CG18" s="35">
        <f t="shared" si="34"/>
        <v>1.37404036</v>
      </c>
      <c r="CH18" s="35">
        <f t="shared" si="34"/>
        <v>8.2442421599999996E-2</v>
      </c>
      <c r="CI18" s="35">
        <f t="shared" si="34"/>
        <v>0.18822470684931505</v>
      </c>
      <c r="CJ18" s="42">
        <f t="shared" si="56"/>
        <v>6.2623306057763839E-2</v>
      </c>
      <c r="CK18" s="36">
        <f t="shared" si="57"/>
        <v>7.7450000000000005E-2</v>
      </c>
      <c r="CL18" s="34"/>
      <c r="CM18" s="35"/>
      <c r="CN18" s="35"/>
      <c r="CO18" s="35"/>
      <c r="CP18" s="42"/>
      <c r="CQ18" s="36"/>
    </row>
    <row r="19" spans="2:95" ht="15" thickTop="1" x14ac:dyDescent="0.3">
      <c r="B19">
        <v>1</v>
      </c>
      <c r="C19">
        <v>156.6</v>
      </c>
      <c r="D19">
        <v>65245.2</v>
      </c>
      <c r="E19">
        <v>4406.8999999999996</v>
      </c>
      <c r="F19">
        <f t="shared" ref="F19:F29" si="60">D19/10000</f>
        <v>6.5245199999999999</v>
      </c>
      <c r="G19">
        <f t="shared" ref="G19:G29" si="61">C19/10000</f>
        <v>1.566E-2</v>
      </c>
      <c r="H19">
        <f t="shared" ref="H19:H29" si="62">F19-G19</f>
        <v>6.5088600000000003</v>
      </c>
      <c r="I19">
        <f>E19/10000</f>
        <v>0.44068999999999997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0.6606973418001888</v>
      </c>
      <c r="P19" s="2">
        <v>3</v>
      </c>
      <c r="Q19" s="8">
        <f>H19</f>
        <v>6.5088600000000003</v>
      </c>
      <c r="R19" s="8">
        <f>I19</f>
        <v>0.44068999999999997</v>
      </c>
      <c r="S19" s="8">
        <f>Q19/10^6*$Z$4*$Z$3/P19*10^12</f>
        <v>7.2313434600000006</v>
      </c>
      <c r="T19" s="8">
        <f>S19*0.06</f>
        <v>0.43388060760000002</v>
      </c>
      <c r="U19" s="8">
        <f>S19/$Z$1</f>
        <v>0.990594994520548</v>
      </c>
      <c r="V19" s="12">
        <f t="shared" ref="V19:V29" si="63">O19</f>
        <v>0.6606973418001888</v>
      </c>
      <c r="W19" s="19"/>
      <c r="X19" s="59">
        <f t="shared" si="12"/>
        <v>0.22980318260987831</v>
      </c>
      <c r="Y19" s="35">
        <f t="shared" si="13"/>
        <v>5.8601222625</v>
      </c>
      <c r="Z19" s="35">
        <f t="shared" si="13"/>
        <v>0.35160733574999997</v>
      </c>
      <c r="AA19" s="35">
        <f t="shared" si="13"/>
        <v>0.80275647431506847</v>
      </c>
      <c r="AB19" s="42">
        <f t="shared" si="37"/>
        <v>1.72590059506459E-2</v>
      </c>
      <c r="AC19" s="36">
        <f t="shared" si="14"/>
        <v>0.12138</v>
      </c>
      <c r="AD19" s="34">
        <f t="shared" si="15"/>
        <v>0.15320212173991887</v>
      </c>
      <c r="AE19" s="35">
        <f t="shared" si="16"/>
        <v>4.2267772800000003</v>
      </c>
      <c r="AF19" s="35">
        <f t="shared" si="16"/>
        <v>0.25360663680000001</v>
      </c>
      <c r="AG19" s="35">
        <f t="shared" si="16"/>
        <v>0.57901058630136992</v>
      </c>
      <c r="AH19" s="42">
        <f t="shared" si="38"/>
        <v>1.9599261922785771E-2</v>
      </c>
      <c r="AI19" s="36">
        <f t="shared" si="39"/>
        <v>9.9420000000000008E-2</v>
      </c>
      <c r="AJ19" s="34">
        <f t="shared" si="17"/>
        <v>0.11490159130493915</v>
      </c>
      <c r="AK19" s="35">
        <f t="shared" si="18"/>
        <v>2.9754690900000003</v>
      </c>
      <c r="AL19" s="35">
        <f t="shared" si="18"/>
        <v>0.1785281454</v>
      </c>
      <c r="AM19" s="35">
        <f t="shared" si="18"/>
        <v>0.40759850547945209</v>
      </c>
      <c r="AN19" s="42">
        <f t="shared" si="40"/>
        <v>8.4815677752511948E-2</v>
      </c>
      <c r="AO19" s="36">
        <f t="shared" si="41"/>
        <v>0.30286999999999997</v>
      </c>
      <c r="AP19" s="34">
        <f t="shared" si="19"/>
        <v>9.1921273043951326E-2</v>
      </c>
      <c r="AQ19" s="35">
        <f t="shared" si="20"/>
        <v>1.1640419174999996</v>
      </c>
      <c r="AR19" s="35">
        <f t="shared" si="20"/>
        <v>6.984251504999997E-2</v>
      </c>
      <c r="AS19" s="35">
        <f t="shared" si="20"/>
        <v>0.15945779691780818</v>
      </c>
      <c r="AT19" s="42">
        <f t="shared" si="42"/>
        <v>0.13091718623612197</v>
      </c>
      <c r="AU19" s="36">
        <f t="shared" si="43"/>
        <v>0.18289</v>
      </c>
      <c r="AV19" s="34">
        <f t="shared" si="21"/>
        <v>7.6601060869959436E-2</v>
      </c>
      <c r="AW19" s="35">
        <f t="shared" si="22"/>
        <v>0.89236075499999978</v>
      </c>
      <c r="AX19" s="35">
        <f t="shared" si="22"/>
        <v>5.3541645299999982E-2</v>
      </c>
      <c r="AY19" s="35">
        <f t="shared" si="22"/>
        <v>0.12224119931506847</v>
      </c>
      <c r="AZ19" s="42">
        <f t="shared" si="44"/>
        <v>0.37979718751750807</v>
      </c>
      <c r="BA19" s="36">
        <f t="shared" si="45"/>
        <v>0.40673999999999999</v>
      </c>
      <c r="BB19" s="34"/>
      <c r="BC19" s="35"/>
      <c r="BD19" s="35"/>
      <c r="BE19" s="35"/>
      <c r="BF19" s="42"/>
      <c r="BG19" s="36"/>
      <c r="BH19" s="34"/>
      <c r="BI19" s="35"/>
      <c r="BJ19" s="35"/>
      <c r="BK19" s="35"/>
      <c r="BL19" s="42"/>
      <c r="BM19" s="36"/>
      <c r="BN19" s="34"/>
      <c r="BO19" s="35"/>
      <c r="BP19" s="35"/>
      <c r="BQ19" s="35"/>
      <c r="BR19" s="42"/>
      <c r="BS19" s="36"/>
      <c r="BT19" s="34"/>
      <c r="BU19" s="35"/>
      <c r="BV19" s="35"/>
      <c r="BW19" s="35"/>
      <c r="BX19" s="42"/>
      <c r="BY19" s="36"/>
      <c r="BZ19" s="34"/>
      <c r="CA19" s="35"/>
      <c r="CB19" s="35"/>
      <c r="CC19" s="35"/>
      <c r="CD19" s="42"/>
      <c r="CE19" s="36"/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6586.7</v>
      </c>
      <c r="D20">
        <v>74751.600000000006</v>
      </c>
      <c r="E20">
        <v>4222</v>
      </c>
      <c r="F20">
        <f t="shared" si="60"/>
        <v>7.4751600000000007</v>
      </c>
      <c r="G20">
        <f t="shared" si="61"/>
        <v>0.65866999999999998</v>
      </c>
      <c r="H20">
        <f t="shared" si="62"/>
        <v>6.8164900000000008</v>
      </c>
      <c r="I20">
        <f t="shared" ref="I20:I29" si="64">E20/10000</f>
        <v>0.42220000000000002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0.5860638593661821</v>
      </c>
      <c r="P20" s="4">
        <v>3</v>
      </c>
      <c r="Q20" s="5">
        <f t="shared" ref="Q20:R29" si="67">H20</f>
        <v>6.8164900000000008</v>
      </c>
      <c r="R20" s="5">
        <f t="shared" si="67"/>
        <v>0.42220000000000002</v>
      </c>
      <c r="S20" s="5">
        <f t="shared" ref="S20:S29" si="68">Q20/10^6*$Z$4*$Z$3/P20*10^12</f>
        <v>7.5731203900000015</v>
      </c>
      <c r="T20" s="5">
        <f t="shared" ref="T20:T29" si="69">S20*0.06</f>
        <v>0.4543872234000001</v>
      </c>
      <c r="U20" s="5">
        <f t="shared" ref="U20:U29" si="70">S20/$Z$1</f>
        <v>1.0374137520547948</v>
      </c>
      <c r="V20" s="5">
        <f t="shared" si="63"/>
        <v>0.5860638593661821</v>
      </c>
      <c r="W20" s="19"/>
      <c r="X20" s="59">
        <f t="shared" si="12"/>
        <v>0.16612842792050866</v>
      </c>
      <c r="Y20" s="35">
        <f t="shared" si="13"/>
        <v>3.3841448850000004</v>
      </c>
      <c r="Z20" s="35">
        <f t="shared" si="13"/>
        <v>0.20304869310000001</v>
      </c>
      <c r="AA20" s="35">
        <f t="shared" si="13"/>
        <v>0.46358149109589047</v>
      </c>
      <c r="AB20" s="42">
        <f t="shared" si="37"/>
        <v>0.14349063618769975</v>
      </c>
      <c r="AC20" s="36">
        <f t="shared" si="14"/>
        <v>0.58277000000000001</v>
      </c>
      <c r="AD20" s="34">
        <f t="shared" si="15"/>
        <v>0.11075228528033912</v>
      </c>
      <c r="AE20" s="35">
        <f t="shared" si="16"/>
        <v>0.62257107000000012</v>
      </c>
      <c r="AF20" s="35">
        <f t="shared" si="16"/>
        <v>3.7354264200000008E-2</v>
      </c>
      <c r="AG20" s="35">
        <f t="shared" si="16"/>
        <v>8.5283708219178106E-2</v>
      </c>
      <c r="AH20" s="42">
        <f t="shared" si="38"/>
        <v>0.80613255527597838</v>
      </c>
      <c r="AI20" s="36">
        <f t="shared" si="39"/>
        <v>0.60231000000000001</v>
      </c>
      <c r="AJ20" s="34"/>
      <c r="AK20" s="35"/>
      <c r="AL20" s="35"/>
      <c r="AM20" s="35"/>
      <c r="AN20" s="42"/>
      <c r="AO20" s="36"/>
      <c r="AP20" s="34"/>
      <c r="AQ20" s="35"/>
      <c r="AR20" s="35"/>
      <c r="AS20" s="35"/>
      <c r="AT20" s="42"/>
      <c r="AU20" s="36"/>
      <c r="AV20" s="34"/>
      <c r="AW20" s="35"/>
      <c r="AX20" s="35"/>
      <c r="AY20" s="35"/>
      <c r="AZ20" s="42"/>
      <c r="BA20" s="36"/>
      <c r="BB20" s="34"/>
      <c r="BC20" s="35"/>
      <c r="BD20" s="35"/>
      <c r="BE20" s="35"/>
      <c r="BF20" s="42"/>
      <c r="BG20" s="36"/>
      <c r="BH20" s="34"/>
      <c r="BI20" s="35"/>
      <c r="BJ20" s="35"/>
      <c r="BK20" s="35"/>
      <c r="BL20" s="42"/>
      <c r="BM20" s="36"/>
      <c r="BN20" s="34"/>
      <c r="BO20" s="35"/>
      <c r="BP20" s="35"/>
      <c r="BQ20" s="35"/>
      <c r="BR20" s="42"/>
      <c r="BS20" s="36"/>
      <c r="BT20" s="34"/>
      <c r="BU20" s="35"/>
      <c r="BV20" s="35"/>
      <c r="BW20" s="35"/>
      <c r="BX20" s="42"/>
      <c r="BY20" s="36"/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12700</v>
      </c>
      <c r="D21">
        <v>83544</v>
      </c>
      <c r="E21">
        <v>3663</v>
      </c>
      <c r="F21">
        <f t="shared" si="60"/>
        <v>8.3544</v>
      </c>
      <c r="G21">
        <f t="shared" si="61"/>
        <v>1.27</v>
      </c>
      <c r="H21">
        <f t="shared" si="62"/>
        <v>7.0844000000000005</v>
      </c>
      <c r="I21">
        <f t="shared" si="64"/>
        <v>0.36630000000000001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0.5055936091382337</v>
      </c>
      <c r="P21" s="4">
        <v>3</v>
      </c>
      <c r="Q21" s="5">
        <f t="shared" si="67"/>
        <v>7.0844000000000005</v>
      </c>
      <c r="R21" s="5">
        <f t="shared" si="67"/>
        <v>0.36630000000000001</v>
      </c>
      <c r="S21" s="5">
        <f t="shared" si="68"/>
        <v>7.8707684000000002</v>
      </c>
      <c r="T21" s="5">
        <f t="shared" si="69"/>
        <v>0.472246104</v>
      </c>
      <c r="U21" s="5">
        <f t="shared" si="70"/>
        <v>1.0781874520547945</v>
      </c>
      <c r="V21" s="5">
        <f t="shared" si="63"/>
        <v>0.5055936091382337</v>
      </c>
      <c r="W21" s="19"/>
      <c r="X21" s="59">
        <f t="shared" si="12"/>
        <v>0.13931788796440595</v>
      </c>
      <c r="Y21" s="35">
        <f t="shared" si="13"/>
        <v>0.99659366400000038</v>
      </c>
      <c r="Z21" s="35">
        <f t="shared" si="13"/>
        <v>5.9795619840000022E-2</v>
      </c>
      <c r="AA21" s="35">
        <f t="shared" si="13"/>
        <v>0.13651968000000006</v>
      </c>
      <c r="AB21" s="42">
        <f t="shared" si="37"/>
        <v>0.5748608732876711</v>
      </c>
      <c r="AC21" s="36">
        <f t="shared" si="14"/>
        <v>0.85943999999999998</v>
      </c>
      <c r="AD21" s="34"/>
      <c r="AE21" s="35"/>
      <c r="AF21" s="35"/>
      <c r="AG21" s="35"/>
      <c r="AH21" s="42"/>
      <c r="AI21" s="36"/>
      <c r="AJ21" s="34"/>
      <c r="AK21" s="35"/>
      <c r="AL21" s="35"/>
      <c r="AM21" s="35"/>
      <c r="AN21" s="42"/>
      <c r="AO21" s="36"/>
      <c r="AP21" s="34"/>
      <c r="AQ21" s="35"/>
      <c r="AR21" s="35"/>
      <c r="AS21" s="35"/>
      <c r="AT21" s="42"/>
      <c r="AU21" s="36"/>
      <c r="AV21" s="34"/>
      <c r="AW21" s="35"/>
      <c r="AX21" s="35"/>
      <c r="AY21" s="35"/>
      <c r="AZ21" s="42"/>
      <c r="BA21" s="36"/>
      <c r="BB21" s="34"/>
      <c r="BC21" s="35"/>
      <c r="BD21" s="35"/>
      <c r="BE21" s="35"/>
      <c r="BF21" s="42"/>
      <c r="BG21" s="36"/>
      <c r="BH21" s="34"/>
      <c r="BI21" s="35"/>
      <c r="BJ21" s="35"/>
      <c r="BK21" s="35"/>
      <c r="BL21" s="42"/>
      <c r="BM21" s="36"/>
      <c r="BN21" s="34"/>
      <c r="BO21" s="35"/>
      <c r="BP21" s="35"/>
      <c r="BQ21" s="35"/>
      <c r="BR21" s="42"/>
      <c r="BS21" s="36"/>
      <c r="BT21" s="34"/>
      <c r="BU21" s="35"/>
      <c r="BV21" s="35"/>
      <c r="BW21" s="35"/>
      <c r="BX21" s="42"/>
      <c r="BY21" s="36"/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17433.400000000001</v>
      </c>
      <c r="D22">
        <v>59391.9</v>
      </c>
      <c r="E22">
        <v>810.6</v>
      </c>
      <c r="F22">
        <f t="shared" si="60"/>
        <v>5.93919</v>
      </c>
      <c r="G22">
        <f t="shared" si="61"/>
        <v>1.7433400000000001</v>
      </c>
      <c r="H22">
        <f t="shared" si="62"/>
        <v>4.1958500000000001</v>
      </c>
      <c r="I22">
        <f t="shared" si="64"/>
        <v>8.1060000000000007E-2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0.30622576672967589</v>
      </c>
      <c r="P22" s="4">
        <v>3</v>
      </c>
      <c r="Q22" s="5">
        <f t="shared" si="67"/>
        <v>4.1958500000000001</v>
      </c>
      <c r="R22" s="5">
        <f t="shared" si="67"/>
        <v>8.1060000000000007E-2</v>
      </c>
      <c r="S22" s="5">
        <f t="shared" si="68"/>
        <v>4.6615893500000007</v>
      </c>
      <c r="T22" s="5">
        <f t="shared" si="69"/>
        <v>0.27969536100000003</v>
      </c>
      <c r="U22" s="5">
        <f t="shared" si="70"/>
        <v>0.63857388356164391</v>
      </c>
      <c r="V22" s="5">
        <f t="shared" si="63"/>
        <v>0.30622576672967589</v>
      </c>
      <c r="W22" s="19"/>
      <c r="X22" s="34"/>
      <c r="Y22" s="35"/>
      <c r="Z22" s="35"/>
      <c r="AA22" s="35"/>
      <c r="AB22" s="42"/>
      <c r="AC22" s="36"/>
      <c r="AD22" s="34"/>
      <c r="AE22" s="35"/>
      <c r="AF22" s="35"/>
      <c r="AG22" s="35"/>
      <c r="AH22" s="42"/>
      <c r="AI22" s="36"/>
      <c r="AJ22" s="34"/>
      <c r="AK22" s="35"/>
      <c r="AL22" s="35"/>
      <c r="AM22" s="35"/>
      <c r="AN22" s="42"/>
      <c r="AO22" s="36"/>
      <c r="AP22" s="34"/>
      <c r="AQ22" s="35"/>
      <c r="AR22" s="35"/>
      <c r="AS22" s="35"/>
      <c r="AT22" s="42"/>
      <c r="AU22" s="36"/>
      <c r="AV22" s="34"/>
      <c r="AW22" s="35"/>
      <c r="AX22" s="35"/>
      <c r="AY22" s="35"/>
      <c r="AZ22" s="42"/>
      <c r="BA22" s="36"/>
      <c r="BB22" s="34"/>
      <c r="BC22" s="35"/>
      <c r="BD22" s="35"/>
      <c r="BE22" s="35"/>
      <c r="BF22" s="42"/>
      <c r="BG22" s="36"/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17981.5</v>
      </c>
      <c r="D23">
        <v>56907.1</v>
      </c>
      <c r="E23">
        <v>873.5</v>
      </c>
      <c r="F23">
        <f t="shared" si="60"/>
        <v>5.6907100000000002</v>
      </c>
      <c r="G23">
        <f t="shared" si="61"/>
        <v>1.7981499999999999</v>
      </c>
      <c r="H23">
        <f t="shared" si="62"/>
        <v>3.8925600000000005</v>
      </c>
      <c r="I23">
        <f t="shared" si="64"/>
        <v>8.7349999999999997E-2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0.22132876005471772</v>
      </c>
      <c r="P23" s="4">
        <v>3</v>
      </c>
      <c r="Q23" s="5">
        <f t="shared" si="67"/>
        <v>3.8925600000000005</v>
      </c>
      <c r="R23" s="5">
        <f t="shared" si="67"/>
        <v>8.7349999999999997E-2</v>
      </c>
      <c r="S23" s="5">
        <f t="shared" si="68"/>
        <v>4.3246341600000013</v>
      </c>
      <c r="T23" s="5">
        <f t="shared" si="69"/>
        <v>0.25947804960000009</v>
      </c>
      <c r="U23" s="5">
        <f t="shared" si="70"/>
        <v>0.59241563835616462</v>
      </c>
      <c r="V23" s="5">
        <f t="shared" si="63"/>
        <v>0.22132876005471772</v>
      </c>
      <c r="W23" s="19"/>
      <c r="X23" s="34"/>
      <c r="Y23" s="35"/>
      <c r="Z23" s="35"/>
      <c r="AA23" s="35"/>
      <c r="AB23" s="42"/>
      <c r="AC23" s="36"/>
      <c r="AD23" s="34"/>
      <c r="AE23" s="35"/>
      <c r="AF23" s="35"/>
      <c r="AG23" s="35"/>
      <c r="AH23" s="42"/>
      <c r="AI23" s="36"/>
      <c r="AJ23" s="34"/>
      <c r="AK23" s="35"/>
      <c r="AL23" s="35"/>
      <c r="AM23" s="35"/>
      <c r="AN23" s="42"/>
      <c r="AO23" s="36"/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13842.4</v>
      </c>
      <c r="D24">
        <v>64568.800000000003</v>
      </c>
      <c r="E24">
        <v>994.2</v>
      </c>
      <c r="F24">
        <f t="shared" si="60"/>
        <v>6.45688</v>
      </c>
      <c r="G24">
        <f t="shared" si="61"/>
        <v>1.3842399999999999</v>
      </c>
      <c r="H24">
        <f t="shared" si="62"/>
        <v>5.0726399999999998</v>
      </c>
      <c r="I24">
        <f t="shared" si="64"/>
        <v>9.9420000000000008E-2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0.15320212173991887</v>
      </c>
      <c r="P24" s="4">
        <v>4</v>
      </c>
      <c r="Q24" s="5">
        <f t="shared" si="67"/>
        <v>5.0726399999999998</v>
      </c>
      <c r="R24" s="5">
        <f t="shared" si="67"/>
        <v>9.9420000000000008E-2</v>
      </c>
      <c r="S24" s="5">
        <f t="shared" si="68"/>
        <v>4.2267772800000003</v>
      </c>
      <c r="T24" s="5">
        <f t="shared" si="69"/>
        <v>0.25360663680000001</v>
      </c>
      <c r="U24" s="5">
        <f t="shared" si="70"/>
        <v>0.57901058630136992</v>
      </c>
      <c r="V24" s="5">
        <f t="shared" si="63"/>
        <v>0.15320212173991887</v>
      </c>
      <c r="W24" s="19"/>
      <c r="X24" s="37"/>
      <c r="Y24" s="38"/>
      <c r="Z24" s="38"/>
      <c r="AA24" s="38"/>
      <c r="AB24" s="43"/>
      <c r="AC24" s="39"/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9339.1</v>
      </c>
      <c r="D25">
        <v>16810.7</v>
      </c>
      <c r="E25">
        <v>6023.1</v>
      </c>
      <c r="F25">
        <f t="shared" si="60"/>
        <v>1.6810700000000001</v>
      </c>
      <c r="G25">
        <f t="shared" si="61"/>
        <v>0.93391000000000002</v>
      </c>
      <c r="H25">
        <f t="shared" si="62"/>
        <v>0.74716000000000005</v>
      </c>
      <c r="I25">
        <f t="shared" si="64"/>
        <v>0.60231000000000001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0.11075228528033912</v>
      </c>
      <c r="P25" s="4">
        <v>4</v>
      </c>
      <c r="Q25" s="5">
        <f t="shared" si="67"/>
        <v>0.74716000000000005</v>
      </c>
      <c r="R25" s="5">
        <f t="shared" si="67"/>
        <v>0.60231000000000001</v>
      </c>
      <c r="S25" s="5">
        <f t="shared" si="68"/>
        <v>0.62257107000000012</v>
      </c>
      <c r="T25" s="5">
        <f t="shared" si="69"/>
        <v>3.7354264200000008E-2</v>
      </c>
      <c r="U25" s="5">
        <f t="shared" si="70"/>
        <v>8.5283708219178106E-2</v>
      </c>
      <c r="V25" s="5">
        <f t="shared" si="63"/>
        <v>0.11075228528033912</v>
      </c>
      <c r="W25" s="19"/>
      <c r="X25" s="20"/>
      <c r="Y25" s="21"/>
      <c r="Z25" s="18"/>
    </row>
    <row r="26" spans="2:95" x14ac:dyDescent="0.3">
      <c r="B26">
        <v>8</v>
      </c>
      <c r="C26">
        <v>0</v>
      </c>
      <c r="D26">
        <v>0</v>
      </c>
      <c r="E26">
        <v>0</v>
      </c>
      <c r="F26">
        <f t="shared" si="60"/>
        <v>0</v>
      </c>
      <c r="G26">
        <f t="shared" si="61"/>
        <v>0</v>
      </c>
      <c r="H26">
        <f t="shared" si="62"/>
        <v>0</v>
      </c>
      <c r="I26">
        <f t="shared" si="64"/>
        <v>0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9.287859197627063E-2</v>
      </c>
      <c r="P26" s="4">
        <v>5</v>
      </c>
      <c r="Q26" s="5">
        <f t="shared" si="67"/>
        <v>0</v>
      </c>
      <c r="R26" s="5">
        <f t="shared" si="67"/>
        <v>0</v>
      </c>
      <c r="S26" s="5">
        <f t="shared" si="68"/>
        <v>0</v>
      </c>
      <c r="T26" s="5">
        <f t="shared" si="69"/>
        <v>0</v>
      </c>
      <c r="U26" s="5">
        <f t="shared" si="70"/>
        <v>0</v>
      </c>
      <c r="V26" s="5">
        <f t="shared" si="63"/>
        <v>9.287859197627063E-2</v>
      </c>
      <c r="W26" s="19"/>
      <c r="X26" s="20"/>
      <c r="Y26" s="21"/>
      <c r="Z26" s="18"/>
    </row>
    <row r="27" spans="2:95" x14ac:dyDescent="0.3">
      <c r="B27">
        <v>9</v>
      </c>
      <c r="C27">
        <v>0</v>
      </c>
      <c r="D27">
        <v>0</v>
      </c>
      <c r="E27">
        <v>0</v>
      </c>
      <c r="F27">
        <f t="shared" si="60"/>
        <v>0</v>
      </c>
      <c r="G27">
        <f t="shared" si="61"/>
        <v>0</v>
      </c>
      <c r="H27">
        <f t="shared" si="62"/>
        <v>0</v>
      </c>
      <c r="I27">
        <f t="shared" si="64"/>
        <v>0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7.4853540808623192E-2</v>
      </c>
      <c r="P27" s="4">
        <v>8</v>
      </c>
      <c r="Q27" s="5">
        <f t="shared" si="67"/>
        <v>0</v>
      </c>
      <c r="R27" s="5">
        <f t="shared" si="67"/>
        <v>0</v>
      </c>
      <c r="S27" s="5">
        <f t="shared" si="68"/>
        <v>0</v>
      </c>
      <c r="T27" s="5">
        <f t="shared" si="69"/>
        <v>0</v>
      </c>
      <c r="U27" s="5">
        <f t="shared" si="70"/>
        <v>0</v>
      </c>
      <c r="V27" s="5">
        <f t="shared" si="63"/>
        <v>7.4853540808623192E-2</v>
      </c>
      <c r="W27" s="19"/>
      <c r="X27" s="20"/>
      <c r="Y27" s="21"/>
      <c r="Z27" s="17"/>
    </row>
    <row r="28" spans="2:95" x14ac:dyDescent="0.3">
      <c r="B28">
        <v>10</v>
      </c>
      <c r="C28">
        <v>0</v>
      </c>
      <c r="D28">
        <v>0</v>
      </c>
      <c r="E28">
        <v>0</v>
      </c>
      <c r="F28">
        <f t="shared" si="60"/>
        <v>0</v>
      </c>
      <c r="G28">
        <f t="shared" si="61"/>
        <v>0</v>
      </c>
      <c r="H28">
        <f t="shared" si="62"/>
        <v>0</v>
      </c>
      <c r="I28">
        <f t="shared" si="64"/>
        <v>0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5.3603991170920309E-2</v>
      </c>
      <c r="P28" s="4">
        <v>14</v>
      </c>
      <c r="Q28" s="5">
        <f t="shared" si="67"/>
        <v>0</v>
      </c>
      <c r="R28" s="5">
        <f t="shared" si="67"/>
        <v>0</v>
      </c>
      <c r="S28" s="5">
        <f t="shared" si="68"/>
        <v>0</v>
      </c>
      <c r="T28" s="5">
        <f t="shared" si="69"/>
        <v>0</v>
      </c>
      <c r="U28" s="5">
        <f t="shared" si="70"/>
        <v>0</v>
      </c>
      <c r="V28" s="5">
        <f t="shared" si="63"/>
        <v>5.3603991170920309E-2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3.456803569453535E-2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3.456803569453535E-2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82</v>
      </c>
      <c r="D33">
        <v>51014.1</v>
      </c>
      <c r="E33">
        <v>4067.9</v>
      </c>
      <c r="F33">
        <f t="shared" ref="F33:F43" si="72">D33/10000</f>
        <v>5.1014099999999996</v>
      </c>
      <c r="G33">
        <f t="shared" ref="G33:G43" si="73">C33/10000</f>
        <v>8.2000000000000007E-3</v>
      </c>
      <c r="H33">
        <f t="shared" ref="H33:H43" si="74">F33-G33</f>
        <v>5.0932099999999991</v>
      </c>
      <c r="I33">
        <f>E33/10000</f>
        <v>0.40678999999999998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0.49552300635014157</v>
      </c>
      <c r="P33" s="2">
        <v>3</v>
      </c>
      <c r="Q33" s="8">
        <f>H33</f>
        <v>5.0932099999999991</v>
      </c>
      <c r="R33" s="8">
        <f>I33</f>
        <v>0.40678999999999998</v>
      </c>
      <c r="S33" s="8">
        <f>Q33/10^6*$Z$4*$Z$3/P33*10^12</f>
        <v>5.6585563099999989</v>
      </c>
      <c r="T33" s="8">
        <f>S33*0.06</f>
        <v>0.33951337859999992</v>
      </c>
      <c r="U33" s="8">
        <f>S33/$Z$1</f>
        <v>0.77514469999999991</v>
      </c>
      <c r="V33" s="12">
        <f t="shared" ref="V33:V43" si="75">O33</f>
        <v>0.49552300635014157</v>
      </c>
    </row>
    <row r="34" spans="2:22" x14ac:dyDescent="0.3">
      <c r="B34">
        <v>2</v>
      </c>
      <c r="C34">
        <v>3943.9</v>
      </c>
      <c r="D34">
        <v>58657.8</v>
      </c>
      <c r="E34">
        <v>3627</v>
      </c>
      <c r="F34">
        <f t="shared" si="72"/>
        <v>5.86578</v>
      </c>
      <c r="G34">
        <f t="shared" si="73"/>
        <v>0.39439000000000002</v>
      </c>
      <c r="H34">
        <f t="shared" si="74"/>
        <v>5.4713899999999995</v>
      </c>
      <c r="I34">
        <f t="shared" ref="I34:I43" si="76">E34/10000</f>
        <v>0.36270000000000002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0.43954789452463655</v>
      </c>
      <c r="P34" s="4">
        <v>3</v>
      </c>
      <c r="Q34" s="5">
        <f t="shared" ref="Q34:R43" si="79">H34</f>
        <v>5.4713899999999995</v>
      </c>
      <c r="R34" s="5">
        <f t="shared" si="79"/>
        <v>0.36270000000000002</v>
      </c>
      <c r="S34" s="5">
        <f t="shared" ref="S34:S43" si="80">Q34/10^6*$Z$4*$Z$3/P34*10^12</f>
        <v>6.0787142899999989</v>
      </c>
      <c r="T34" s="5">
        <f t="shared" ref="T34:T43" si="81">S34*0.06</f>
        <v>0.36472285739999993</v>
      </c>
      <c r="U34" s="5">
        <f t="shared" ref="U34:U43" si="82">S34/$Z$1</f>
        <v>0.83270058767123278</v>
      </c>
      <c r="V34" s="5">
        <f t="shared" si="75"/>
        <v>0.43954789452463655</v>
      </c>
    </row>
    <row r="35" spans="2:22" x14ac:dyDescent="0.3">
      <c r="B35">
        <v>3</v>
      </c>
      <c r="C35">
        <v>9355.1</v>
      </c>
      <c r="D35">
        <v>60341.9</v>
      </c>
      <c r="E35">
        <v>4450.1000000000004</v>
      </c>
      <c r="F35">
        <f t="shared" si="72"/>
        <v>6.0341899999999997</v>
      </c>
      <c r="G35">
        <f t="shared" si="73"/>
        <v>0.93551000000000006</v>
      </c>
      <c r="H35">
        <f t="shared" si="74"/>
        <v>5.0986799999999999</v>
      </c>
      <c r="I35">
        <f t="shared" si="76"/>
        <v>0.44501000000000002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0.3791952068536753</v>
      </c>
      <c r="P35" s="4">
        <v>3</v>
      </c>
      <c r="Q35" s="5">
        <f t="shared" si="79"/>
        <v>5.0986799999999999</v>
      </c>
      <c r="R35" s="5">
        <f t="shared" si="79"/>
        <v>0.44501000000000002</v>
      </c>
      <c r="S35" s="5">
        <f t="shared" si="80"/>
        <v>5.66463348</v>
      </c>
      <c r="T35" s="5">
        <f t="shared" si="81"/>
        <v>0.33987800879999996</v>
      </c>
      <c r="U35" s="5">
        <f t="shared" si="82"/>
        <v>0.77597718904109592</v>
      </c>
      <c r="V35" s="5">
        <f t="shared" si="75"/>
        <v>0.3791952068536753</v>
      </c>
    </row>
    <row r="36" spans="2:22" x14ac:dyDescent="0.3">
      <c r="B36">
        <v>4</v>
      </c>
      <c r="C36">
        <v>12517.2</v>
      </c>
      <c r="D36">
        <v>45023.7</v>
      </c>
      <c r="E36">
        <v>766</v>
      </c>
      <c r="F36">
        <f t="shared" si="72"/>
        <v>4.50237</v>
      </c>
      <c r="G36">
        <f t="shared" si="73"/>
        <v>1.2517200000000002</v>
      </c>
      <c r="H36">
        <f t="shared" si="74"/>
        <v>3.2506499999999998</v>
      </c>
      <c r="I36">
        <f t="shared" si="76"/>
        <v>7.6600000000000001E-2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0.22966932504725693</v>
      </c>
      <c r="P36" s="4">
        <v>3</v>
      </c>
      <c r="Q36" s="5">
        <f t="shared" si="79"/>
        <v>3.2506499999999998</v>
      </c>
      <c r="R36" s="5">
        <f t="shared" si="79"/>
        <v>7.6600000000000001E-2</v>
      </c>
      <c r="S36" s="5">
        <f t="shared" si="80"/>
        <v>3.61147215</v>
      </c>
      <c r="T36" s="5">
        <f t="shared" si="81"/>
        <v>0.21668832899999999</v>
      </c>
      <c r="U36" s="5">
        <f t="shared" si="82"/>
        <v>0.49472221232876712</v>
      </c>
      <c r="V36" s="5">
        <f t="shared" si="75"/>
        <v>0.22966932504725693</v>
      </c>
    </row>
    <row r="37" spans="2:22" x14ac:dyDescent="0.3">
      <c r="B37">
        <v>5</v>
      </c>
      <c r="C37">
        <v>10755.7</v>
      </c>
      <c r="D37">
        <v>36985.1</v>
      </c>
      <c r="E37">
        <v>635.1</v>
      </c>
      <c r="F37">
        <f t="shared" si="72"/>
        <v>3.6985099999999997</v>
      </c>
      <c r="G37">
        <f t="shared" si="73"/>
        <v>1.0755700000000001</v>
      </c>
      <c r="H37">
        <f t="shared" si="74"/>
        <v>2.6229399999999998</v>
      </c>
      <c r="I37">
        <f t="shared" si="76"/>
        <v>6.3509999999999997E-2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0.16599657004103827</v>
      </c>
      <c r="P37" s="4">
        <v>3</v>
      </c>
      <c r="Q37" s="5">
        <f t="shared" si="79"/>
        <v>2.6229399999999998</v>
      </c>
      <c r="R37" s="5">
        <f t="shared" si="79"/>
        <v>6.3509999999999997E-2</v>
      </c>
      <c r="S37" s="5">
        <f t="shared" si="80"/>
        <v>2.9140863399999999</v>
      </c>
      <c r="T37" s="5">
        <f t="shared" si="81"/>
        <v>0.17484518039999999</v>
      </c>
      <c r="U37" s="5">
        <f t="shared" si="82"/>
        <v>0.3991899095890411</v>
      </c>
      <c r="V37" s="5">
        <f t="shared" si="75"/>
        <v>0.16599657004103827</v>
      </c>
    </row>
    <row r="38" spans="2:22" x14ac:dyDescent="0.3">
      <c r="B38">
        <v>6</v>
      </c>
      <c r="C38">
        <v>4497.7</v>
      </c>
      <c r="D38">
        <v>40206.9</v>
      </c>
      <c r="E38">
        <v>3028.7</v>
      </c>
      <c r="F38">
        <f t="shared" si="72"/>
        <v>4.0206900000000001</v>
      </c>
      <c r="G38">
        <f t="shared" si="73"/>
        <v>0.44977</v>
      </c>
      <c r="H38">
        <f t="shared" si="74"/>
        <v>3.5709200000000001</v>
      </c>
      <c r="I38">
        <f t="shared" si="76"/>
        <v>0.30286999999999997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0.11490159130493915</v>
      </c>
      <c r="P38" s="4">
        <v>4</v>
      </c>
      <c r="Q38" s="5">
        <f t="shared" si="79"/>
        <v>3.5709200000000001</v>
      </c>
      <c r="R38" s="5">
        <f t="shared" si="79"/>
        <v>0.30286999999999997</v>
      </c>
      <c r="S38" s="5">
        <f t="shared" si="80"/>
        <v>2.9754690900000003</v>
      </c>
      <c r="T38" s="5">
        <f t="shared" si="81"/>
        <v>0.1785281454</v>
      </c>
      <c r="U38" s="5">
        <f t="shared" si="82"/>
        <v>0.40759850547945209</v>
      </c>
      <c r="V38" s="5">
        <f t="shared" si="75"/>
        <v>0.11490159130493915</v>
      </c>
    </row>
    <row r="39" spans="2:22" x14ac:dyDescent="0.3">
      <c r="B39">
        <v>7</v>
      </c>
      <c r="C39">
        <v>0</v>
      </c>
      <c r="D39">
        <v>0</v>
      </c>
      <c r="E39">
        <v>0</v>
      </c>
      <c r="F39">
        <f t="shared" si="72"/>
        <v>0</v>
      </c>
      <c r="G39">
        <f t="shared" si="73"/>
        <v>0</v>
      </c>
      <c r="H39">
        <f t="shared" si="74"/>
        <v>0</v>
      </c>
      <c r="I39">
        <f t="shared" si="76"/>
        <v>0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8.3064213960254332E-2</v>
      </c>
      <c r="P39" s="4">
        <v>4</v>
      </c>
      <c r="Q39" s="5">
        <f t="shared" si="79"/>
        <v>0</v>
      </c>
      <c r="R39" s="5">
        <f t="shared" si="79"/>
        <v>0</v>
      </c>
      <c r="S39" s="5">
        <f t="shared" si="80"/>
        <v>0</v>
      </c>
      <c r="T39" s="5">
        <f t="shared" si="81"/>
        <v>0</v>
      </c>
      <c r="U39" s="5">
        <f t="shared" si="82"/>
        <v>0</v>
      </c>
      <c r="V39" s="5">
        <f t="shared" si="75"/>
        <v>8.3064213960254332E-2</v>
      </c>
    </row>
    <row r="40" spans="2:22" x14ac:dyDescent="0.3">
      <c r="B40">
        <v>8</v>
      </c>
      <c r="C40">
        <v>0</v>
      </c>
      <c r="D40">
        <v>0</v>
      </c>
      <c r="E40">
        <v>0</v>
      </c>
      <c r="F40">
        <f t="shared" si="72"/>
        <v>0</v>
      </c>
      <c r="G40">
        <f t="shared" si="73"/>
        <v>0</v>
      </c>
      <c r="H40">
        <f t="shared" si="74"/>
        <v>0</v>
      </c>
      <c r="I40">
        <f t="shared" si="76"/>
        <v>0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6.9658943982202973E-2</v>
      </c>
      <c r="P40" s="4">
        <v>5</v>
      </c>
      <c r="Q40" s="5">
        <f t="shared" si="79"/>
        <v>0</v>
      </c>
      <c r="R40" s="5">
        <f t="shared" si="79"/>
        <v>0</v>
      </c>
      <c r="S40" s="5">
        <f t="shared" si="80"/>
        <v>0</v>
      </c>
      <c r="T40" s="5">
        <f t="shared" si="81"/>
        <v>0</v>
      </c>
      <c r="U40" s="5">
        <f t="shared" si="82"/>
        <v>0</v>
      </c>
      <c r="V40" s="5">
        <f t="shared" si="75"/>
        <v>6.9658943982202973E-2</v>
      </c>
    </row>
    <row r="41" spans="2:22" x14ac:dyDescent="0.3">
      <c r="B41">
        <v>9</v>
      </c>
      <c r="C41">
        <v>0</v>
      </c>
      <c r="D41">
        <v>0</v>
      </c>
      <c r="E41">
        <v>0</v>
      </c>
      <c r="F41">
        <f t="shared" si="72"/>
        <v>0</v>
      </c>
      <c r="G41">
        <f t="shared" si="73"/>
        <v>0</v>
      </c>
      <c r="H41">
        <f t="shared" si="74"/>
        <v>0</v>
      </c>
      <c r="I41">
        <f t="shared" si="76"/>
        <v>0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5.6140155606467401E-2</v>
      </c>
      <c r="P41" s="4">
        <v>8</v>
      </c>
      <c r="Q41" s="5">
        <f t="shared" si="79"/>
        <v>0</v>
      </c>
      <c r="R41" s="5">
        <f t="shared" si="79"/>
        <v>0</v>
      </c>
      <c r="S41" s="5">
        <f t="shared" si="80"/>
        <v>0</v>
      </c>
      <c r="T41" s="5">
        <f t="shared" si="81"/>
        <v>0</v>
      </c>
      <c r="U41" s="5">
        <f t="shared" si="82"/>
        <v>0</v>
      </c>
      <c r="V41" s="5">
        <f t="shared" si="75"/>
        <v>5.6140155606467401E-2</v>
      </c>
    </row>
    <row r="42" spans="2:22" x14ac:dyDescent="0.3">
      <c r="B42">
        <v>10</v>
      </c>
      <c r="C42">
        <v>0</v>
      </c>
      <c r="D42">
        <v>0</v>
      </c>
      <c r="E42">
        <v>0</v>
      </c>
      <c r="F42">
        <f t="shared" si="72"/>
        <v>0</v>
      </c>
      <c r="G42">
        <f t="shared" si="73"/>
        <v>0</v>
      </c>
      <c r="H42">
        <f t="shared" si="74"/>
        <v>0</v>
      </c>
      <c r="I42">
        <f t="shared" si="76"/>
        <v>0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4.0202993378190235E-2</v>
      </c>
      <c r="P42" s="4">
        <v>14</v>
      </c>
      <c r="Q42" s="5">
        <f t="shared" si="79"/>
        <v>0</v>
      </c>
      <c r="R42" s="5">
        <f t="shared" si="79"/>
        <v>0</v>
      </c>
      <c r="S42" s="5">
        <f t="shared" si="80"/>
        <v>0</v>
      </c>
      <c r="T42" s="5">
        <f t="shared" si="81"/>
        <v>0</v>
      </c>
      <c r="U42" s="5">
        <f t="shared" si="82"/>
        <v>0</v>
      </c>
      <c r="V42" s="5">
        <f t="shared" si="75"/>
        <v>4.0202993378190235E-2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2.5926026770901511E-2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2.5926026770901511E-2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698.2</v>
      </c>
      <c r="D47">
        <v>47406.8</v>
      </c>
      <c r="E47">
        <v>4254.2</v>
      </c>
      <c r="F47">
        <f t="shared" ref="F47:F57" si="84">D47/10000</f>
        <v>4.7406800000000002</v>
      </c>
      <c r="G47">
        <f t="shared" ref="G47:G57" si="85">C47/10000</f>
        <v>6.9820000000000007E-2</v>
      </c>
      <c r="H47">
        <f t="shared" ref="H47:H57" si="86">F47-G47</f>
        <v>4.6708600000000002</v>
      </c>
      <c r="I47">
        <f>E47/10000</f>
        <v>0.42541999999999996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0.39641840508011328</v>
      </c>
      <c r="P47" s="2">
        <v>3</v>
      </c>
      <c r="Q47" s="8">
        <f>H47</f>
        <v>4.6708600000000002</v>
      </c>
      <c r="R47" s="8">
        <f>I47</f>
        <v>0.42541999999999996</v>
      </c>
      <c r="S47" s="8">
        <f>Q47/10^6*$Z$4*$Z$3/P47*10^12</f>
        <v>5.1893254600000001</v>
      </c>
      <c r="T47" s="8">
        <f>S47*0.06</f>
        <v>0.31135952760000002</v>
      </c>
      <c r="U47" s="8">
        <f>S47/$Z$1</f>
        <v>0.71086650136986307</v>
      </c>
      <c r="V47" s="12">
        <f t="shared" ref="V47:V57" si="87">O47</f>
        <v>0.39641840508011328</v>
      </c>
    </row>
    <row r="48" spans="2:22" x14ac:dyDescent="0.3">
      <c r="B48">
        <v>2</v>
      </c>
      <c r="C48">
        <v>6715.7</v>
      </c>
      <c r="D48">
        <v>54596.6</v>
      </c>
      <c r="E48">
        <v>3625.3</v>
      </c>
      <c r="F48">
        <f t="shared" si="84"/>
        <v>5.4596599999999995</v>
      </c>
      <c r="G48">
        <f t="shared" si="85"/>
        <v>0.67157</v>
      </c>
      <c r="H48">
        <f t="shared" si="86"/>
        <v>4.7880899999999995</v>
      </c>
      <c r="I48">
        <f t="shared" ref="I48:I57" si="88">E48/10000</f>
        <v>0.36253000000000002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0.35163831561970926</v>
      </c>
      <c r="P48" s="4">
        <v>3</v>
      </c>
      <c r="Q48" s="5">
        <f t="shared" ref="Q48:R57" si="91">H48</f>
        <v>4.7880899999999995</v>
      </c>
      <c r="R48" s="5">
        <f t="shared" si="91"/>
        <v>0.36253000000000002</v>
      </c>
      <c r="S48" s="5">
        <f t="shared" ref="S48:S57" si="92">Q48/10^6*$Z$4*$Z$3/P48*10^12</f>
        <v>5.3195679899999995</v>
      </c>
      <c r="T48" s="5">
        <f t="shared" ref="T48:T57" si="93">S48*0.06</f>
        <v>0.31917407939999998</v>
      </c>
      <c r="U48" s="5">
        <f t="shared" ref="U48:U57" si="94">S48/$Z$1</f>
        <v>0.72870794383561643</v>
      </c>
      <c r="V48" s="5">
        <f t="shared" si="87"/>
        <v>0.35163831561970926</v>
      </c>
    </row>
    <row r="49" spans="2:22" x14ac:dyDescent="0.3">
      <c r="B49">
        <v>3</v>
      </c>
      <c r="C49">
        <v>11693.6</v>
      </c>
      <c r="D49">
        <v>58530.7</v>
      </c>
      <c r="E49">
        <v>3068.7</v>
      </c>
      <c r="F49">
        <f t="shared" si="84"/>
        <v>5.8530699999999998</v>
      </c>
      <c r="G49">
        <f t="shared" si="85"/>
        <v>1.16936</v>
      </c>
      <c r="H49">
        <f t="shared" si="86"/>
        <v>4.6837099999999996</v>
      </c>
      <c r="I49">
        <f t="shared" si="88"/>
        <v>0.30686999999999998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0.30335616548294025</v>
      </c>
      <c r="P49" s="4">
        <v>3</v>
      </c>
      <c r="Q49" s="5">
        <f t="shared" si="91"/>
        <v>4.6837099999999996</v>
      </c>
      <c r="R49" s="5">
        <f t="shared" si="91"/>
        <v>0.30686999999999998</v>
      </c>
      <c r="S49" s="5">
        <f t="shared" si="92"/>
        <v>5.2036018100000003</v>
      </c>
      <c r="T49" s="5">
        <f t="shared" si="93"/>
        <v>0.31221610859999999</v>
      </c>
      <c r="U49" s="5">
        <f t="shared" si="94"/>
        <v>0.71282216575342472</v>
      </c>
      <c r="V49" s="5">
        <f t="shared" si="87"/>
        <v>0.30335616548294025</v>
      </c>
    </row>
    <row r="50" spans="2:22" x14ac:dyDescent="0.3">
      <c r="B50">
        <v>4</v>
      </c>
      <c r="C50">
        <v>13662.9</v>
      </c>
      <c r="D50">
        <v>41211.9</v>
      </c>
      <c r="E50">
        <v>1919.3</v>
      </c>
      <c r="F50">
        <f t="shared" si="84"/>
        <v>4.1211900000000004</v>
      </c>
      <c r="G50">
        <f t="shared" si="85"/>
        <v>1.36629</v>
      </c>
      <c r="H50">
        <f t="shared" si="86"/>
        <v>2.7549000000000001</v>
      </c>
      <c r="I50">
        <f t="shared" si="88"/>
        <v>0.19192999999999999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0.18373546003780555</v>
      </c>
      <c r="P50" s="4">
        <v>3</v>
      </c>
      <c r="Q50" s="5">
        <f t="shared" si="91"/>
        <v>2.7549000000000001</v>
      </c>
      <c r="R50" s="5">
        <f t="shared" si="91"/>
        <v>0.19192999999999999</v>
      </c>
      <c r="S50" s="5">
        <f t="shared" si="92"/>
        <v>3.0606939</v>
      </c>
      <c r="T50" s="5">
        <f t="shared" si="93"/>
        <v>0.183641634</v>
      </c>
      <c r="U50" s="5">
        <f t="shared" si="94"/>
        <v>0.41927313698630136</v>
      </c>
      <c r="V50" s="5">
        <f t="shared" si="87"/>
        <v>0.18373546003780555</v>
      </c>
    </row>
    <row r="51" spans="2:22" x14ac:dyDescent="0.3">
      <c r="B51">
        <v>5</v>
      </c>
      <c r="C51">
        <v>11773.9</v>
      </c>
      <c r="D51">
        <v>33776.9</v>
      </c>
      <c r="E51">
        <v>559</v>
      </c>
      <c r="F51">
        <f t="shared" si="84"/>
        <v>3.3776900000000003</v>
      </c>
      <c r="G51">
        <f t="shared" si="85"/>
        <v>1.1773899999999999</v>
      </c>
      <c r="H51">
        <f t="shared" si="86"/>
        <v>2.2003000000000004</v>
      </c>
      <c r="I51">
        <f t="shared" si="88"/>
        <v>5.5899999999999998E-2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0.1327972560328306</v>
      </c>
      <c r="P51" s="4">
        <v>3</v>
      </c>
      <c r="Q51" s="5">
        <f t="shared" si="91"/>
        <v>2.2003000000000004</v>
      </c>
      <c r="R51" s="5">
        <f t="shared" si="91"/>
        <v>5.5899999999999998E-2</v>
      </c>
      <c r="S51" s="5">
        <f t="shared" si="92"/>
        <v>2.4445333000000002</v>
      </c>
      <c r="T51" s="5">
        <f t="shared" si="93"/>
        <v>0.146671998</v>
      </c>
      <c r="U51" s="5">
        <f t="shared" si="94"/>
        <v>0.33486757534246581</v>
      </c>
      <c r="V51" s="5">
        <f t="shared" si="87"/>
        <v>0.1327972560328306</v>
      </c>
    </row>
    <row r="52" spans="2:22" x14ac:dyDescent="0.3">
      <c r="B52">
        <v>6</v>
      </c>
      <c r="C52">
        <v>6143.7</v>
      </c>
      <c r="D52">
        <v>20113.599999999999</v>
      </c>
      <c r="E52">
        <v>1828.9</v>
      </c>
      <c r="F52">
        <f t="shared" si="84"/>
        <v>2.0113599999999998</v>
      </c>
      <c r="G52">
        <f t="shared" si="85"/>
        <v>0.61436999999999997</v>
      </c>
      <c r="H52">
        <f t="shared" si="86"/>
        <v>1.3969899999999997</v>
      </c>
      <c r="I52">
        <f t="shared" si="88"/>
        <v>0.18289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9.1921273043951326E-2</v>
      </c>
      <c r="P52" s="4">
        <v>4</v>
      </c>
      <c r="Q52" s="5">
        <f t="shared" si="91"/>
        <v>1.3969899999999997</v>
      </c>
      <c r="R52" s="5">
        <f t="shared" si="91"/>
        <v>0.18289</v>
      </c>
      <c r="S52" s="5">
        <f t="shared" si="92"/>
        <v>1.1640419174999996</v>
      </c>
      <c r="T52" s="5">
        <f t="shared" si="93"/>
        <v>6.984251504999997E-2</v>
      </c>
      <c r="U52" s="5">
        <f t="shared" si="94"/>
        <v>0.15945779691780818</v>
      </c>
      <c r="V52" s="5">
        <f t="shared" si="87"/>
        <v>9.1921273043951326E-2</v>
      </c>
    </row>
    <row r="53" spans="2:22" x14ac:dyDescent="0.3">
      <c r="B53">
        <v>7</v>
      </c>
      <c r="C53">
        <v>0</v>
      </c>
      <c r="D53">
        <v>0</v>
      </c>
      <c r="E53">
        <v>0</v>
      </c>
      <c r="F53">
        <f t="shared" si="84"/>
        <v>0</v>
      </c>
      <c r="G53">
        <f t="shared" si="85"/>
        <v>0</v>
      </c>
      <c r="H53">
        <f t="shared" si="86"/>
        <v>0</v>
      </c>
      <c r="I53">
        <f t="shared" si="88"/>
        <v>0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6.645137116820346E-2</v>
      </c>
      <c r="P53" s="4">
        <v>4</v>
      </c>
      <c r="Q53" s="5">
        <f t="shared" si="91"/>
        <v>0</v>
      </c>
      <c r="R53" s="5">
        <f t="shared" si="91"/>
        <v>0</v>
      </c>
      <c r="S53" s="5">
        <f t="shared" si="92"/>
        <v>0</v>
      </c>
      <c r="T53" s="5">
        <f t="shared" si="93"/>
        <v>0</v>
      </c>
      <c r="U53" s="5">
        <f t="shared" si="94"/>
        <v>0</v>
      </c>
      <c r="V53" s="5">
        <f t="shared" si="87"/>
        <v>6.645137116820346E-2</v>
      </c>
    </row>
    <row r="54" spans="2:22" x14ac:dyDescent="0.3">
      <c r="B54">
        <v>8</v>
      </c>
      <c r="C54">
        <v>0</v>
      </c>
      <c r="D54">
        <v>0</v>
      </c>
      <c r="E54">
        <v>0</v>
      </c>
      <c r="F54">
        <f t="shared" si="84"/>
        <v>0</v>
      </c>
      <c r="G54">
        <f t="shared" si="85"/>
        <v>0</v>
      </c>
      <c r="H54">
        <f t="shared" si="86"/>
        <v>0</v>
      </c>
      <c r="I54">
        <f t="shared" si="88"/>
        <v>0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5.5727155185762378E-2</v>
      </c>
      <c r="P54" s="4">
        <v>5</v>
      </c>
      <c r="Q54" s="5">
        <f t="shared" si="91"/>
        <v>0</v>
      </c>
      <c r="R54" s="5">
        <f t="shared" si="91"/>
        <v>0</v>
      </c>
      <c r="S54" s="5">
        <f t="shared" si="92"/>
        <v>0</v>
      </c>
      <c r="T54" s="5">
        <f t="shared" si="93"/>
        <v>0</v>
      </c>
      <c r="U54" s="5">
        <f t="shared" si="94"/>
        <v>0</v>
      </c>
      <c r="V54" s="5">
        <f t="shared" si="87"/>
        <v>5.5727155185762378E-2</v>
      </c>
    </row>
    <row r="55" spans="2:22" x14ac:dyDescent="0.3">
      <c r="B55">
        <v>9</v>
      </c>
      <c r="C55">
        <v>0</v>
      </c>
      <c r="D55">
        <v>0</v>
      </c>
      <c r="E55">
        <v>0</v>
      </c>
      <c r="F55">
        <f t="shared" si="84"/>
        <v>0</v>
      </c>
      <c r="G55">
        <f t="shared" si="85"/>
        <v>0</v>
      </c>
      <c r="H55">
        <f t="shared" si="86"/>
        <v>0</v>
      </c>
      <c r="I55">
        <f t="shared" si="88"/>
        <v>0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4.491212448517392E-2</v>
      </c>
      <c r="P55" s="4">
        <v>8</v>
      </c>
      <c r="Q55" s="5">
        <f t="shared" si="91"/>
        <v>0</v>
      </c>
      <c r="R55" s="5">
        <f t="shared" si="91"/>
        <v>0</v>
      </c>
      <c r="S55" s="5">
        <f t="shared" si="92"/>
        <v>0</v>
      </c>
      <c r="T55" s="5">
        <f t="shared" si="93"/>
        <v>0</v>
      </c>
      <c r="U55" s="5">
        <f t="shared" si="94"/>
        <v>0</v>
      </c>
      <c r="V55" s="5">
        <f t="shared" si="87"/>
        <v>4.491212448517392E-2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84"/>
        <v>0</v>
      </c>
      <c r="G56">
        <f t="shared" si="85"/>
        <v>0</v>
      </c>
      <c r="H56">
        <f t="shared" si="86"/>
        <v>0</v>
      </c>
      <c r="I56">
        <f t="shared" si="88"/>
        <v>0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3.2162394702552187E-2</v>
      </c>
      <c r="P56" s="4">
        <v>14</v>
      </c>
      <c r="Q56" s="5">
        <f t="shared" si="91"/>
        <v>0</v>
      </c>
      <c r="R56" s="5">
        <f t="shared" si="91"/>
        <v>0</v>
      </c>
      <c r="S56" s="5">
        <f t="shared" si="92"/>
        <v>0</v>
      </c>
      <c r="T56" s="5">
        <f t="shared" si="93"/>
        <v>0</v>
      </c>
      <c r="U56" s="5">
        <f t="shared" si="94"/>
        <v>0</v>
      </c>
      <c r="V56" s="5">
        <f t="shared" si="87"/>
        <v>3.2162394702552187E-2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2.0740821416721209E-2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2.0740821416721209E-2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794.7</v>
      </c>
      <c r="D61">
        <v>46628.1</v>
      </c>
      <c r="E61">
        <v>3477.5</v>
      </c>
      <c r="F61">
        <f t="shared" ref="F61:F71" si="96">D61/10000</f>
        <v>4.6628099999999995</v>
      </c>
      <c r="G61">
        <f t="shared" ref="G61:G71" si="97">C61/10000</f>
        <v>7.9469999999999999E-2</v>
      </c>
      <c r="H61">
        <f t="shared" ref="H61:H71" si="98">F61-G61</f>
        <v>4.5833399999999997</v>
      </c>
      <c r="I61">
        <f>E61/10000</f>
        <v>0.34775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0.3303486709000944</v>
      </c>
      <c r="P61" s="2">
        <v>3</v>
      </c>
      <c r="Q61" s="8">
        <f>H61</f>
        <v>4.5833399999999997</v>
      </c>
      <c r="R61" s="8">
        <f>I61</f>
        <v>0.34775</v>
      </c>
      <c r="S61" s="8">
        <f>Q61/10^6*$Z$4*$Z$3/P61*10^12</f>
        <v>5.0920907399999997</v>
      </c>
      <c r="T61" s="8">
        <f>S61*0.06</f>
        <v>0.30552544439999996</v>
      </c>
      <c r="U61" s="8">
        <f>S61/$Z$1</f>
        <v>0.69754667671232873</v>
      </c>
      <c r="V61" s="12">
        <f t="shared" ref="V61:V71" si="99">O61</f>
        <v>0.3303486709000944</v>
      </c>
    </row>
    <row r="62" spans="2:22" x14ac:dyDescent="0.3">
      <c r="B62">
        <v>2</v>
      </c>
      <c r="C62">
        <v>7685.7</v>
      </c>
      <c r="D62">
        <v>52246.6</v>
      </c>
      <c r="E62">
        <v>3140</v>
      </c>
      <c r="F62">
        <f t="shared" si="96"/>
        <v>5.2246600000000001</v>
      </c>
      <c r="G62">
        <f t="shared" si="97"/>
        <v>0.76856999999999998</v>
      </c>
      <c r="H62">
        <f t="shared" si="98"/>
        <v>4.4560899999999997</v>
      </c>
      <c r="I62">
        <f t="shared" ref="I62:I71" si="100">E62/10000</f>
        <v>0.314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0.29303192968309105</v>
      </c>
      <c r="P62" s="4">
        <v>3</v>
      </c>
      <c r="Q62" s="5">
        <f t="shared" ref="Q62:R71" si="103">H62</f>
        <v>4.4560899999999997</v>
      </c>
      <c r="R62" s="5">
        <f t="shared" si="103"/>
        <v>0.314</v>
      </c>
      <c r="S62" s="5">
        <f t="shared" ref="S62:S71" si="104">Q62/10^6*$Z$4*$Z$3/P62*10^12</f>
        <v>4.95071599</v>
      </c>
      <c r="T62" s="5">
        <f t="shared" ref="T62:T71" si="105">S62*0.06</f>
        <v>0.29704295939999997</v>
      </c>
      <c r="U62" s="5">
        <f t="shared" ref="U62:U71" si="106">S62/$Z$1</f>
        <v>0.67818027260273972</v>
      </c>
      <c r="V62" s="5">
        <f t="shared" si="99"/>
        <v>0.29303192968309105</v>
      </c>
    </row>
    <row r="63" spans="2:22" x14ac:dyDescent="0.3">
      <c r="B63">
        <v>3</v>
      </c>
      <c r="C63">
        <v>11531.9</v>
      </c>
      <c r="D63">
        <v>53852.1</v>
      </c>
      <c r="E63">
        <v>3083.9</v>
      </c>
      <c r="F63">
        <f t="shared" si="96"/>
        <v>5.3852099999999998</v>
      </c>
      <c r="G63">
        <f t="shared" si="97"/>
        <v>1.1531899999999999</v>
      </c>
      <c r="H63">
        <f t="shared" si="98"/>
        <v>4.2320200000000003</v>
      </c>
      <c r="I63">
        <f t="shared" si="100"/>
        <v>0.30839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0.25279680456911685</v>
      </c>
      <c r="P63" s="4">
        <v>3</v>
      </c>
      <c r="Q63" s="5">
        <f t="shared" si="103"/>
        <v>4.2320200000000003</v>
      </c>
      <c r="R63" s="5">
        <f t="shared" si="103"/>
        <v>0.30839</v>
      </c>
      <c r="S63" s="5">
        <f t="shared" si="104"/>
        <v>4.7017742199999999</v>
      </c>
      <c r="T63" s="5">
        <f t="shared" si="105"/>
        <v>0.2821064532</v>
      </c>
      <c r="U63" s="5">
        <f t="shared" si="106"/>
        <v>0.64407866027397265</v>
      </c>
      <c r="V63" s="5">
        <f t="shared" si="99"/>
        <v>0.25279680456911685</v>
      </c>
    </row>
    <row r="64" spans="2:22" x14ac:dyDescent="0.3">
      <c r="B64">
        <v>4</v>
      </c>
      <c r="C64">
        <v>12006.9</v>
      </c>
      <c r="D64">
        <v>39423.699999999997</v>
      </c>
      <c r="E64">
        <v>727.1</v>
      </c>
      <c r="F64">
        <f t="shared" si="96"/>
        <v>3.9423699999999999</v>
      </c>
      <c r="G64">
        <f t="shared" si="97"/>
        <v>1.20069</v>
      </c>
      <c r="H64">
        <f t="shared" si="98"/>
        <v>2.7416799999999997</v>
      </c>
      <c r="I64">
        <f t="shared" si="100"/>
        <v>7.2709999999999997E-2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0.15311288336483794</v>
      </c>
      <c r="P64" s="4">
        <v>3</v>
      </c>
      <c r="Q64" s="5">
        <f t="shared" si="103"/>
        <v>2.7416799999999997</v>
      </c>
      <c r="R64" s="5">
        <f t="shared" si="103"/>
        <v>7.2709999999999997E-2</v>
      </c>
      <c r="S64" s="5">
        <f t="shared" si="104"/>
        <v>3.0460064799999995</v>
      </c>
      <c r="T64" s="5">
        <f t="shared" si="105"/>
        <v>0.18276038879999995</v>
      </c>
      <c r="U64" s="5">
        <f t="shared" si="106"/>
        <v>0.41726116164383559</v>
      </c>
      <c r="V64" s="5">
        <f t="shared" si="99"/>
        <v>0.15311288336483794</v>
      </c>
    </row>
    <row r="65" spans="2:22" x14ac:dyDescent="0.3">
      <c r="B65">
        <v>5</v>
      </c>
      <c r="C65">
        <v>12464.7</v>
      </c>
      <c r="D65">
        <v>32319.5</v>
      </c>
      <c r="E65">
        <v>960</v>
      </c>
      <c r="F65">
        <f t="shared" si="96"/>
        <v>3.2319499999999999</v>
      </c>
      <c r="G65">
        <f t="shared" si="97"/>
        <v>1.24647</v>
      </c>
      <c r="H65">
        <f t="shared" si="98"/>
        <v>1.9854799999999999</v>
      </c>
      <c r="I65">
        <f t="shared" si="100"/>
        <v>9.6000000000000002E-2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0.11066438002735886</v>
      </c>
      <c r="P65" s="4">
        <v>3</v>
      </c>
      <c r="Q65" s="5">
        <f t="shared" si="103"/>
        <v>1.9854799999999999</v>
      </c>
      <c r="R65" s="5">
        <f t="shared" si="103"/>
        <v>9.6000000000000002E-2</v>
      </c>
      <c r="S65" s="5">
        <f t="shared" si="104"/>
        <v>2.2058682799999998</v>
      </c>
      <c r="T65" s="5">
        <f t="shared" si="105"/>
        <v>0.13235209679999999</v>
      </c>
      <c r="U65" s="5">
        <f t="shared" si="106"/>
        <v>0.30217373698630134</v>
      </c>
      <c r="V65" s="5">
        <f t="shared" si="99"/>
        <v>0.11066438002735886</v>
      </c>
    </row>
    <row r="66" spans="2:22" x14ac:dyDescent="0.3">
      <c r="B66">
        <v>6</v>
      </c>
      <c r="C66">
        <v>14295.1</v>
      </c>
      <c r="D66">
        <v>25004.5</v>
      </c>
      <c r="E66">
        <v>4067.4</v>
      </c>
      <c r="F66">
        <f t="shared" si="96"/>
        <v>2.5004499999999998</v>
      </c>
      <c r="G66">
        <f t="shared" si="97"/>
        <v>1.4295100000000001</v>
      </c>
      <c r="H66">
        <f t="shared" si="98"/>
        <v>1.0709399999999998</v>
      </c>
      <c r="I66">
        <f t="shared" si="100"/>
        <v>0.40673999999999999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7.6601060869959436E-2</v>
      </c>
      <c r="P66" s="4">
        <v>4</v>
      </c>
      <c r="Q66" s="5">
        <f t="shared" si="103"/>
        <v>1.0709399999999998</v>
      </c>
      <c r="R66" s="5">
        <f t="shared" si="103"/>
        <v>0.40673999999999999</v>
      </c>
      <c r="S66" s="5">
        <f t="shared" si="104"/>
        <v>0.89236075499999978</v>
      </c>
      <c r="T66" s="5">
        <f t="shared" si="105"/>
        <v>5.3541645299999982E-2</v>
      </c>
      <c r="U66" s="5">
        <f t="shared" si="106"/>
        <v>0.12224119931506847</v>
      </c>
      <c r="V66" s="5">
        <f t="shared" si="99"/>
        <v>7.6601060869959436E-2</v>
      </c>
    </row>
    <row r="67" spans="2:22" x14ac:dyDescent="0.3">
      <c r="B67">
        <v>7</v>
      </c>
      <c r="C67">
        <v>0</v>
      </c>
      <c r="D67">
        <v>0</v>
      </c>
      <c r="E67">
        <v>0</v>
      </c>
      <c r="F67">
        <f t="shared" si="96"/>
        <v>0</v>
      </c>
      <c r="G67">
        <f t="shared" si="97"/>
        <v>0</v>
      </c>
      <c r="H67">
        <f t="shared" si="98"/>
        <v>0</v>
      </c>
      <c r="I67">
        <f t="shared" si="100"/>
        <v>0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5.5376142640169559E-2</v>
      </c>
      <c r="P67" s="4">
        <v>4</v>
      </c>
      <c r="Q67" s="5">
        <f t="shared" si="103"/>
        <v>0</v>
      </c>
      <c r="R67" s="5">
        <f t="shared" si="103"/>
        <v>0</v>
      </c>
      <c r="S67" s="5">
        <f t="shared" si="104"/>
        <v>0</v>
      </c>
      <c r="T67" s="5">
        <f t="shared" si="105"/>
        <v>0</v>
      </c>
      <c r="U67" s="5">
        <f t="shared" si="106"/>
        <v>0</v>
      </c>
      <c r="V67" s="5">
        <f t="shared" si="99"/>
        <v>5.5376142640169559E-2</v>
      </c>
    </row>
    <row r="68" spans="2:22" x14ac:dyDescent="0.3">
      <c r="B68">
        <v>8</v>
      </c>
      <c r="C68">
        <v>0</v>
      </c>
      <c r="D68">
        <v>0</v>
      </c>
      <c r="E68">
        <v>0</v>
      </c>
      <c r="F68">
        <f t="shared" si="96"/>
        <v>0</v>
      </c>
      <c r="G68">
        <f t="shared" si="97"/>
        <v>0</v>
      </c>
      <c r="H68">
        <f t="shared" si="98"/>
        <v>0</v>
      </c>
      <c r="I68">
        <f t="shared" si="100"/>
        <v>0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4.6439295988135315E-2</v>
      </c>
      <c r="P68" s="4">
        <v>5</v>
      </c>
      <c r="Q68" s="5">
        <f t="shared" si="103"/>
        <v>0</v>
      </c>
      <c r="R68" s="5">
        <f t="shared" si="103"/>
        <v>0</v>
      </c>
      <c r="S68" s="5">
        <f t="shared" si="104"/>
        <v>0</v>
      </c>
      <c r="T68" s="5">
        <f t="shared" si="105"/>
        <v>0</v>
      </c>
      <c r="U68" s="5">
        <f t="shared" si="106"/>
        <v>0</v>
      </c>
      <c r="V68" s="5">
        <f t="shared" si="99"/>
        <v>4.6439295988135315E-2</v>
      </c>
    </row>
    <row r="69" spans="2:22" x14ac:dyDescent="0.3">
      <c r="B69">
        <v>9</v>
      </c>
      <c r="C69">
        <v>0</v>
      </c>
      <c r="D69">
        <v>0</v>
      </c>
      <c r="E69">
        <v>0</v>
      </c>
      <c r="F69">
        <f t="shared" si="96"/>
        <v>0</v>
      </c>
      <c r="G69">
        <f t="shared" si="97"/>
        <v>0</v>
      </c>
      <c r="H69">
        <f t="shared" si="98"/>
        <v>0</v>
      </c>
      <c r="I69">
        <f t="shared" si="100"/>
        <v>0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3.7426770404311596E-2</v>
      </c>
      <c r="P69" s="4">
        <v>8</v>
      </c>
      <c r="Q69" s="5">
        <f t="shared" si="103"/>
        <v>0</v>
      </c>
      <c r="R69" s="5">
        <f t="shared" si="103"/>
        <v>0</v>
      </c>
      <c r="S69" s="5">
        <f t="shared" si="104"/>
        <v>0</v>
      </c>
      <c r="T69" s="5">
        <f t="shared" si="105"/>
        <v>0</v>
      </c>
      <c r="U69" s="5">
        <f t="shared" si="106"/>
        <v>0</v>
      </c>
      <c r="V69" s="5">
        <f t="shared" si="99"/>
        <v>3.7426770404311596E-2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96"/>
        <v>0</v>
      </c>
      <c r="G70">
        <f t="shared" si="97"/>
        <v>0</v>
      </c>
      <c r="H70">
        <f t="shared" si="98"/>
        <v>0</v>
      </c>
      <c r="I70">
        <f t="shared" si="100"/>
        <v>0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2.6801995585460155E-2</v>
      </c>
      <c r="P70" s="4">
        <v>14</v>
      </c>
      <c r="Q70" s="5">
        <f t="shared" si="103"/>
        <v>0</v>
      </c>
      <c r="R70" s="5">
        <f t="shared" si="103"/>
        <v>0</v>
      </c>
      <c r="S70" s="5">
        <f t="shared" si="104"/>
        <v>0</v>
      </c>
      <c r="T70" s="5">
        <f t="shared" si="105"/>
        <v>0</v>
      </c>
      <c r="U70" s="5">
        <f t="shared" si="106"/>
        <v>0</v>
      </c>
      <c r="V70" s="5">
        <f t="shared" si="99"/>
        <v>2.6801995585460155E-2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1.7284017847267675E-2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1.7284017847267675E-2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355.5</v>
      </c>
      <c r="D75">
        <v>41783.9</v>
      </c>
      <c r="E75">
        <v>3702.6</v>
      </c>
      <c r="F75">
        <f t="shared" ref="F75:F85" si="108">D75/10000</f>
        <v>4.1783900000000003</v>
      </c>
      <c r="G75">
        <f t="shared" ref="G75:G85" si="109">C75/10000</f>
        <v>3.5549999999999998E-2</v>
      </c>
      <c r="H75">
        <f t="shared" ref="H75:H85" si="110">F75-G75</f>
        <v>4.1428400000000005</v>
      </c>
      <c r="I75">
        <f>E75/10000</f>
        <v>0.37025999999999998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0.28315600362865234</v>
      </c>
      <c r="P75" s="2">
        <v>3</v>
      </c>
      <c r="Q75" s="8">
        <f>H75</f>
        <v>4.1428400000000005</v>
      </c>
      <c r="R75" s="8">
        <f>I75</f>
        <v>0.37025999999999998</v>
      </c>
      <c r="S75" s="8">
        <f>Q75/10^6*$Z$4*$Z$3/P75*10^12</f>
        <v>4.602695240000001</v>
      </c>
      <c r="T75" s="8">
        <f>S75*0.06</f>
        <v>0.27616171440000004</v>
      </c>
      <c r="U75" s="8">
        <f>S75/$Z$1</f>
        <v>0.63050619726027413</v>
      </c>
      <c r="V75" s="12">
        <f t="shared" ref="V75:V85" si="111">O75</f>
        <v>0.28315600362865234</v>
      </c>
    </row>
    <row r="76" spans="2:22" x14ac:dyDescent="0.3">
      <c r="B76">
        <v>2</v>
      </c>
      <c r="C76">
        <v>4361.6000000000004</v>
      </c>
      <c r="D76">
        <v>43982.3</v>
      </c>
      <c r="E76">
        <v>3135.1</v>
      </c>
      <c r="F76">
        <f t="shared" si="108"/>
        <v>4.3982299999999999</v>
      </c>
      <c r="G76">
        <f t="shared" si="109"/>
        <v>0.43616000000000005</v>
      </c>
      <c r="H76">
        <f t="shared" si="110"/>
        <v>3.9620699999999998</v>
      </c>
      <c r="I76">
        <f t="shared" ref="I76:I85" si="112">E76/10000</f>
        <v>0.31351000000000001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0.25117022544264944</v>
      </c>
      <c r="P76" s="4">
        <v>3</v>
      </c>
      <c r="Q76" s="5">
        <f t="shared" ref="Q76:R85" si="115">H76</f>
        <v>3.9620699999999998</v>
      </c>
      <c r="R76" s="5">
        <f t="shared" si="115"/>
        <v>0.31351000000000001</v>
      </c>
      <c r="S76" s="5">
        <f t="shared" ref="S76:S85" si="116">Q76/10^6*$Z$4*$Z$3/P76*10^12</f>
        <v>4.4018597699999997</v>
      </c>
      <c r="T76" s="5">
        <f t="shared" ref="T76:T85" si="117">S76*0.06</f>
        <v>0.26411158619999997</v>
      </c>
      <c r="U76" s="5">
        <f t="shared" ref="U76:U85" si="118">S76/$Z$1</f>
        <v>0.60299448904109587</v>
      </c>
      <c r="V76" s="5">
        <f t="shared" si="111"/>
        <v>0.25117022544264944</v>
      </c>
    </row>
    <row r="77" spans="2:22" x14ac:dyDescent="0.3">
      <c r="B77">
        <v>3</v>
      </c>
      <c r="C77">
        <v>3675</v>
      </c>
      <c r="D77">
        <v>42759</v>
      </c>
      <c r="E77">
        <v>2999.1</v>
      </c>
      <c r="F77">
        <f t="shared" si="108"/>
        <v>4.2759</v>
      </c>
      <c r="G77">
        <f t="shared" si="109"/>
        <v>0.36749999999999999</v>
      </c>
      <c r="H77">
        <f t="shared" si="110"/>
        <v>3.9083999999999999</v>
      </c>
      <c r="I77">
        <f t="shared" si="112"/>
        <v>0.29991000000000001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0.21668297534495734</v>
      </c>
      <c r="P77" s="4">
        <v>3</v>
      </c>
      <c r="Q77" s="5">
        <f t="shared" si="115"/>
        <v>3.9083999999999999</v>
      </c>
      <c r="R77" s="5">
        <f t="shared" si="115"/>
        <v>0.29991000000000001</v>
      </c>
      <c r="S77" s="5">
        <f t="shared" si="116"/>
        <v>4.3422324000000003</v>
      </c>
      <c r="T77" s="5">
        <f t="shared" si="117"/>
        <v>0.26053394400000002</v>
      </c>
      <c r="U77" s="5">
        <f t="shared" si="118"/>
        <v>0.59482635616438362</v>
      </c>
      <c r="V77" s="5">
        <f t="shared" si="111"/>
        <v>0.21668297534495734</v>
      </c>
    </row>
    <row r="78" spans="2:22" x14ac:dyDescent="0.3">
      <c r="B78">
        <v>4</v>
      </c>
      <c r="C78">
        <v>2648.8</v>
      </c>
      <c r="D78">
        <v>27933</v>
      </c>
      <c r="E78">
        <v>984</v>
      </c>
      <c r="F78">
        <f t="shared" si="108"/>
        <v>2.7932999999999999</v>
      </c>
      <c r="G78">
        <f t="shared" si="109"/>
        <v>0.26488</v>
      </c>
      <c r="H78">
        <f t="shared" si="110"/>
        <v>2.5284199999999997</v>
      </c>
      <c r="I78">
        <f t="shared" si="112"/>
        <v>9.8400000000000001E-2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0.13123961431271824</v>
      </c>
      <c r="P78" s="4">
        <v>3</v>
      </c>
      <c r="Q78" s="5">
        <f t="shared" si="115"/>
        <v>2.5284199999999997</v>
      </c>
      <c r="R78" s="5">
        <f t="shared" si="115"/>
        <v>9.8400000000000001E-2</v>
      </c>
      <c r="S78" s="5">
        <f t="shared" si="116"/>
        <v>2.8090746199999996</v>
      </c>
      <c r="T78" s="5">
        <f t="shared" si="117"/>
        <v>0.16854447719999996</v>
      </c>
      <c r="U78" s="5">
        <f t="shared" si="118"/>
        <v>0.38480474246575336</v>
      </c>
      <c r="V78" s="5">
        <f t="shared" si="111"/>
        <v>0.13123961431271824</v>
      </c>
    </row>
    <row r="79" spans="2:22" x14ac:dyDescent="0.3">
      <c r="B79">
        <v>5</v>
      </c>
      <c r="C79">
        <v>226.8</v>
      </c>
      <c r="D79">
        <v>20488.599999999999</v>
      </c>
      <c r="E79">
        <v>574.29999999999995</v>
      </c>
      <c r="F79">
        <f t="shared" si="108"/>
        <v>2.0488599999999999</v>
      </c>
      <c r="G79">
        <f t="shared" si="109"/>
        <v>2.2680000000000002E-2</v>
      </c>
      <c r="H79">
        <f t="shared" si="110"/>
        <v>2.0261800000000001</v>
      </c>
      <c r="I79">
        <f t="shared" si="112"/>
        <v>5.7429999999999995E-2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9.4855182880593303E-2</v>
      </c>
      <c r="P79" s="4">
        <v>3</v>
      </c>
      <c r="Q79" s="5">
        <f t="shared" si="115"/>
        <v>2.0261800000000001</v>
      </c>
      <c r="R79" s="5">
        <f t="shared" si="115"/>
        <v>5.7429999999999995E-2</v>
      </c>
      <c r="S79" s="5">
        <f t="shared" si="116"/>
        <v>2.25108598</v>
      </c>
      <c r="T79" s="5">
        <f t="shared" si="117"/>
        <v>0.1350651588</v>
      </c>
      <c r="U79" s="5">
        <f t="shared" si="118"/>
        <v>0.30836794246575344</v>
      </c>
      <c r="V79" s="5">
        <f t="shared" si="111"/>
        <v>9.4855182880593303E-2</v>
      </c>
    </row>
    <row r="80" spans="2:22" x14ac:dyDescent="0.3">
      <c r="B80">
        <v>6</v>
      </c>
      <c r="C80">
        <v>0</v>
      </c>
      <c r="D80">
        <v>0</v>
      </c>
      <c r="E80">
        <v>0</v>
      </c>
      <c r="F80">
        <f t="shared" si="108"/>
        <v>0</v>
      </c>
      <c r="G80">
        <f t="shared" si="109"/>
        <v>0</v>
      </c>
      <c r="H80">
        <f t="shared" si="110"/>
        <v>0</v>
      </c>
      <c r="I80">
        <f t="shared" si="112"/>
        <v>0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6.5658052174250942E-2</v>
      </c>
      <c r="P80" s="4">
        <v>4</v>
      </c>
      <c r="Q80" s="5">
        <f t="shared" si="115"/>
        <v>0</v>
      </c>
      <c r="R80" s="5">
        <f t="shared" si="115"/>
        <v>0</v>
      </c>
      <c r="S80" s="5">
        <f t="shared" si="116"/>
        <v>0</v>
      </c>
      <c r="T80" s="5">
        <f t="shared" si="117"/>
        <v>0</v>
      </c>
      <c r="U80" s="5">
        <f t="shared" si="118"/>
        <v>0</v>
      </c>
      <c r="V80" s="5">
        <f t="shared" si="111"/>
        <v>6.5658052174250942E-2</v>
      </c>
    </row>
    <row r="81" spans="2:22" x14ac:dyDescent="0.3">
      <c r="B81">
        <v>7</v>
      </c>
      <c r="C81">
        <v>0</v>
      </c>
      <c r="D81">
        <v>0</v>
      </c>
      <c r="E81">
        <v>0</v>
      </c>
      <c r="F81">
        <f t="shared" si="108"/>
        <v>0</v>
      </c>
      <c r="G81">
        <f t="shared" si="109"/>
        <v>0</v>
      </c>
      <c r="H81">
        <f t="shared" si="110"/>
        <v>0</v>
      </c>
      <c r="I81">
        <f t="shared" si="112"/>
        <v>0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4.7465265120145331E-2</v>
      </c>
      <c r="P81" s="4">
        <v>4</v>
      </c>
      <c r="Q81" s="5">
        <f t="shared" si="115"/>
        <v>0</v>
      </c>
      <c r="R81" s="5">
        <f t="shared" si="115"/>
        <v>0</v>
      </c>
      <c r="S81" s="5">
        <f t="shared" si="116"/>
        <v>0</v>
      </c>
      <c r="T81" s="5">
        <f t="shared" si="117"/>
        <v>0</v>
      </c>
      <c r="U81" s="5">
        <f t="shared" si="118"/>
        <v>0</v>
      </c>
      <c r="V81" s="5">
        <f t="shared" si="111"/>
        <v>4.7465265120145331E-2</v>
      </c>
    </row>
    <row r="82" spans="2:22" x14ac:dyDescent="0.3">
      <c r="B82">
        <v>8</v>
      </c>
      <c r="C82">
        <v>0</v>
      </c>
      <c r="D82">
        <v>0</v>
      </c>
      <c r="E82">
        <v>0</v>
      </c>
      <c r="F82">
        <f t="shared" si="108"/>
        <v>0</v>
      </c>
      <c r="G82">
        <f t="shared" si="109"/>
        <v>0</v>
      </c>
      <c r="H82">
        <f t="shared" si="110"/>
        <v>0</v>
      </c>
      <c r="I82">
        <f t="shared" si="112"/>
        <v>0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3.9805110846973121E-2</v>
      </c>
      <c r="P82" s="4">
        <v>5</v>
      </c>
      <c r="Q82" s="5">
        <f t="shared" si="115"/>
        <v>0</v>
      </c>
      <c r="R82" s="5">
        <f t="shared" si="115"/>
        <v>0</v>
      </c>
      <c r="S82" s="5">
        <f t="shared" si="116"/>
        <v>0</v>
      </c>
      <c r="T82" s="5">
        <f t="shared" si="117"/>
        <v>0</v>
      </c>
      <c r="U82" s="5">
        <f t="shared" si="118"/>
        <v>0</v>
      </c>
      <c r="V82" s="5">
        <f t="shared" si="111"/>
        <v>3.9805110846973121E-2</v>
      </c>
    </row>
    <row r="83" spans="2:22" x14ac:dyDescent="0.3">
      <c r="B83">
        <v>9</v>
      </c>
      <c r="C83">
        <v>0</v>
      </c>
      <c r="D83">
        <v>0</v>
      </c>
      <c r="E83">
        <v>0</v>
      </c>
      <c r="F83">
        <f t="shared" si="108"/>
        <v>0</v>
      </c>
      <c r="G83">
        <f t="shared" si="109"/>
        <v>0</v>
      </c>
      <c r="H83">
        <f t="shared" si="110"/>
        <v>0</v>
      </c>
      <c r="I83">
        <f t="shared" si="112"/>
        <v>0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3.2080088917981371E-2</v>
      </c>
      <c r="P83" s="4">
        <v>8</v>
      </c>
      <c r="Q83" s="5">
        <f t="shared" si="115"/>
        <v>0</v>
      </c>
      <c r="R83" s="5">
        <f t="shared" si="115"/>
        <v>0</v>
      </c>
      <c r="S83" s="5">
        <f t="shared" si="116"/>
        <v>0</v>
      </c>
      <c r="T83" s="5">
        <f t="shared" si="117"/>
        <v>0</v>
      </c>
      <c r="U83" s="5">
        <f t="shared" si="118"/>
        <v>0</v>
      </c>
      <c r="V83" s="5">
        <f t="shared" si="111"/>
        <v>3.2080088917981371E-2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08"/>
        <v>0</v>
      </c>
      <c r="G84">
        <f t="shared" si="109"/>
        <v>0</v>
      </c>
      <c r="H84">
        <f t="shared" si="110"/>
        <v>0</v>
      </c>
      <c r="I84">
        <f t="shared" si="112"/>
        <v>0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2.2973139073251561E-2</v>
      </c>
      <c r="P84" s="4">
        <v>14</v>
      </c>
      <c r="Q84" s="5">
        <f t="shared" si="115"/>
        <v>0</v>
      </c>
      <c r="R84" s="5">
        <f t="shared" si="115"/>
        <v>0</v>
      </c>
      <c r="S84" s="5">
        <f t="shared" si="116"/>
        <v>0</v>
      </c>
      <c r="T84" s="5">
        <f t="shared" si="117"/>
        <v>0</v>
      </c>
      <c r="U84" s="5">
        <f t="shared" si="118"/>
        <v>0</v>
      </c>
      <c r="V84" s="5">
        <f t="shared" si="111"/>
        <v>2.2973139073251561E-2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1.481487244051515E-2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1.481487244051515E-2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-265.8</v>
      </c>
      <c r="D89">
        <v>40483.199999999997</v>
      </c>
      <c r="E89">
        <v>3798.2</v>
      </c>
      <c r="F89">
        <f t="shared" ref="F89:F99" si="120">D89/10000</f>
        <v>4.0483199999999995</v>
      </c>
      <c r="G89">
        <f t="shared" ref="G89:G99" si="121">C89/10000</f>
        <v>-2.6579999999999999E-2</v>
      </c>
      <c r="H89">
        <f t="shared" ref="H89:H99" si="122">F89-G89</f>
        <v>4.0748999999999995</v>
      </c>
      <c r="I89">
        <f>E89/10000</f>
        <v>0.37981999999999999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0.24776150317507079</v>
      </c>
      <c r="P89" s="2">
        <v>3</v>
      </c>
      <c r="Q89" s="8">
        <f>H89</f>
        <v>4.0748999999999995</v>
      </c>
      <c r="R89" s="8">
        <f>I89</f>
        <v>0.37981999999999999</v>
      </c>
      <c r="S89" s="8">
        <f>Q89/10^6*$Z$4*$Z$3/P89*10^12</f>
        <v>4.5272138999999996</v>
      </c>
      <c r="T89" s="8">
        <f>S89*0.06</f>
        <v>0.27163283399999999</v>
      </c>
      <c r="U89" s="8">
        <f>S89/$Z$1</f>
        <v>0.62016628767123283</v>
      </c>
      <c r="V89" s="12">
        <f t="shared" ref="V89:V99" si="123">O89</f>
        <v>0.24776150317507079</v>
      </c>
    </row>
    <row r="90" spans="2:22" x14ac:dyDescent="0.3">
      <c r="B90">
        <v>2</v>
      </c>
      <c r="C90">
        <v>3800.8</v>
      </c>
      <c r="D90">
        <v>43966.400000000001</v>
      </c>
      <c r="E90">
        <v>3120</v>
      </c>
      <c r="F90">
        <f t="shared" si="120"/>
        <v>4.3966400000000005</v>
      </c>
      <c r="G90">
        <f t="shared" si="121"/>
        <v>0.38008000000000003</v>
      </c>
      <c r="H90">
        <f t="shared" si="122"/>
        <v>4.0165600000000001</v>
      </c>
      <c r="I90">
        <f t="shared" ref="I90:I99" si="124">E90/10000</f>
        <v>0.312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0.21977394726231828</v>
      </c>
      <c r="P90" s="4">
        <v>3</v>
      </c>
      <c r="Q90" s="5">
        <f t="shared" ref="Q90:R99" si="127">H90</f>
        <v>4.0165600000000001</v>
      </c>
      <c r="R90" s="5">
        <f t="shared" si="127"/>
        <v>0.312</v>
      </c>
      <c r="S90" s="5">
        <f t="shared" ref="S90:S99" si="128">Q90/10^6*$Z$4*$Z$3/P90*10^12</f>
        <v>4.4623981600000002</v>
      </c>
      <c r="T90" s="5">
        <f t="shared" ref="T90:T99" si="129">S90*0.06</f>
        <v>0.26774388960000001</v>
      </c>
      <c r="U90" s="5">
        <f t="shared" ref="U90:U99" si="130">S90/$Z$1</f>
        <v>0.61128741917808227</v>
      </c>
      <c r="V90" s="5">
        <f t="shared" si="123"/>
        <v>0.21977394726231828</v>
      </c>
    </row>
    <row r="91" spans="2:22" x14ac:dyDescent="0.3">
      <c r="B91">
        <v>3</v>
      </c>
      <c r="C91">
        <v>5872.9</v>
      </c>
      <c r="D91">
        <v>42316.7</v>
      </c>
      <c r="E91">
        <v>2687.7</v>
      </c>
      <c r="F91">
        <f t="shared" si="120"/>
        <v>4.2316699999999994</v>
      </c>
      <c r="G91">
        <f t="shared" si="121"/>
        <v>0.58728999999999998</v>
      </c>
      <c r="H91">
        <f t="shared" si="122"/>
        <v>3.6443799999999995</v>
      </c>
      <c r="I91">
        <f t="shared" si="124"/>
        <v>0.26877000000000001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0.18959760342683765</v>
      </c>
      <c r="P91" s="4">
        <v>3</v>
      </c>
      <c r="Q91" s="5">
        <f t="shared" si="127"/>
        <v>3.6443799999999995</v>
      </c>
      <c r="R91" s="5">
        <f t="shared" si="127"/>
        <v>0.26877000000000001</v>
      </c>
      <c r="S91" s="5">
        <f t="shared" si="128"/>
        <v>4.0489061800000004</v>
      </c>
      <c r="T91" s="5">
        <f t="shared" si="129"/>
        <v>0.24293437080000002</v>
      </c>
      <c r="U91" s="5">
        <f t="shared" si="130"/>
        <v>0.55464468219178087</v>
      </c>
      <c r="V91" s="5">
        <f t="shared" si="123"/>
        <v>0.18959760342683765</v>
      </c>
    </row>
    <row r="92" spans="2:22" x14ac:dyDescent="0.3">
      <c r="B92">
        <v>4</v>
      </c>
      <c r="C92">
        <v>4433.3</v>
      </c>
      <c r="D92">
        <v>25201.5</v>
      </c>
      <c r="E92">
        <v>873.6</v>
      </c>
      <c r="F92">
        <f t="shared" si="120"/>
        <v>2.5201500000000001</v>
      </c>
      <c r="G92">
        <f t="shared" si="121"/>
        <v>0.44333</v>
      </c>
      <c r="H92">
        <f t="shared" si="122"/>
        <v>2.0768200000000001</v>
      </c>
      <c r="I92">
        <f t="shared" si="124"/>
        <v>8.7360000000000007E-2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0.11483466252362846</v>
      </c>
      <c r="P92" s="4">
        <v>3</v>
      </c>
      <c r="Q92" s="5">
        <f t="shared" si="127"/>
        <v>2.0768200000000001</v>
      </c>
      <c r="R92" s="5">
        <f t="shared" si="127"/>
        <v>8.7360000000000007E-2</v>
      </c>
      <c r="S92" s="5">
        <f t="shared" si="128"/>
        <v>2.3073470200000004</v>
      </c>
      <c r="T92" s="5">
        <f t="shared" si="129"/>
        <v>0.13844082120000001</v>
      </c>
      <c r="U92" s="5">
        <f t="shared" si="130"/>
        <v>0.3160749342465754</v>
      </c>
      <c r="V92" s="5">
        <f t="shared" si="123"/>
        <v>0.11483466252362846</v>
      </c>
    </row>
    <row r="93" spans="2:22" x14ac:dyDescent="0.3">
      <c r="B93">
        <v>5</v>
      </c>
      <c r="C93">
        <v>3444.9</v>
      </c>
      <c r="D93">
        <v>20578.900000000001</v>
      </c>
      <c r="E93">
        <v>448.8</v>
      </c>
      <c r="F93">
        <f t="shared" si="120"/>
        <v>2.05789</v>
      </c>
      <c r="G93">
        <f t="shared" si="121"/>
        <v>0.34449000000000002</v>
      </c>
      <c r="H93">
        <f t="shared" si="122"/>
        <v>1.7134</v>
      </c>
      <c r="I93">
        <f t="shared" si="124"/>
        <v>4.4880000000000003E-2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8.2998285020519133E-2</v>
      </c>
      <c r="P93" s="4">
        <v>3</v>
      </c>
      <c r="Q93" s="5">
        <f t="shared" si="127"/>
        <v>1.7134</v>
      </c>
      <c r="R93" s="5">
        <f t="shared" si="127"/>
        <v>4.4880000000000003E-2</v>
      </c>
      <c r="S93" s="5">
        <f t="shared" si="128"/>
        <v>1.9035874000000002</v>
      </c>
      <c r="T93" s="5">
        <f t="shared" si="129"/>
        <v>0.11421524400000001</v>
      </c>
      <c r="U93" s="5">
        <f t="shared" si="130"/>
        <v>0.26076539726027398</v>
      </c>
      <c r="V93" s="5">
        <f t="shared" si="123"/>
        <v>8.2998285020519133E-2</v>
      </c>
    </row>
    <row r="94" spans="2:22" x14ac:dyDescent="0.3">
      <c r="B94">
        <v>6</v>
      </c>
      <c r="C94">
        <v>0</v>
      </c>
      <c r="D94">
        <v>0</v>
      </c>
      <c r="E94">
        <v>0</v>
      </c>
      <c r="F94">
        <f t="shared" si="120"/>
        <v>0</v>
      </c>
      <c r="G94">
        <f t="shared" si="121"/>
        <v>0</v>
      </c>
      <c r="H94">
        <f t="shared" si="122"/>
        <v>0</v>
      </c>
      <c r="I94">
        <f t="shared" si="124"/>
        <v>0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5.7450795652469577E-2</v>
      </c>
      <c r="P94" s="4">
        <v>4</v>
      </c>
      <c r="Q94" s="5">
        <f t="shared" si="127"/>
        <v>0</v>
      </c>
      <c r="R94" s="5">
        <f t="shared" si="127"/>
        <v>0</v>
      </c>
      <c r="S94" s="5">
        <f t="shared" si="128"/>
        <v>0</v>
      </c>
      <c r="T94" s="5">
        <f t="shared" si="129"/>
        <v>0</v>
      </c>
      <c r="U94" s="5">
        <f t="shared" si="130"/>
        <v>0</v>
      </c>
      <c r="V94" s="5">
        <f t="shared" si="123"/>
        <v>5.7450795652469577E-2</v>
      </c>
    </row>
    <row r="95" spans="2:22" x14ac:dyDescent="0.3">
      <c r="B95">
        <v>7</v>
      </c>
      <c r="C95">
        <v>0</v>
      </c>
      <c r="D95">
        <v>0</v>
      </c>
      <c r="E95">
        <v>0</v>
      </c>
      <c r="F95">
        <f t="shared" si="120"/>
        <v>0</v>
      </c>
      <c r="G95">
        <f t="shared" si="121"/>
        <v>0</v>
      </c>
      <c r="H95">
        <f t="shared" si="122"/>
        <v>0</v>
      </c>
      <c r="I95">
        <f t="shared" si="124"/>
        <v>0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4.1532106980127166E-2</v>
      </c>
      <c r="P95" s="4">
        <v>4</v>
      </c>
      <c r="Q95" s="5">
        <f t="shared" si="127"/>
        <v>0</v>
      </c>
      <c r="R95" s="5">
        <f t="shared" si="127"/>
        <v>0</v>
      </c>
      <c r="S95" s="5">
        <f t="shared" si="128"/>
        <v>0</v>
      </c>
      <c r="T95" s="5">
        <f t="shared" si="129"/>
        <v>0</v>
      </c>
      <c r="U95" s="5">
        <f t="shared" si="130"/>
        <v>0</v>
      </c>
      <c r="V95" s="5">
        <f t="shared" si="123"/>
        <v>4.1532106980127166E-2</v>
      </c>
    </row>
    <row r="96" spans="2:22" x14ac:dyDescent="0.3">
      <c r="B96">
        <v>8</v>
      </c>
      <c r="C96">
        <v>0</v>
      </c>
      <c r="D96">
        <v>0</v>
      </c>
      <c r="E96">
        <v>0</v>
      </c>
      <c r="F96">
        <f t="shared" si="120"/>
        <v>0</v>
      </c>
      <c r="G96">
        <f t="shared" si="121"/>
        <v>0</v>
      </c>
      <c r="H96">
        <f t="shared" si="122"/>
        <v>0</v>
      </c>
      <c r="I96">
        <f t="shared" si="124"/>
        <v>0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3.4829471991101486E-2</v>
      </c>
      <c r="P96" s="4">
        <v>5</v>
      </c>
      <c r="Q96" s="5">
        <f t="shared" si="127"/>
        <v>0</v>
      </c>
      <c r="R96" s="5">
        <f t="shared" si="127"/>
        <v>0</v>
      </c>
      <c r="S96" s="5">
        <f t="shared" si="128"/>
        <v>0</v>
      </c>
      <c r="T96" s="5">
        <f t="shared" si="129"/>
        <v>0</v>
      </c>
      <c r="U96" s="5">
        <f t="shared" si="130"/>
        <v>0</v>
      </c>
      <c r="V96" s="5">
        <f t="shared" si="123"/>
        <v>3.4829471991101486E-2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20"/>
        <v>0</v>
      </c>
      <c r="G97">
        <f t="shared" si="121"/>
        <v>0</v>
      </c>
      <c r="H97">
        <f t="shared" si="122"/>
        <v>0</v>
      </c>
      <c r="I97">
        <f t="shared" si="124"/>
        <v>0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2.8070077803233701E-2</v>
      </c>
      <c r="P97" s="4">
        <v>8</v>
      </c>
      <c r="Q97" s="5">
        <f t="shared" si="127"/>
        <v>0</v>
      </c>
      <c r="R97" s="5">
        <f t="shared" si="127"/>
        <v>0</v>
      </c>
      <c r="S97" s="5">
        <f t="shared" si="128"/>
        <v>0</v>
      </c>
      <c r="T97" s="5">
        <f t="shared" si="129"/>
        <v>0</v>
      </c>
      <c r="U97" s="5">
        <f t="shared" si="130"/>
        <v>0</v>
      </c>
      <c r="V97" s="5">
        <f t="shared" si="123"/>
        <v>2.8070077803233701E-2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2.0101496689095118E-2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2.0101496689095118E-2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1.2963013385450755E-2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1.2963013385450755E-2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982.2</v>
      </c>
      <c r="D103">
        <v>40872.6</v>
      </c>
      <c r="E103">
        <v>3452.3</v>
      </c>
      <c r="F103">
        <f t="shared" ref="F103:F113" si="132">D103/10000</f>
        <v>4.0872599999999997</v>
      </c>
      <c r="G103">
        <f t="shared" ref="G103:G113" si="133">C103/10000</f>
        <v>9.8220000000000002E-2</v>
      </c>
      <c r="H103">
        <f t="shared" ref="H103:H113" si="134">F103-G103</f>
        <v>3.9890399999999997</v>
      </c>
      <c r="I103">
        <f>E103/10000</f>
        <v>0.34523000000000004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0.22023244726672958</v>
      </c>
      <c r="P103" s="2">
        <v>3</v>
      </c>
      <c r="Q103" s="8">
        <f>H103</f>
        <v>3.9890399999999997</v>
      </c>
      <c r="R103" s="8">
        <f>I103</f>
        <v>0.34523000000000004</v>
      </c>
      <c r="S103" s="8">
        <f>Q103/10^6*$Z$4*$Z$3/P103*10^12</f>
        <v>4.4318234399999996</v>
      </c>
      <c r="T103" s="8">
        <f>S103*0.06</f>
        <v>0.26590940639999999</v>
      </c>
      <c r="U103" s="8">
        <f>S103/$Z$1</f>
        <v>0.607099101369863</v>
      </c>
      <c r="V103" s="12">
        <f t="shared" ref="V103:V113" si="135">O103</f>
        <v>0.22023244726672958</v>
      </c>
    </row>
    <row r="104" spans="2:22" x14ac:dyDescent="0.3">
      <c r="B104">
        <v>2</v>
      </c>
      <c r="C104">
        <v>4811.5</v>
      </c>
      <c r="D104">
        <v>43938.1</v>
      </c>
      <c r="E104">
        <v>3140.1</v>
      </c>
      <c r="F104">
        <f t="shared" si="132"/>
        <v>4.3938100000000002</v>
      </c>
      <c r="G104">
        <f t="shared" si="133"/>
        <v>0.48115000000000002</v>
      </c>
      <c r="H104">
        <f t="shared" si="134"/>
        <v>3.9126600000000002</v>
      </c>
      <c r="I104">
        <f t="shared" ref="I104:I113" si="136">E104/10000</f>
        <v>0.31401000000000001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0.19535461978872734</v>
      </c>
      <c r="P104" s="4">
        <v>3</v>
      </c>
      <c r="Q104" s="5">
        <f t="shared" ref="Q104:R113" si="139">H104</f>
        <v>3.9126600000000002</v>
      </c>
      <c r="R104" s="5">
        <f t="shared" si="139"/>
        <v>0.31401000000000001</v>
      </c>
      <c r="S104" s="5">
        <f t="shared" ref="S104:S113" si="140">Q104/10^6*$Z$4*$Z$3/P104*10^12</f>
        <v>4.3469652600000002</v>
      </c>
      <c r="T104" s="5">
        <f t="shared" ref="T104:T113" si="141">S104*0.06</f>
        <v>0.26081791560000001</v>
      </c>
      <c r="U104" s="5">
        <f t="shared" ref="U104:U113" si="142">S104/$Z$1</f>
        <v>0.59547469315068502</v>
      </c>
      <c r="V104" s="5">
        <f t="shared" si="135"/>
        <v>0.19535461978872734</v>
      </c>
    </row>
    <row r="105" spans="2:22" x14ac:dyDescent="0.3">
      <c r="B105">
        <v>3</v>
      </c>
      <c r="C105">
        <v>5467.9</v>
      </c>
      <c r="D105">
        <v>40926.6</v>
      </c>
      <c r="E105">
        <v>2476.4</v>
      </c>
      <c r="F105">
        <f t="shared" si="132"/>
        <v>4.0926599999999995</v>
      </c>
      <c r="G105">
        <f t="shared" si="133"/>
        <v>0.54679</v>
      </c>
      <c r="H105">
        <f t="shared" si="134"/>
        <v>3.5458699999999994</v>
      </c>
      <c r="I105">
        <f t="shared" si="136"/>
        <v>0.24764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0.16853120304607791</v>
      </c>
      <c r="P105" s="4">
        <v>3</v>
      </c>
      <c r="Q105" s="5">
        <f t="shared" si="139"/>
        <v>3.5458699999999994</v>
      </c>
      <c r="R105" s="5">
        <f t="shared" si="139"/>
        <v>0.24764</v>
      </c>
      <c r="S105" s="5">
        <f t="shared" si="140"/>
        <v>3.9394615699999993</v>
      </c>
      <c r="T105" s="5">
        <f t="shared" si="141"/>
        <v>0.23636769419999995</v>
      </c>
      <c r="U105" s="5">
        <f t="shared" si="142"/>
        <v>0.53965226986301362</v>
      </c>
      <c r="V105" s="5">
        <f t="shared" si="135"/>
        <v>0.16853120304607791</v>
      </c>
    </row>
    <row r="106" spans="2:22" x14ac:dyDescent="0.3">
      <c r="B106">
        <v>4</v>
      </c>
      <c r="C106">
        <v>3265.4</v>
      </c>
      <c r="D106">
        <v>22175.4</v>
      </c>
      <c r="E106">
        <v>985.2</v>
      </c>
      <c r="F106">
        <f t="shared" si="132"/>
        <v>2.2175400000000001</v>
      </c>
      <c r="G106">
        <f t="shared" si="133"/>
        <v>0.32654</v>
      </c>
      <c r="H106">
        <f t="shared" si="134"/>
        <v>1.891</v>
      </c>
      <c r="I106">
        <f t="shared" si="136"/>
        <v>9.852000000000001E-2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0.10207525557655864</v>
      </c>
      <c r="P106" s="4">
        <v>3</v>
      </c>
      <c r="Q106" s="5">
        <f t="shared" si="139"/>
        <v>1.891</v>
      </c>
      <c r="R106" s="5">
        <f t="shared" si="139"/>
        <v>9.852000000000001E-2</v>
      </c>
      <c r="S106" s="5">
        <f t="shared" si="140"/>
        <v>2.1009010000000004</v>
      </c>
      <c r="T106" s="5">
        <f t="shared" si="141"/>
        <v>0.12605406000000002</v>
      </c>
      <c r="U106" s="5">
        <f t="shared" si="142"/>
        <v>0.28779465753424666</v>
      </c>
      <c r="V106" s="5">
        <f t="shared" si="135"/>
        <v>0.10207525557655864</v>
      </c>
    </row>
    <row r="107" spans="2:22" x14ac:dyDescent="0.3">
      <c r="B107">
        <v>5</v>
      </c>
      <c r="C107">
        <v>1139.3</v>
      </c>
      <c r="D107">
        <v>14426.1</v>
      </c>
      <c r="E107">
        <v>484.3</v>
      </c>
      <c r="F107">
        <f t="shared" si="132"/>
        <v>1.4426099999999999</v>
      </c>
      <c r="G107">
        <f t="shared" si="133"/>
        <v>0.11392999999999999</v>
      </c>
      <c r="H107">
        <f t="shared" si="134"/>
        <v>1.3286799999999999</v>
      </c>
      <c r="I107">
        <f t="shared" si="136"/>
        <v>4.8430000000000001E-2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7.3776253351572563E-2</v>
      </c>
      <c r="P107" s="4">
        <v>3</v>
      </c>
      <c r="Q107" s="5">
        <f t="shared" si="139"/>
        <v>1.3286799999999999</v>
      </c>
      <c r="R107" s="5">
        <f t="shared" si="139"/>
        <v>4.8430000000000001E-2</v>
      </c>
      <c r="S107" s="5">
        <f t="shared" si="140"/>
        <v>1.4761634800000001</v>
      </c>
      <c r="T107" s="5">
        <f t="shared" si="141"/>
        <v>8.8569808799999997E-2</v>
      </c>
      <c r="U107" s="5">
        <f t="shared" si="142"/>
        <v>0.20221417534246577</v>
      </c>
      <c r="V107" s="5">
        <f t="shared" si="135"/>
        <v>7.3776253351572563E-2</v>
      </c>
    </row>
    <row r="108" spans="2:22" x14ac:dyDescent="0.3">
      <c r="B108">
        <v>6</v>
      </c>
      <c r="C108">
        <v>0</v>
      </c>
      <c r="D108">
        <v>0</v>
      </c>
      <c r="E108">
        <v>0</v>
      </c>
      <c r="F108">
        <f t="shared" si="132"/>
        <v>0</v>
      </c>
      <c r="G108">
        <f t="shared" si="133"/>
        <v>0</v>
      </c>
      <c r="H108">
        <f t="shared" si="134"/>
        <v>0</v>
      </c>
      <c r="I108">
        <f t="shared" si="136"/>
        <v>0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5.1067373913306291E-2</v>
      </c>
      <c r="P108" s="4">
        <v>4</v>
      </c>
      <c r="Q108" s="5">
        <f t="shared" si="139"/>
        <v>0</v>
      </c>
      <c r="R108" s="5">
        <f t="shared" si="139"/>
        <v>0</v>
      </c>
      <c r="S108" s="5">
        <f t="shared" si="140"/>
        <v>0</v>
      </c>
      <c r="T108" s="5">
        <f t="shared" si="141"/>
        <v>0</v>
      </c>
      <c r="U108" s="5">
        <f t="shared" si="142"/>
        <v>0</v>
      </c>
      <c r="V108" s="5">
        <f t="shared" si="135"/>
        <v>5.1067373913306291E-2</v>
      </c>
    </row>
    <row r="109" spans="2:22" x14ac:dyDescent="0.3">
      <c r="B109">
        <v>7</v>
      </c>
      <c r="C109">
        <v>0</v>
      </c>
      <c r="D109">
        <v>0</v>
      </c>
      <c r="E109">
        <v>0</v>
      </c>
      <c r="F109">
        <f t="shared" si="132"/>
        <v>0</v>
      </c>
      <c r="G109">
        <f t="shared" si="133"/>
        <v>0</v>
      </c>
      <c r="H109">
        <f t="shared" si="134"/>
        <v>0</v>
      </c>
      <c r="I109">
        <f t="shared" si="136"/>
        <v>0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3.6917428426779704E-2</v>
      </c>
      <c r="P109" s="4">
        <v>4</v>
      </c>
      <c r="Q109" s="5">
        <f t="shared" si="139"/>
        <v>0</v>
      </c>
      <c r="R109" s="5">
        <f t="shared" si="139"/>
        <v>0</v>
      </c>
      <c r="S109" s="5">
        <f t="shared" si="140"/>
        <v>0</v>
      </c>
      <c r="T109" s="5">
        <f t="shared" si="141"/>
        <v>0</v>
      </c>
      <c r="U109" s="5">
        <f t="shared" si="142"/>
        <v>0</v>
      </c>
      <c r="V109" s="5">
        <f t="shared" si="135"/>
        <v>3.6917428426779704E-2</v>
      </c>
    </row>
    <row r="110" spans="2:22" x14ac:dyDescent="0.3">
      <c r="B110">
        <v>8</v>
      </c>
      <c r="C110">
        <v>0</v>
      </c>
      <c r="D110">
        <v>0</v>
      </c>
      <c r="E110">
        <v>0</v>
      </c>
      <c r="F110">
        <f t="shared" si="132"/>
        <v>0</v>
      </c>
      <c r="G110">
        <f t="shared" si="133"/>
        <v>0</v>
      </c>
      <c r="H110">
        <f t="shared" si="134"/>
        <v>0</v>
      </c>
      <c r="I110">
        <f t="shared" si="136"/>
        <v>0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3.0959530658756874E-2</v>
      </c>
      <c r="P110" s="4">
        <v>5</v>
      </c>
      <c r="Q110" s="5">
        <f t="shared" si="139"/>
        <v>0</v>
      </c>
      <c r="R110" s="5">
        <f t="shared" si="139"/>
        <v>0</v>
      </c>
      <c r="S110" s="5">
        <f t="shared" si="140"/>
        <v>0</v>
      </c>
      <c r="T110" s="5">
        <f t="shared" si="141"/>
        <v>0</v>
      </c>
      <c r="U110" s="5">
        <f t="shared" si="142"/>
        <v>0</v>
      </c>
      <c r="V110" s="5">
        <f t="shared" si="135"/>
        <v>3.0959530658756874E-2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32"/>
        <v>0</v>
      </c>
      <c r="G111">
        <f t="shared" si="133"/>
        <v>0</v>
      </c>
      <c r="H111">
        <f t="shared" si="134"/>
        <v>0</v>
      </c>
      <c r="I111">
        <f t="shared" si="136"/>
        <v>0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2.4951180269541066E-2</v>
      </c>
      <c r="P111" s="4">
        <v>8</v>
      </c>
      <c r="Q111" s="5">
        <f t="shared" si="139"/>
        <v>0</v>
      </c>
      <c r="R111" s="5">
        <f t="shared" si="139"/>
        <v>0</v>
      </c>
      <c r="S111" s="5">
        <f t="shared" si="140"/>
        <v>0</v>
      </c>
      <c r="T111" s="5">
        <f t="shared" si="141"/>
        <v>0</v>
      </c>
      <c r="U111" s="5">
        <f t="shared" si="142"/>
        <v>0</v>
      </c>
      <c r="V111" s="5">
        <f t="shared" si="135"/>
        <v>2.4951180269541066E-2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1.7867997056973436E-2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1.7867997056973436E-2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1.1522678564845117E-2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1.1522678564845117E-2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509.7</v>
      </c>
      <c r="D117">
        <v>40135.5</v>
      </c>
      <c r="E117">
        <v>3958.3</v>
      </c>
      <c r="F117">
        <f t="shared" ref="F117:F127" si="144">D117/10000</f>
        <v>4.0135500000000004</v>
      </c>
      <c r="G117">
        <f t="shared" ref="G117:G127" si="145">C117/10000</f>
        <v>5.0970000000000001E-2</v>
      </c>
      <c r="H117">
        <f t="shared" ref="H117:H127" si="146">F117-G117</f>
        <v>3.9625800000000004</v>
      </c>
      <c r="I117">
        <f>E117/10000</f>
        <v>0.39583000000000002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0.19820920254005664</v>
      </c>
      <c r="P117" s="2">
        <v>3</v>
      </c>
      <c r="Q117" s="8">
        <f>H117</f>
        <v>3.9625800000000004</v>
      </c>
      <c r="R117" s="8">
        <f>I117</f>
        <v>0.39583000000000002</v>
      </c>
      <c r="S117" s="8">
        <f>Q117/10^6*$Z$4*$Z$3/P117*10^12</f>
        <v>4.4024263800000005</v>
      </c>
      <c r="T117" s="8">
        <f>S117*0.06</f>
        <v>0.2641455828</v>
      </c>
      <c r="U117" s="8">
        <f>S117/$Z$1</f>
        <v>0.60307210684931511</v>
      </c>
      <c r="V117" s="12">
        <f t="shared" ref="V117:V127" si="147">O117</f>
        <v>0.19820920254005664</v>
      </c>
    </row>
    <row r="118" spans="2:22" x14ac:dyDescent="0.3">
      <c r="B118">
        <v>2</v>
      </c>
      <c r="C118">
        <v>4981.7</v>
      </c>
      <c r="D118">
        <v>43567.199999999997</v>
      </c>
      <c r="E118">
        <v>3048.1</v>
      </c>
      <c r="F118">
        <f t="shared" si="144"/>
        <v>4.3567200000000001</v>
      </c>
      <c r="G118">
        <f t="shared" si="145"/>
        <v>0.49817</v>
      </c>
      <c r="H118">
        <f t="shared" si="146"/>
        <v>3.8585500000000001</v>
      </c>
      <c r="I118">
        <f t="shared" ref="I118:I127" si="148">E118/10000</f>
        <v>0.30480999999999997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0.17581915780985463</v>
      </c>
      <c r="P118" s="4">
        <v>3</v>
      </c>
      <c r="Q118" s="5">
        <f t="shared" ref="Q118:R127" si="151">H118</f>
        <v>3.8585500000000001</v>
      </c>
      <c r="R118" s="5">
        <f t="shared" si="151"/>
        <v>0.30480999999999997</v>
      </c>
      <c r="S118" s="5">
        <f t="shared" ref="S118:S127" si="152">Q118/10^6*$Z$4*$Z$3/P118*10^12</f>
        <v>4.2868490500000007</v>
      </c>
      <c r="T118" s="5">
        <f t="shared" ref="T118:T127" si="153">S118*0.06</f>
        <v>0.25721094300000003</v>
      </c>
      <c r="U118" s="5">
        <f t="shared" ref="U118:U127" si="154">S118/$Z$1</f>
        <v>0.58723959589041108</v>
      </c>
      <c r="V118" s="5">
        <f t="shared" si="147"/>
        <v>0.17581915780985463</v>
      </c>
    </row>
    <row r="119" spans="2:22" x14ac:dyDescent="0.3">
      <c r="B119">
        <v>3</v>
      </c>
      <c r="C119">
        <v>8479.1</v>
      </c>
      <c r="D119">
        <v>43620.4</v>
      </c>
      <c r="E119">
        <v>3140.5</v>
      </c>
      <c r="F119">
        <f t="shared" si="144"/>
        <v>4.3620400000000004</v>
      </c>
      <c r="G119">
        <f t="shared" si="145"/>
        <v>0.84791000000000005</v>
      </c>
      <c r="H119">
        <f t="shared" si="146"/>
        <v>3.5141300000000002</v>
      </c>
      <c r="I119">
        <f t="shared" si="148"/>
        <v>0.31405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0.15167808274147013</v>
      </c>
      <c r="P119" s="4">
        <v>3</v>
      </c>
      <c r="Q119" s="5">
        <f t="shared" si="151"/>
        <v>3.5141300000000002</v>
      </c>
      <c r="R119" s="5">
        <f t="shared" si="151"/>
        <v>0.31405</v>
      </c>
      <c r="S119" s="5">
        <f t="shared" si="152"/>
        <v>3.904198430000001</v>
      </c>
      <c r="T119" s="5">
        <f t="shared" si="153"/>
        <v>0.23425190580000005</v>
      </c>
      <c r="U119" s="5">
        <f t="shared" si="154"/>
        <v>0.53482170273972618</v>
      </c>
      <c r="V119" s="5">
        <f t="shared" si="147"/>
        <v>0.15167808274147013</v>
      </c>
    </row>
    <row r="120" spans="2:22" x14ac:dyDescent="0.3">
      <c r="B120">
        <v>4</v>
      </c>
      <c r="C120">
        <v>9446.4</v>
      </c>
      <c r="D120">
        <v>26997.599999999999</v>
      </c>
      <c r="E120">
        <v>973</v>
      </c>
      <c r="F120">
        <f t="shared" si="144"/>
        <v>2.6997599999999999</v>
      </c>
      <c r="G120">
        <f t="shared" si="145"/>
        <v>0.94463999999999992</v>
      </c>
      <c r="H120">
        <f t="shared" si="146"/>
        <v>1.75512</v>
      </c>
      <c r="I120">
        <f t="shared" si="148"/>
        <v>9.7299999999999998E-2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9.1867730018902777E-2</v>
      </c>
      <c r="P120" s="4">
        <v>3</v>
      </c>
      <c r="Q120" s="5">
        <f t="shared" si="151"/>
        <v>1.75512</v>
      </c>
      <c r="R120" s="5">
        <f t="shared" si="151"/>
        <v>9.7299999999999998E-2</v>
      </c>
      <c r="S120" s="5">
        <f t="shared" si="152"/>
        <v>1.94993832</v>
      </c>
      <c r="T120" s="5">
        <f t="shared" si="153"/>
        <v>0.1169962992</v>
      </c>
      <c r="U120" s="5">
        <f t="shared" si="154"/>
        <v>0.2671148383561644</v>
      </c>
      <c r="V120" s="5">
        <f t="shared" si="147"/>
        <v>9.1867730018902777E-2</v>
      </c>
    </row>
    <row r="121" spans="2:22" x14ac:dyDescent="0.3">
      <c r="B121">
        <v>5</v>
      </c>
      <c r="C121">
        <v>0</v>
      </c>
      <c r="D121">
        <v>0</v>
      </c>
      <c r="E121">
        <v>0</v>
      </c>
      <c r="F121">
        <f t="shared" si="144"/>
        <v>0</v>
      </c>
      <c r="G121">
        <f t="shared" si="145"/>
        <v>0</v>
      </c>
      <c r="H121">
        <f t="shared" si="146"/>
        <v>0</v>
      </c>
      <c r="I121">
        <f t="shared" si="148"/>
        <v>0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6.6398628016415301E-2</v>
      </c>
      <c r="P121" s="4">
        <v>3</v>
      </c>
      <c r="Q121" s="5">
        <f t="shared" si="151"/>
        <v>0</v>
      </c>
      <c r="R121" s="5">
        <f t="shared" si="151"/>
        <v>0</v>
      </c>
      <c r="S121" s="5">
        <f t="shared" si="152"/>
        <v>0</v>
      </c>
      <c r="T121" s="5">
        <f t="shared" si="153"/>
        <v>0</v>
      </c>
      <c r="U121" s="5">
        <f t="shared" si="154"/>
        <v>0</v>
      </c>
      <c r="V121" s="5">
        <f t="shared" si="147"/>
        <v>6.6398628016415301E-2</v>
      </c>
    </row>
    <row r="122" spans="2:22" x14ac:dyDescent="0.3">
      <c r="B122">
        <v>6</v>
      </c>
      <c r="C122">
        <v>0</v>
      </c>
      <c r="D122">
        <v>0</v>
      </c>
      <c r="E122">
        <v>0</v>
      </c>
      <c r="F122">
        <f t="shared" si="144"/>
        <v>0</v>
      </c>
      <c r="G122">
        <f t="shared" si="145"/>
        <v>0</v>
      </c>
      <c r="H122">
        <f t="shared" si="146"/>
        <v>0</v>
      </c>
      <c r="I122">
        <f t="shared" si="148"/>
        <v>0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4.5960636521975663E-2</v>
      </c>
      <c r="P122" s="4">
        <v>4</v>
      </c>
      <c r="Q122" s="5">
        <f t="shared" si="151"/>
        <v>0</v>
      </c>
      <c r="R122" s="5">
        <f t="shared" si="151"/>
        <v>0</v>
      </c>
      <c r="S122" s="5">
        <f t="shared" si="152"/>
        <v>0</v>
      </c>
      <c r="T122" s="5">
        <f t="shared" si="153"/>
        <v>0</v>
      </c>
      <c r="U122" s="5">
        <f t="shared" si="154"/>
        <v>0</v>
      </c>
      <c r="V122" s="5">
        <f t="shared" si="147"/>
        <v>4.5960636521975663E-2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44"/>
        <v>0</v>
      </c>
      <c r="G123">
        <f t="shared" si="145"/>
        <v>0</v>
      </c>
      <c r="H123">
        <f t="shared" si="146"/>
        <v>0</v>
      </c>
      <c r="I123">
        <f t="shared" si="148"/>
        <v>0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3.322568558410173E-2</v>
      </c>
      <c r="P123" s="4">
        <v>4</v>
      </c>
      <c r="Q123" s="5">
        <f t="shared" si="151"/>
        <v>0</v>
      </c>
      <c r="R123" s="5">
        <f t="shared" si="151"/>
        <v>0</v>
      </c>
      <c r="S123" s="5">
        <f t="shared" si="152"/>
        <v>0</v>
      </c>
      <c r="T123" s="5">
        <f t="shared" si="153"/>
        <v>0</v>
      </c>
      <c r="U123" s="5">
        <f t="shared" si="154"/>
        <v>0</v>
      </c>
      <c r="V123" s="5">
        <f t="shared" si="147"/>
        <v>3.322568558410173E-2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44"/>
        <v>0</v>
      </c>
      <c r="G124">
        <f t="shared" si="145"/>
        <v>0</v>
      </c>
      <c r="H124">
        <f t="shared" si="146"/>
        <v>0</v>
      </c>
      <c r="I124">
        <f t="shared" si="148"/>
        <v>0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2.7863577592881189E-2</v>
      </c>
      <c r="P124" s="4">
        <v>5</v>
      </c>
      <c r="Q124" s="5">
        <f t="shared" si="151"/>
        <v>0</v>
      </c>
      <c r="R124" s="5">
        <f t="shared" si="151"/>
        <v>0</v>
      </c>
      <c r="S124" s="5">
        <f t="shared" si="152"/>
        <v>0</v>
      </c>
      <c r="T124" s="5">
        <f t="shared" si="153"/>
        <v>0</v>
      </c>
      <c r="U124" s="5">
        <f t="shared" si="154"/>
        <v>0</v>
      </c>
      <c r="V124" s="5">
        <f t="shared" si="147"/>
        <v>2.7863577592881189E-2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44"/>
        <v>0</v>
      </c>
      <c r="G125">
        <f t="shared" si="145"/>
        <v>0</v>
      </c>
      <c r="H125">
        <f t="shared" si="146"/>
        <v>0</v>
      </c>
      <c r="I125">
        <f t="shared" si="148"/>
        <v>0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2.245606224258696E-2</v>
      </c>
      <c r="P125" s="4">
        <v>8</v>
      </c>
      <c r="Q125" s="5">
        <f t="shared" si="151"/>
        <v>0</v>
      </c>
      <c r="R125" s="5">
        <f t="shared" si="151"/>
        <v>0</v>
      </c>
      <c r="S125" s="5">
        <f t="shared" si="152"/>
        <v>0</v>
      </c>
      <c r="T125" s="5">
        <f t="shared" si="153"/>
        <v>0</v>
      </c>
      <c r="U125" s="5">
        <f t="shared" si="154"/>
        <v>0</v>
      </c>
      <c r="V125" s="5">
        <f t="shared" si="147"/>
        <v>2.245606224258696E-2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1.6081197351276093E-2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1.6081197351276093E-2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1.0370410708360605E-2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1.0370410708360605E-2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698.5</v>
      </c>
      <c r="D131">
        <v>42219.6</v>
      </c>
      <c r="E131">
        <v>4589</v>
      </c>
      <c r="F131">
        <f t="shared" ref="F131:F141" si="156">D131/10000</f>
        <v>4.2219600000000002</v>
      </c>
      <c r="G131">
        <f t="shared" ref="G131:G141" si="157">C131/10000</f>
        <v>6.9849999999999995E-2</v>
      </c>
      <c r="H131">
        <f t="shared" ref="H131:H141" si="158">F131-G131</f>
        <v>4.1521100000000004</v>
      </c>
      <c r="I131">
        <f>E131/10000</f>
        <v>0.45889999999999997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0.13213946836003776</v>
      </c>
      <c r="P131" s="2">
        <v>3</v>
      </c>
      <c r="Q131" s="8">
        <f>H131</f>
        <v>4.1521100000000004</v>
      </c>
      <c r="R131" s="8">
        <f>I131</f>
        <v>0.45889999999999997</v>
      </c>
      <c r="S131" s="8">
        <f>Q131/10^6*$Z$4*$Z$3/P131*10^12</f>
        <v>4.6129942100000001</v>
      </c>
      <c r="T131" s="8">
        <f>S131*0.06</f>
        <v>0.27677965259999998</v>
      </c>
      <c r="U131" s="8">
        <f>S131/$Z$1</f>
        <v>0.63191701506849318</v>
      </c>
      <c r="V131" s="12">
        <f t="shared" ref="V131:V141" si="159">O131</f>
        <v>0.13213946836003776</v>
      </c>
    </row>
    <row r="132" spans="2:22" x14ac:dyDescent="0.3">
      <c r="B132">
        <v>2</v>
      </c>
      <c r="C132">
        <v>5030.6000000000004</v>
      </c>
      <c r="D132">
        <v>41687.4</v>
      </c>
      <c r="E132">
        <v>3819.1</v>
      </c>
      <c r="F132">
        <f t="shared" si="156"/>
        <v>4.1687400000000006</v>
      </c>
      <c r="G132">
        <f t="shared" si="157"/>
        <v>0.50306000000000006</v>
      </c>
      <c r="H132">
        <f t="shared" si="158"/>
        <v>3.6656800000000005</v>
      </c>
      <c r="I132">
        <f t="shared" ref="I132:I141" si="160">E132/10000</f>
        <v>0.38190999999999997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0.11721277187323642</v>
      </c>
      <c r="P132" s="4">
        <v>3</v>
      </c>
      <c r="Q132" s="5">
        <f t="shared" ref="Q132:R141" si="163">H132</f>
        <v>3.6656800000000005</v>
      </c>
      <c r="R132" s="5">
        <f t="shared" si="163"/>
        <v>0.38190999999999997</v>
      </c>
      <c r="S132" s="5">
        <f t="shared" ref="S132:S141" si="164">Q132/10^6*$Z$4*$Z$3/P132*10^12</f>
        <v>4.0725704800000004</v>
      </c>
      <c r="T132" s="5">
        <f t="shared" ref="T132:T141" si="165">S132*0.06</f>
        <v>0.24435422880000002</v>
      </c>
      <c r="U132" s="5">
        <f t="shared" ref="U132:U141" si="166">S132/$Z$1</f>
        <v>0.55788636712328776</v>
      </c>
      <c r="V132" s="5">
        <f t="shared" si="159"/>
        <v>0.11721277187323642</v>
      </c>
    </row>
    <row r="133" spans="2:22" x14ac:dyDescent="0.3">
      <c r="B133">
        <v>3</v>
      </c>
      <c r="C133">
        <v>7603.2</v>
      </c>
      <c r="D133">
        <v>38559.300000000003</v>
      </c>
      <c r="E133">
        <v>3631.5</v>
      </c>
      <c r="F133">
        <f t="shared" si="156"/>
        <v>3.8559300000000003</v>
      </c>
      <c r="G133">
        <f t="shared" si="157"/>
        <v>0.76032</v>
      </c>
      <c r="H133">
        <f t="shared" si="158"/>
        <v>3.0956100000000002</v>
      </c>
      <c r="I133">
        <f t="shared" si="160"/>
        <v>0.36314999999999997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0.10111872182764674</v>
      </c>
      <c r="P133" s="4">
        <v>3</v>
      </c>
      <c r="Q133" s="5">
        <f t="shared" si="163"/>
        <v>3.0956100000000002</v>
      </c>
      <c r="R133" s="5">
        <f t="shared" si="163"/>
        <v>0.36314999999999997</v>
      </c>
      <c r="S133" s="5">
        <f t="shared" si="164"/>
        <v>3.4392227100000006</v>
      </c>
      <c r="T133" s="5">
        <f t="shared" si="165"/>
        <v>0.20635336260000003</v>
      </c>
      <c r="U133" s="5">
        <f t="shared" si="166"/>
        <v>0.47112639863013706</v>
      </c>
      <c r="V133" s="5">
        <f t="shared" si="159"/>
        <v>0.10111872182764674</v>
      </c>
    </row>
    <row r="134" spans="2:22" x14ac:dyDescent="0.3">
      <c r="B134">
        <v>4</v>
      </c>
      <c r="C134">
        <v>7353.5</v>
      </c>
      <c r="D134">
        <v>27177.599999999999</v>
      </c>
      <c r="E134">
        <v>584.5</v>
      </c>
      <c r="F134">
        <f t="shared" si="156"/>
        <v>2.7177599999999997</v>
      </c>
      <c r="G134">
        <f t="shared" si="157"/>
        <v>0.73534999999999995</v>
      </c>
      <c r="H134">
        <f t="shared" si="158"/>
        <v>1.9824099999999998</v>
      </c>
      <c r="I134">
        <f t="shared" si="160"/>
        <v>5.8450000000000002E-2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6.124515334593518E-2</v>
      </c>
      <c r="P134" s="4">
        <v>3</v>
      </c>
      <c r="Q134" s="5">
        <f t="shared" si="163"/>
        <v>1.9824099999999998</v>
      </c>
      <c r="R134" s="5">
        <f t="shared" si="163"/>
        <v>5.8450000000000002E-2</v>
      </c>
      <c r="S134" s="5">
        <f t="shared" si="164"/>
        <v>2.2024575099999999</v>
      </c>
      <c r="T134" s="5">
        <f t="shared" si="165"/>
        <v>0.13214745059999999</v>
      </c>
      <c r="U134" s="5">
        <f t="shared" si="166"/>
        <v>0.30170650821917805</v>
      </c>
      <c r="V134" s="5">
        <f t="shared" si="159"/>
        <v>6.124515334593518E-2</v>
      </c>
    </row>
    <row r="135" spans="2:22" x14ac:dyDescent="0.3">
      <c r="B135">
        <v>5</v>
      </c>
      <c r="C135">
        <v>3670.3</v>
      </c>
      <c r="D135">
        <v>15930.1</v>
      </c>
      <c r="E135">
        <v>395.6</v>
      </c>
      <c r="F135">
        <f t="shared" si="156"/>
        <v>1.59301</v>
      </c>
      <c r="G135">
        <f t="shared" si="157"/>
        <v>0.36703000000000002</v>
      </c>
      <c r="H135">
        <f t="shared" si="158"/>
        <v>1.2259800000000001</v>
      </c>
      <c r="I135">
        <f t="shared" si="160"/>
        <v>3.9560000000000005E-2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4.4265752010943536E-2</v>
      </c>
      <c r="P135" s="4">
        <v>3</v>
      </c>
      <c r="Q135" s="5">
        <f t="shared" si="163"/>
        <v>1.2259800000000001</v>
      </c>
      <c r="R135" s="5">
        <f t="shared" si="163"/>
        <v>3.9560000000000005E-2</v>
      </c>
      <c r="S135" s="5">
        <f t="shared" si="164"/>
        <v>1.3620637800000002</v>
      </c>
      <c r="T135" s="5">
        <f t="shared" si="165"/>
        <v>8.172382680000001E-2</v>
      </c>
      <c r="U135" s="5">
        <f t="shared" si="166"/>
        <v>0.18658407945205482</v>
      </c>
      <c r="V135" s="5">
        <f t="shared" si="159"/>
        <v>4.4265752010943536E-2</v>
      </c>
    </row>
    <row r="136" spans="2:22" x14ac:dyDescent="0.3">
      <c r="B136">
        <v>6</v>
      </c>
      <c r="C136">
        <v>0</v>
      </c>
      <c r="D136">
        <v>0</v>
      </c>
      <c r="E136">
        <v>0</v>
      </c>
      <c r="F136">
        <f t="shared" si="156"/>
        <v>0</v>
      </c>
      <c r="G136">
        <f t="shared" si="157"/>
        <v>0</v>
      </c>
      <c r="H136">
        <f t="shared" si="158"/>
        <v>0</v>
      </c>
      <c r="I136">
        <f t="shared" si="160"/>
        <v>0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3.0640424347983773E-2</v>
      </c>
      <c r="P136" s="4">
        <v>4</v>
      </c>
      <c r="Q136" s="5">
        <f t="shared" si="163"/>
        <v>0</v>
      </c>
      <c r="R136" s="5">
        <f t="shared" si="163"/>
        <v>0</v>
      </c>
      <c r="S136" s="5">
        <f t="shared" si="164"/>
        <v>0</v>
      </c>
      <c r="T136" s="5">
        <f t="shared" si="165"/>
        <v>0</v>
      </c>
      <c r="U136" s="5">
        <f t="shared" si="166"/>
        <v>0</v>
      </c>
      <c r="V136" s="5">
        <f t="shared" si="159"/>
        <v>3.0640424347983773E-2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2.2150457056067822E-2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2.2150457056067822E-2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1.8575718395254126E-2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1.8575718395254126E-2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1.4970708161724642E-2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1.4970708161724642E-2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1.0720798234184061E-2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1.0720798234184061E-2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6.9136071389070703E-3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6.9136071389070703E-3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628.6</v>
      </c>
      <c r="D145">
        <v>39437.9</v>
      </c>
      <c r="E145">
        <v>5407</v>
      </c>
      <c r="F145">
        <f t="shared" ref="F145:F155" si="168">D145/10000</f>
        <v>3.9437900000000004</v>
      </c>
      <c r="G145">
        <f t="shared" ref="G145:G155" si="169">C145/10000</f>
        <v>6.2859999999999999E-2</v>
      </c>
      <c r="H145">
        <f t="shared" ref="H145:H155" si="170">F145-G145</f>
        <v>3.8809300000000002</v>
      </c>
      <c r="I145">
        <f>E145/10000</f>
        <v>0.54069999999999996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9.910460127002832E-2</v>
      </c>
      <c r="P145" s="2">
        <v>3</v>
      </c>
      <c r="Q145" s="8">
        <f>H145</f>
        <v>3.8809300000000002</v>
      </c>
      <c r="R145" s="8">
        <f>I145</f>
        <v>0.54069999999999996</v>
      </c>
      <c r="S145" s="8">
        <f>Q145/10^6*$Z$4*$Z$3/P145*10^12</f>
        <v>4.3117132300000005</v>
      </c>
      <c r="T145" s="8">
        <f>S145*0.06</f>
        <v>0.2587027938</v>
      </c>
      <c r="U145" s="8">
        <f>S145/$Z$1</f>
        <v>0.59064564794520558</v>
      </c>
      <c r="V145" s="12">
        <f t="shared" ref="V145:V155" si="171">O145</f>
        <v>9.910460127002832E-2</v>
      </c>
    </row>
    <row r="146" spans="2:22" x14ac:dyDescent="0.3">
      <c r="B146">
        <v>2</v>
      </c>
      <c r="C146">
        <v>6226.6</v>
      </c>
      <c r="D146">
        <v>40312.6</v>
      </c>
      <c r="E146">
        <v>4930.6000000000004</v>
      </c>
      <c r="F146">
        <f t="shared" si="168"/>
        <v>4.0312599999999996</v>
      </c>
      <c r="G146">
        <f t="shared" si="169"/>
        <v>0.62265999999999999</v>
      </c>
      <c r="H146">
        <f t="shared" si="170"/>
        <v>3.4085999999999999</v>
      </c>
      <c r="I146">
        <f t="shared" ref="I146:I155" si="172">E146/10000</f>
        <v>0.49306000000000005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8.7909578904927316E-2</v>
      </c>
      <c r="P146" s="4">
        <v>3</v>
      </c>
      <c r="Q146" s="5">
        <f t="shared" ref="Q146:R155" si="175">H146</f>
        <v>3.4085999999999999</v>
      </c>
      <c r="R146" s="5">
        <f t="shared" si="175"/>
        <v>0.49306000000000005</v>
      </c>
      <c r="S146" s="5">
        <f t="shared" ref="S146:S155" si="176">Q146/10^6*$Z$4*$Z$3/P146*10^12</f>
        <v>3.7869545999999996</v>
      </c>
      <c r="T146" s="5">
        <f t="shared" ref="T146:T155" si="177">S146*0.06</f>
        <v>0.22721727599999997</v>
      </c>
      <c r="U146" s="5">
        <f t="shared" ref="U146:U155" si="178">S146/$Z$1</f>
        <v>0.51876090410958897</v>
      </c>
      <c r="V146" s="5">
        <f t="shared" si="171"/>
        <v>8.7909578904927316E-2</v>
      </c>
    </row>
    <row r="147" spans="2:22" x14ac:dyDescent="0.3">
      <c r="B147">
        <v>3</v>
      </c>
      <c r="C147">
        <v>7985.2</v>
      </c>
      <c r="D147">
        <v>34111.4</v>
      </c>
      <c r="E147">
        <v>4194.8999999999996</v>
      </c>
      <c r="F147">
        <f t="shared" si="168"/>
        <v>3.4111400000000001</v>
      </c>
      <c r="G147">
        <f t="shared" si="169"/>
        <v>0.79852000000000001</v>
      </c>
      <c r="H147">
        <f t="shared" si="170"/>
        <v>2.6126200000000002</v>
      </c>
      <c r="I147">
        <f t="shared" si="172"/>
        <v>0.41948999999999997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7.5839041370735064E-2</v>
      </c>
      <c r="P147" s="4">
        <v>3</v>
      </c>
      <c r="Q147" s="5">
        <f t="shared" si="175"/>
        <v>2.6126200000000002</v>
      </c>
      <c r="R147" s="5">
        <f t="shared" si="175"/>
        <v>0.41948999999999997</v>
      </c>
      <c r="S147" s="5">
        <f t="shared" si="176"/>
        <v>2.9026208200000005</v>
      </c>
      <c r="T147" s="5">
        <f t="shared" si="177"/>
        <v>0.17415724920000003</v>
      </c>
      <c r="U147" s="5">
        <f t="shared" si="178"/>
        <v>0.397619290410959</v>
      </c>
      <c r="V147" s="5">
        <f t="shared" si="171"/>
        <v>7.5839041370735064E-2</v>
      </c>
    </row>
    <row r="148" spans="2:22" x14ac:dyDescent="0.3">
      <c r="B148">
        <v>4</v>
      </c>
      <c r="C148">
        <v>6287</v>
      </c>
      <c r="D148">
        <v>20423.8</v>
      </c>
      <c r="E148">
        <v>613.5</v>
      </c>
      <c r="F148">
        <f t="shared" si="168"/>
        <v>2.0423800000000001</v>
      </c>
      <c r="G148">
        <f t="shared" si="169"/>
        <v>0.62870000000000004</v>
      </c>
      <c r="H148">
        <f t="shared" si="170"/>
        <v>1.41368</v>
      </c>
      <c r="I148">
        <f t="shared" si="172"/>
        <v>6.1350000000000002E-2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4.5933865009451388E-2</v>
      </c>
      <c r="P148" s="4">
        <v>3</v>
      </c>
      <c r="Q148" s="5">
        <f t="shared" si="175"/>
        <v>1.41368</v>
      </c>
      <c r="R148" s="5">
        <f t="shared" si="175"/>
        <v>6.1350000000000002E-2</v>
      </c>
      <c r="S148" s="5">
        <f t="shared" si="176"/>
        <v>1.5705984800000001</v>
      </c>
      <c r="T148" s="5">
        <f t="shared" si="177"/>
        <v>9.4235908800000004E-2</v>
      </c>
      <c r="U148" s="5">
        <f t="shared" si="178"/>
        <v>0.21515047671232879</v>
      </c>
      <c r="V148" s="5">
        <f t="shared" si="171"/>
        <v>4.5933865009451388E-2</v>
      </c>
    </row>
    <row r="149" spans="2:22" x14ac:dyDescent="0.3">
      <c r="B149">
        <v>5</v>
      </c>
      <c r="C149">
        <v>1325.3</v>
      </c>
      <c r="D149">
        <v>13692.9</v>
      </c>
      <c r="E149">
        <v>774.5</v>
      </c>
      <c r="F149">
        <f t="shared" si="168"/>
        <v>1.3692899999999999</v>
      </c>
      <c r="G149">
        <f t="shared" si="169"/>
        <v>0.13253000000000001</v>
      </c>
      <c r="H149">
        <f t="shared" si="170"/>
        <v>1.2367599999999999</v>
      </c>
      <c r="I149">
        <f t="shared" si="172"/>
        <v>7.7450000000000005E-2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3.319931400820765E-2</v>
      </c>
      <c r="P149" s="4">
        <v>3</v>
      </c>
      <c r="Q149" s="5">
        <f t="shared" si="175"/>
        <v>1.2367599999999999</v>
      </c>
      <c r="R149" s="5">
        <f t="shared" si="175"/>
        <v>7.7450000000000005E-2</v>
      </c>
      <c r="S149" s="5">
        <f t="shared" si="176"/>
        <v>1.37404036</v>
      </c>
      <c r="T149" s="5">
        <f t="shared" si="177"/>
        <v>8.2442421599999996E-2</v>
      </c>
      <c r="U149" s="5">
        <f t="shared" si="178"/>
        <v>0.18822470684931505</v>
      </c>
      <c r="V149" s="5">
        <f t="shared" si="171"/>
        <v>3.319931400820765E-2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2.2980318260987832E-2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2.2980318260987832E-2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1.6612842792050865E-2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1.6612842792050865E-2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1.3931788796440595E-2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1.3931788796440595E-2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1.122803112129348E-2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1.122803112129348E-2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8.0405986756380467E-3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8.0405986756380467E-3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5.1852053541803023E-3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5.1852053541803023E-3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445.5</v>
      </c>
      <c r="D159">
        <v>36617.800000000003</v>
      </c>
      <c r="E159">
        <v>5316.7</v>
      </c>
      <c r="F159">
        <f t="shared" ref="F159:F169" si="180">D159/10000</f>
        <v>3.6617800000000003</v>
      </c>
      <c r="G159">
        <f t="shared" ref="G159:G169" si="181">C159/10000</f>
        <v>4.4549999999999999E-2</v>
      </c>
      <c r="H159">
        <f t="shared" ref="H159:H169" si="182">F159-G159</f>
        <v>3.6172300000000002</v>
      </c>
      <c r="I159">
        <f>E159/10000</f>
        <v>0.53166999999999998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7.928368101602265E-2</v>
      </c>
      <c r="P159" s="2">
        <v>3</v>
      </c>
      <c r="Q159" s="8">
        <f>H159</f>
        <v>3.6172300000000002</v>
      </c>
      <c r="R159" s="8">
        <f>I159</f>
        <v>0.53166999999999998</v>
      </c>
      <c r="S159" s="8">
        <f>Q159/10^6*$Z$4*$Z$3/P159*10^12</f>
        <v>4.0187425300000008</v>
      </c>
      <c r="T159" s="8">
        <f>S159*0.06</f>
        <v>0.24112455180000003</v>
      </c>
      <c r="U159" s="8">
        <f>S159/$Z$1</f>
        <v>0.55051267534246584</v>
      </c>
      <c r="V159" s="12">
        <f t="shared" ref="V159:V169" si="183">O159</f>
        <v>7.928368101602265E-2</v>
      </c>
    </row>
    <row r="160" spans="2:22" x14ac:dyDescent="0.3">
      <c r="B160">
        <v>2</v>
      </c>
      <c r="C160">
        <v>5093.3999999999996</v>
      </c>
      <c r="D160">
        <v>34148.1</v>
      </c>
      <c r="E160">
        <v>6451.1</v>
      </c>
      <c r="F160">
        <f t="shared" si="180"/>
        <v>3.4148099999999997</v>
      </c>
      <c r="G160">
        <f t="shared" si="181"/>
        <v>0.50934000000000001</v>
      </c>
      <c r="H160">
        <f t="shared" si="182"/>
        <v>2.9054699999999998</v>
      </c>
      <c r="I160">
        <f t="shared" ref="I160:I169" si="184">E160/10000</f>
        <v>0.64511000000000007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7.0327663123941841E-2</v>
      </c>
      <c r="P160" s="4">
        <v>3</v>
      </c>
      <c r="Q160" s="5">
        <f t="shared" ref="Q160:R169" si="187">H160</f>
        <v>2.9054699999999998</v>
      </c>
      <c r="R160" s="5">
        <f t="shared" si="187"/>
        <v>0.64511000000000007</v>
      </c>
      <c r="S160" s="5">
        <f t="shared" ref="S160:S169" si="188">Q160/10^6*$Z$4*$Z$3/P160*10^12</f>
        <v>3.22797717</v>
      </c>
      <c r="T160" s="5">
        <f t="shared" ref="T160:T169" si="189">S160*0.06</f>
        <v>0.19367863019999998</v>
      </c>
      <c r="U160" s="5">
        <f t="shared" ref="U160:U169" si="190">S160/$Z$1</f>
        <v>0.44218865342465752</v>
      </c>
      <c r="V160" s="5">
        <f t="shared" si="183"/>
        <v>7.0327663123941841E-2</v>
      </c>
    </row>
    <row r="161" spans="2:22" x14ac:dyDescent="0.3">
      <c r="B161">
        <v>3</v>
      </c>
      <c r="C161">
        <v>6007.5</v>
      </c>
      <c r="D161">
        <v>26967.200000000001</v>
      </c>
      <c r="E161">
        <v>6348.1</v>
      </c>
      <c r="F161">
        <f t="shared" si="180"/>
        <v>2.69672</v>
      </c>
      <c r="G161">
        <f t="shared" si="181"/>
        <v>0.60075000000000001</v>
      </c>
      <c r="H161">
        <f t="shared" si="182"/>
        <v>2.0959699999999999</v>
      </c>
      <c r="I161">
        <f t="shared" si="184"/>
        <v>0.63480999999999999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6.0671233096588048E-2</v>
      </c>
      <c r="P161" s="4">
        <v>3</v>
      </c>
      <c r="Q161" s="5">
        <f t="shared" si="187"/>
        <v>2.0959699999999999</v>
      </c>
      <c r="R161" s="5">
        <f t="shared" si="187"/>
        <v>0.63480999999999999</v>
      </c>
      <c r="S161" s="5">
        <f t="shared" si="188"/>
        <v>2.3286226700000001</v>
      </c>
      <c r="T161" s="5">
        <f t="shared" si="189"/>
        <v>0.1397173602</v>
      </c>
      <c r="U161" s="5">
        <f t="shared" si="190"/>
        <v>0.31898940684931509</v>
      </c>
      <c r="V161" s="5">
        <f t="shared" si="183"/>
        <v>6.0671233096588048E-2</v>
      </c>
    </row>
    <row r="162" spans="2:22" x14ac:dyDescent="0.3">
      <c r="B162">
        <v>4</v>
      </c>
      <c r="C162">
        <v>5574.4</v>
      </c>
      <c r="D162">
        <v>14494.8</v>
      </c>
      <c r="E162">
        <v>805</v>
      </c>
      <c r="F162">
        <f t="shared" si="180"/>
        <v>1.4494799999999999</v>
      </c>
      <c r="G162">
        <f t="shared" si="181"/>
        <v>0.55743999999999994</v>
      </c>
      <c r="H162">
        <f t="shared" si="182"/>
        <v>0.89203999999999994</v>
      </c>
      <c r="I162">
        <f t="shared" si="184"/>
        <v>8.0500000000000002E-2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3.6747092007561107E-2</v>
      </c>
      <c r="P162" s="4">
        <v>3</v>
      </c>
      <c r="Q162" s="5">
        <f t="shared" si="187"/>
        <v>0.89203999999999994</v>
      </c>
      <c r="R162" s="5">
        <f t="shared" si="187"/>
        <v>8.0500000000000002E-2</v>
      </c>
      <c r="S162" s="5">
        <f t="shared" si="188"/>
        <v>0.99105643999999993</v>
      </c>
      <c r="T162" s="5">
        <f t="shared" si="189"/>
        <v>5.9463386399999991E-2</v>
      </c>
      <c r="U162" s="5">
        <f t="shared" si="190"/>
        <v>0.13576115616438356</v>
      </c>
      <c r="V162" s="5">
        <f t="shared" si="183"/>
        <v>3.6747092007561107E-2</v>
      </c>
    </row>
    <row r="163" spans="2:22" x14ac:dyDescent="0.3">
      <c r="B163">
        <v>5</v>
      </c>
      <c r="C163">
        <v>0</v>
      </c>
      <c r="D163">
        <v>0</v>
      </c>
      <c r="F163">
        <f t="shared" si="180"/>
        <v>0</v>
      </c>
      <c r="G163">
        <f t="shared" si="181"/>
        <v>0</v>
      </c>
      <c r="H163">
        <f t="shared" si="182"/>
        <v>0</v>
      </c>
      <c r="I163">
        <f t="shared" si="184"/>
        <v>0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2.6559451206566127E-2</v>
      </c>
      <c r="P163" s="4">
        <v>3</v>
      </c>
      <c r="Q163" s="5">
        <f t="shared" si="187"/>
        <v>0</v>
      </c>
      <c r="R163" s="5">
        <f t="shared" si="187"/>
        <v>0</v>
      </c>
      <c r="S163" s="5">
        <f t="shared" si="188"/>
        <v>0</v>
      </c>
      <c r="T163" s="5">
        <f t="shared" si="189"/>
        <v>0</v>
      </c>
      <c r="U163" s="5">
        <f t="shared" si="190"/>
        <v>0</v>
      </c>
      <c r="V163" s="5">
        <f t="shared" si="183"/>
        <v>2.6559451206566127E-2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1.8384254608790264E-2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1.8384254608790264E-2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1.3290274233640691E-2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1.3290274233640691E-2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1.1145431037152476E-2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1.1145431037152476E-2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8.9824248970347843E-3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8.9824248970347843E-3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6.432478940510437E-3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6.432478940510437E-3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4.1481642833442415E-3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4.1481642833442415E-3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Q170"/>
  <sheetViews>
    <sheetView topLeftCell="C1"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3198.7</v>
      </c>
      <c r="D5">
        <v>83595.7</v>
      </c>
      <c r="E5">
        <v>3425.6</v>
      </c>
      <c r="F5">
        <f t="shared" ref="F5:F15" si="0">D5/10000</f>
        <v>8.3595699999999997</v>
      </c>
      <c r="G5">
        <f t="shared" ref="G5:G15" si="1">C5/10000</f>
        <v>0.31986999999999999</v>
      </c>
      <c r="H5">
        <f t="shared" ref="H5:H15" si="2">F5-G5</f>
        <v>8.0396999999999998</v>
      </c>
      <c r="I5">
        <f>E5/10000</f>
        <v>0.34255999999999998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0.82587167725023602</v>
      </c>
      <c r="P5" s="2">
        <v>3</v>
      </c>
      <c r="Q5" s="8">
        <f>H5</f>
        <v>8.0396999999999998</v>
      </c>
      <c r="R5" s="8">
        <f>I5</f>
        <v>0.34255999999999998</v>
      </c>
      <c r="S5" s="8">
        <f>Q5/10^6*$Z$4*$Z$3/P5*10^12</f>
        <v>8.9321067000000021</v>
      </c>
      <c r="T5" s="8">
        <f>S5*0.06</f>
        <v>0.53592640200000008</v>
      </c>
      <c r="U5" s="8">
        <f>S5/$Z$1</f>
        <v>1.2235762602739728</v>
      </c>
      <c r="V5" s="12">
        <f t="shared" ref="V5:V15" si="4">O5</f>
        <v>0.82587167725023602</v>
      </c>
    </row>
    <row r="6" spans="2:95" x14ac:dyDescent="0.3">
      <c r="B6">
        <v>2</v>
      </c>
      <c r="C6">
        <v>873.5</v>
      </c>
      <c r="D6">
        <v>79489</v>
      </c>
      <c r="E6">
        <v>3070.1</v>
      </c>
      <c r="F6">
        <f t="shared" si="0"/>
        <v>7.9489000000000001</v>
      </c>
      <c r="G6">
        <f t="shared" si="1"/>
        <v>8.7349999999999997E-2</v>
      </c>
      <c r="H6">
        <f t="shared" si="2"/>
        <v>7.8615500000000003</v>
      </c>
      <c r="I6">
        <f t="shared" ref="I6:I15" si="5">E6/10000</f>
        <v>0.30701000000000001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0.7325798242077276</v>
      </c>
      <c r="P6" s="4">
        <v>3</v>
      </c>
      <c r="Q6" s="5">
        <f t="shared" ref="Q6:R15" si="7">H6</f>
        <v>7.8615500000000003</v>
      </c>
      <c r="R6" s="5">
        <f t="shared" si="7"/>
        <v>0.30701000000000001</v>
      </c>
      <c r="S6" s="5">
        <f t="shared" ref="S6:S15" si="8">Q6/10^6*$Z$4*$Z$3/P6*10^12</f>
        <v>8.7341820500000029</v>
      </c>
      <c r="T6" s="5">
        <f t="shared" ref="T6:T15" si="9">S6*0.06</f>
        <v>0.52405092300000011</v>
      </c>
      <c r="U6" s="5">
        <f t="shared" ref="U6:U15" si="10">S6/$Z$1</f>
        <v>1.1964632945205484</v>
      </c>
      <c r="V6" s="5">
        <f t="shared" si="4"/>
        <v>0.7325798242077276</v>
      </c>
    </row>
    <row r="7" spans="2:95" x14ac:dyDescent="0.3">
      <c r="B7">
        <v>3</v>
      </c>
      <c r="C7">
        <v>-2668.9</v>
      </c>
      <c r="D7">
        <v>72694.100000000006</v>
      </c>
      <c r="E7">
        <v>3278.5</v>
      </c>
      <c r="F7">
        <f t="shared" si="0"/>
        <v>7.2694100000000006</v>
      </c>
      <c r="G7">
        <f t="shared" si="1"/>
        <v>-0.26689000000000002</v>
      </c>
      <c r="H7">
        <f t="shared" si="2"/>
        <v>7.5363000000000007</v>
      </c>
      <c r="I7">
        <f t="shared" si="5"/>
        <v>0.32784999999999997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0.63199201142279215</v>
      </c>
      <c r="P7" s="4">
        <v>3</v>
      </c>
      <c r="Q7" s="5">
        <f t="shared" si="7"/>
        <v>7.5363000000000007</v>
      </c>
      <c r="R7" s="5">
        <f t="shared" si="7"/>
        <v>0.32784999999999997</v>
      </c>
      <c r="S7" s="5">
        <f t="shared" si="8"/>
        <v>8.3728293000000011</v>
      </c>
      <c r="T7" s="5">
        <f t="shared" si="9"/>
        <v>0.50236975800000006</v>
      </c>
      <c r="U7" s="5">
        <f t="shared" si="10"/>
        <v>1.1469629178082195</v>
      </c>
      <c r="V7" s="5">
        <f t="shared" si="4"/>
        <v>0.63199201142279215</v>
      </c>
      <c r="Y7" t="s">
        <v>41</v>
      </c>
      <c r="Z7">
        <v>6</v>
      </c>
    </row>
    <row r="8" spans="2:95" x14ac:dyDescent="0.3">
      <c r="B8">
        <v>4</v>
      </c>
      <c r="C8">
        <v>-3941.4</v>
      </c>
      <c r="D8">
        <v>51781</v>
      </c>
      <c r="E8">
        <v>1279</v>
      </c>
      <c r="F8">
        <f t="shared" si="0"/>
        <v>5.1780999999999997</v>
      </c>
      <c r="G8">
        <f t="shared" si="1"/>
        <v>-0.39413999999999999</v>
      </c>
      <c r="H8">
        <f t="shared" si="2"/>
        <v>5.5722399999999999</v>
      </c>
      <c r="I8">
        <f t="shared" si="5"/>
        <v>0.12790000000000001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0.38278220841209487</v>
      </c>
      <c r="P8" s="4">
        <v>3</v>
      </c>
      <c r="Q8" s="5">
        <f t="shared" si="7"/>
        <v>5.5722399999999999</v>
      </c>
      <c r="R8" s="5">
        <f t="shared" si="7"/>
        <v>0.12790000000000001</v>
      </c>
      <c r="S8" s="5">
        <f t="shared" si="8"/>
        <v>6.1907586400000003</v>
      </c>
      <c r="T8" s="5">
        <f t="shared" si="9"/>
        <v>0.37144551840000001</v>
      </c>
      <c r="U8" s="5">
        <f t="shared" si="10"/>
        <v>0.84804912876712335</v>
      </c>
      <c r="V8" s="5">
        <f t="shared" si="4"/>
        <v>0.38278220841209487</v>
      </c>
    </row>
    <row r="9" spans="2:95" x14ac:dyDescent="0.3">
      <c r="B9">
        <v>5</v>
      </c>
      <c r="C9">
        <v>-3259</v>
      </c>
      <c r="D9">
        <v>54253.2</v>
      </c>
      <c r="E9">
        <v>1396.2</v>
      </c>
      <c r="F9">
        <f t="shared" si="0"/>
        <v>5.4253200000000001</v>
      </c>
      <c r="G9">
        <f t="shared" si="1"/>
        <v>-0.32590000000000002</v>
      </c>
      <c r="H9">
        <f t="shared" si="2"/>
        <v>5.75122</v>
      </c>
      <c r="I9">
        <f t="shared" si="5"/>
        <v>0.13961999999999999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0.27666095006839714</v>
      </c>
      <c r="P9" s="4">
        <v>3</v>
      </c>
      <c r="Q9" s="5">
        <f t="shared" si="7"/>
        <v>5.75122</v>
      </c>
      <c r="R9" s="5">
        <f t="shared" si="7"/>
        <v>0.13961999999999999</v>
      </c>
      <c r="S9" s="5">
        <f t="shared" si="8"/>
        <v>6.3896054200000005</v>
      </c>
      <c r="T9" s="5">
        <f t="shared" si="9"/>
        <v>0.38337632520000003</v>
      </c>
      <c r="U9" s="5">
        <f t="shared" si="10"/>
        <v>0.8752884136986302</v>
      </c>
      <c r="V9" s="5">
        <f t="shared" si="4"/>
        <v>0.27666095006839714</v>
      </c>
    </row>
    <row r="10" spans="2:95" ht="15" thickBot="1" x14ac:dyDescent="0.35">
      <c r="B10">
        <v>6</v>
      </c>
      <c r="C10">
        <v>-177.8</v>
      </c>
      <c r="D10">
        <v>59044</v>
      </c>
      <c r="E10">
        <v>1179.2</v>
      </c>
      <c r="F10">
        <f t="shared" si="0"/>
        <v>5.9043999999999999</v>
      </c>
      <c r="G10">
        <f t="shared" si="1"/>
        <v>-1.7780000000000001E-2</v>
      </c>
      <c r="H10">
        <f t="shared" si="2"/>
        <v>5.92218</v>
      </c>
      <c r="I10">
        <f t="shared" si="5"/>
        <v>0.11792000000000001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0.19150265217489859</v>
      </c>
      <c r="P10" s="4">
        <v>4</v>
      </c>
      <c r="Q10" s="5">
        <f t="shared" si="7"/>
        <v>5.92218</v>
      </c>
      <c r="R10" s="5">
        <f t="shared" si="7"/>
        <v>0.11792000000000001</v>
      </c>
      <c r="S10" s="5">
        <f t="shared" si="8"/>
        <v>4.9346564850000005</v>
      </c>
      <c r="T10" s="5">
        <f t="shared" si="9"/>
        <v>0.29607938910000003</v>
      </c>
      <c r="U10" s="5">
        <f t="shared" si="10"/>
        <v>0.675980340410959</v>
      </c>
      <c r="V10" s="5">
        <f t="shared" si="4"/>
        <v>0.19150265217489859</v>
      </c>
    </row>
    <row r="11" spans="2:95" ht="15.6" thickTop="1" thickBot="1" x14ac:dyDescent="0.35">
      <c r="B11">
        <v>7</v>
      </c>
      <c r="C11">
        <v>-280.8</v>
      </c>
      <c r="D11">
        <v>15444.1</v>
      </c>
      <c r="E11">
        <v>8678.5</v>
      </c>
      <c r="F11">
        <f t="shared" si="0"/>
        <v>1.5444100000000001</v>
      </c>
      <c r="G11">
        <f t="shared" si="1"/>
        <v>-2.8080000000000001E-2</v>
      </c>
      <c r="H11">
        <f t="shared" si="2"/>
        <v>1.5724900000000002</v>
      </c>
      <c r="I11">
        <f t="shared" si="5"/>
        <v>0.86785000000000001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0.13844035660042389</v>
      </c>
      <c r="P11" s="4">
        <v>4</v>
      </c>
      <c r="Q11" s="5">
        <f t="shared" si="7"/>
        <v>1.5724900000000002</v>
      </c>
      <c r="R11" s="5">
        <f t="shared" si="7"/>
        <v>0.86785000000000001</v>
      </c>
      <c r="S11" s="5">
        <f t="shared" si="8"/>
        <v>1.3102772925000001</v>
      </c>
      <c r="T11" s="5">
        <f t="shared" si="9"/>
        <v>7.8616637550000007E-2</v>
      </c>
      <c r="U11" s="5">
        <f t="shared" si="10"/>
        <v>0.17949004006849317</v>
      </c>
      <c r="V11" s="5">
        <f t="shared" si="4"/>
        <v>0.13844035660042389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0</v>
      </c>
      <c r="D12">
        <v>0</v>
      </c>
      <c r="E12">
        <v>0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5"/>
        <v>0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0.11609823997033829</v>
      </c>
      <c r="P12" s="4">
        <v>5</v>
      </c>
      <c r="Q12" s="5">
        <f t="shared" si="7"/>
        <v>0</v>
      </c>
      <c r="R12" s="5">
        <f t="shared" si="7"/>
        <v>0</v>
      </c>
      <c r="S12" s="5">
        <f t="shared" si="8"/>
        <v>0</v>
      </c>
      <c r="T12" s="5">
        <f t="shared" si="9"/>
        <v>0</v>
      </c>
      <c r="U12" s="5">
        <f t="shared" si="10"/>
        <v>0</v>
      </c>
      <c r="V12" s="5">
        <f t="shared" si="4"/>
        <v>0.11609823997033829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0</v>
      </c>
      <c r="D13">
        <v>0</v>
      </c>
      <c r="E13">
        <v>0</v>
      </c>
      <c r="F13">
        <f t="shared" si="0"/>
        <v>0</v>
      </c>
      <c r="G13">
        <f t="shared" si="1"/>
        <v>0</v>
      </c>
      <c r="H13">
        <f t="shared" si="2"/>
        <v>0</v>
      </c>
      <c r="I13">
        <f t="shared" si="5"/>
        <v>0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9.3566926010778997E-2</v>
      </c>
      <c r="P13" s="4">
        <v>8</v>
      </c>
      <c r="Q13" s="5">
        <f t="shared" si="7"/>
        <v>0</v>
      </c>
      <c r="R13" s="5">
        <f t="shared" si="7"/>
        <v>0</v>
      </c>
      <c r="S13" s="5">
        <f t="shared" si="8"/>
        <v>0</v>
      </c>
      <c r="T13" s="5">
        <f t="shared" si="9"/>
        <v>0</v>
      </c>
      <c r="U13" s="5">
        <f t="shared" si="10"/>
        <v>0</v>
      </c>
      <c r="V13" s="5">
        <f t="shared" si="4"/>
        <v>9.3566926010778997E-2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0</v>
      </c>
      <c r="D14">
        <v>0</v>
      </c>
      <c r="E14">
        <v>0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5"/>
        <v>0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6.7004988963650383E-2</v>
      </c>
      <c r="P14" s="4">
        <v>14</v>
      </c>
      <c r="Q14" s="5">
        <f t="shared" si="7"/>
        <v>0</v>
      </c>
      <c r="R14" s="5">
        <f t="shared" si="7"/>
        <v>0</v>
      </c>
      <c r="S14" s="5">
        <f t="shared" si="8"/>
        <v>0</v>
      </c>
      <c r="T14" s="5">
        <f t="shared" si="9"/>
        <v>0</v>
      </c>
      <c r="U14" s="5">
        <f t="shared" si="10"/>
        <v>0</v>
      </c>
      <c r="V14" s="5">
        <f t="shared" si="4"/>
        <v>6.7004988963650383E-2</v>
      </c>
      <c r="X14" s="31">
        <f t="shared" ref="X14:X20" si="12">O5</f>
        <v>0.82587167725023602</v>
      </c>
      <c r="Y14" s="32">
        <f t="shared" ref="Y14:AA20" si="13">S5</f>
        <v>8.9321067000000021</v>
      </c>
      <c r="Z14" s="32">
        <f t="shared" si="13"/>
        <v>0.53592640200000008</v>
      </c>
      <c r="AA14" s="32">
        <f t="shared" si="13"/>
        <v>1.2235762602739728</v>
      </c>
      <c r="AB14" s="41">
        <f>I5/H5</f>
        <v>4.2608555045586277E-2</v>
      </c>
      <c r="AC14" s="33">
        <f t="shared" ref="AC14:AC20" si="14">R5</f>
        <v>0.34255999999999998</v>
      </c>
      <c r="AD14" s="31">
        <f t="shared" ref="AD14:AD19" si="15">O19</f>
        <v>0.55058111816682398</v>
      </c>
      <c r="AE14" s="32">
        <f t="shared" ref="AE14:AG19" si="16">S19</f>
        <v>5.8008309700000007</v>
      </c>
      <c r="AF14" s="32">
        <f t="shared" si="16"/>
        <v>0.34804985820000001</v>
      </c>
      <c r="AG14" s="32">
        <f t="shared" si="16"/>
        <v>0.79463437945205495</v>
      </c>
      <c r="AH14" s="41">
        <f>I19/H19</f>
        <v>5.5873379465149295E-2</v>
      </c>
      <c r="AI14" s="33">
        <f>R19</f>
        <v>0.29173000000000004</v>
      </c>
      <c r="AJ14" s="31">
        <f t="shared" ref="AJ14:AJ19" si="17">O33</f>
        <v>0.41293583862511801</v>
      </c>
      <c r="AK14" s="32">
        <f t="shared" ref="AK14:AM19" si="18">S33</f>
        <v>5.0087324099999995</v>
      </c>
      <c r="AL14" s="32">
        <f t="shared" si="18"/>
        <v>0.30052394459999998</v>
      </c>
      <c r="AM14" s="32">
        <f t="shared" si="18"/>
        <v>0.68612772739726025</v>
      </c>
      <c r="AN14" s="41">
        <f>I33/H33</f>
        <v>7.8801147214809977E-2</v>
      </c>
      <c r="AO14" s="33">
        <f>R33</f>
        <v>0.35525999999999996</v>
      </c>
      <c r="AP14" s="31">
        <f t="shared" ref="AP14:AP18" si="19">O47</f>
        <v>0.3303486709000944</v>
      </c>
      <c r="AQ14" s="32">
        <f t="shared" ref="AQ14:AS18" si="20">S47</f>
        <v>4.1955915099999999</v>
      </c>
      <c r="AR14" s="32">
        <f t="shared" si="20"/>
        <v>0.2517354906</v>
      </c>
      <c r="AS14" s="32">
        <f t="shared" si="20"/>
        <v>0.57473856301369863</v>
      </c>
      <c r="AT14" s="41">
        <f>I47/H47</f>
        <v>0.10457021350965599</v>
      </c>
      <c r="AU14" s="33">
        <f>R47</f>
        <v>0.39489999999999997</v>
      </c>
      <c r="AV14" s="31">
        <f t="shared" ref="AV14:AV18" si="21">O61</f>
        <v>0.27529055908341199</v>
      </c>
      <c r="AW14" s="32">
        <f t="shared" ref="AW14:AY18" si="22">S61</f>
        <v>4.5648434700000013</v>
      </c>
      <c r="AX14" s="32">
        <f t="shared" si="22"/>
        <v>0.27389060820000005</v>
      </c>
      <c r="AY14" s="32">
        <f t="shared" si="22"/>
        <v>0.62532102328767147</v>
      </c>
      <c r="AZ14" s="41">
        <f>I61/H61</f>
        <v>9.8099917980320125E-2</v>
      </c>
      <c r="BA14" s="33">
        <f>R61</f>
        <v>0.40306999999999998</v>
      </c>
      <c r="BB14" s="31">
        <f t="shared" ref="BB14:BB17" si="23">O75</f>
        <v>0.23596333635721026</v>
      </c>
      <c r="BC14" s="32">
        <f t="shared" ref="BC14:BE17" si="24">S75</f>
        <v>3.1066226400000008</v>
      </c>
      <c r="BD14" s="32">
        <f t="shared" si="24"/>
        <v>0.18639735840000005</v>
      </c>
      <c r="BE14" s="32">
        <f t="shared" si="24"/>
        <v>0.42556474520547954</v>
      </c>
      <c r="BF14" s="41">
        <f>I75/H75</f>
        <v>0.13406574542957686</v>
      </c>
      <c r="BG14" s="33">
        <f>R75</f>
        <v>0.37487999999999999</v>
      </c>
      <c r="BH14" s="31">
        <f t="shared" ref="BH14:BH17" si="25">O89</f>
        <v>0.20646791931255901</v>
      </c>
      <c r="BI14" s="32">
        <f t="shared" ref="BI14:BK17" si="26">S89</f>
        <v>2.98851223</v>
      </c>
      <c r="BJ14" s="32">
        <f t="shared" si="26"/>
        <v>0.17931073379999998</v>
      </c>
      <c r="BK14" s="32">
        <f t="shared" si="26"/>
        <v>0.40938523698630136</v>
      </c>
      <c r="BL14" s="41">
        <f>I89/H89</f>
        <v>0.24440412947548823</v>
      </c>
      <c r="BM14" s="33">
        <f>R89</f>
        <v>0.65743000000000007</v>
      </c>
      <c r="BN14" s="31">
        <f t="shared" ref="BN14:BN17" si="27">O103</f>
        <v>0.18352703938894133</v>
      </c>
      <c r="BO14" s="32">
        <f t="shared" ref="BO14:BQ17" si="28">S103</f>
        <v>3.5050716799999999</v>
      </c>
      <c r="BP14" s="32">
        <f t="shared" si="28"/>
        <v>0.21030430079999998</v>
      </c>
      <c r="BQ14" s="32">
        <f t="shared" si="28"/>
        <v>0.48014680547945204</v>
      </c>
      <c r="BR14" s="41">
        <f>I103/H103</f>
        <v>0.13974224059235216</v>
      </c>
      <c r="BS14" s="33">
        <f>R103</f>
        <v>0.44086999999999998</v>
      </c>
      <c r="BT14" s="31">
        <f t="shared" ref="BT14:BT17" si="29">O117</f>
        <v>0.1651743354500472</v>
      </c>
      <c r="BU14" s="32">
        <f t="shared" ref="BU14:BW17" si="30">S117</f>
        <v>3.3005476900000001</v>
      </c>
      <c r="BV14" s="32">
        <f t="shared" si="30"/>
        <v>0.19803286140000001</v>
      </c>
      <c r="BW14" s="32">
        <f t="shared" si="30"/>
        <v>0.45212982054794526</v>
      </c>
      <c r="BX14" s="41">
        <f>I117/H117</f>
        <v>0.15518431124381057</v>
      </c>
      <c r="BY14" s="33">
        <f>R117</f>
        <v>0.46101999999999999</v>
      </c>
      <c r="BZ14" s="31">
        <f t="shared" ref="BZ14:BZ18" si="31">O131</f>
        <v>0.1101162236333648</v>
      </c>
      <c r="CA14" s="32">
        <f t="shared" ref="CA14:CC18" si="32">S131</f>
        <v>3.1311312999999998</v>
      </c>
      <c r="CB14" s="32">
        <f t="shared" si="32"/>
        <v>0.18786787799999999</v>
      </c>
      <c r="CC14" s="32">
        <f t="shared" si="32"/>
        <v>0.42892209589041097</v>
      </c>
      <c r="CD14" s="41">
        <f>I131/H131</f>
        <v>0.19385799950324664</v>
      </c>
      <c r="CE14" s="33">
        <f>R131</f>
        <v>0.54635</v>
      </c>
      <c r="CF14" s="31">
        <f t="shared" ref="CF14:CF18" si="33">O145</f>
        <v>8.25871677250236E-2</v>
      </c>
      <c r="CG14" s="32">
        <f t="shared" ref="CG14:CI18" si="34">S145</f>
        <v>2.8732904199999996</v>
      </c>
      <c r="CH14" s="32">
        <f t="shared" si="34"/>
        <v>0.17239742519999995</v>
      </c>
      <c r="CI14" s="32">
        <f t="shared" si="34"/>
        <v>0.39360142739726023</v>
      </c>
      <c r="CJ14" s="41">
        <f>I145/H145</f>
        <v>0.20893814138008371</v>
      </c>
      <c r="CK14" s="33">
        <f>R145</f>
        <v>0.54036000000000006</v>
      </c>
      <c r="CL14" s="31">
        <f t="shared" ref="CL14:CL17" si="35">O159</f>
        <v>6.606973418001888E-2</v>
      </c>
      <c r="CM14" s="32">
        <f t="shared" ref="CM14:CO17" si="36">S159</f>
        <v>2.2556410799999997</v>
      </c>
      <c r="CN14" s="32">
        <f t="shared" si="36"/>
        <v>0.13533846479999997</v>
      </c>
      <c r="CO14" s="32">
        <f t="shared" si="36"/>
        <v>0.30899192876712328</v>
      </c>
      <c r="CP14" s="41">
        <f>I159/H159</f>
        <v>0.292447347163938</v>
      </c>
      <c r="CQ14" s="33">
        <f>R159</f>
        <v>0.59375</v>
      </c>
    </row>
    <row r="15" spans="2:95" ht="15" thickBot="1" x14ac:dyDescent="0.35">
      <c r="B15">
        <v>11</v>
      </c>
      <c r="C15">
        <v>0</v>
      </c>
      <c r="D15">
        <v>0</v>
      </c>
      <c r="E15">
        <v>0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5"/>
        <v>0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4.3210044618169186E-2</v>
      </c>
      <c r="P15" s="7">
        <v>21</v>
      </c>
      <c r="Q15" s="6">
        <f t="shared" si="7"/>
        <v>0</v>
      </c>
      <c r="R15" s="6">
        <f t="shared" si="7"/>
        <v>0</v>
      </c>
      <c r="S15" s="6">
        <f t="shared" si="8"/>
        <v>0</v>
      </c>
      <c r="T15" s="6">
        <f t="shared" si="9"/>
        <v>0</v>
      </c>
      <c r="U15" s="6">
        <f t="shared" si="10"/>
        <v>0</v>
      </c>
      <c r="V15" s="6">
        <f t="shared" si="4"/>
        <v>4.3210044618169186E-2</v>
      </c>
      <c r="X15" s="34">
        <f t="shared" si="12"/>
        <v>0.7325798242077276</v>
      </c>
      <c r="Y15" s="35">
        <f t="shared" si="13"/>
        <v>8.7341820500000029</v>
      </c>
      <c r="Z15" s="35">
        <f t="shared" si="13"/>
        <v>0.52405092300000011</v>
      </c>
      <c r="AA15" s="35">
        <f t="shared" si="13"/>
        <v>1.1964632945205484</v>
      </c>
      <c r="AB15" s="42">
        <f t="shared" ref="AB15:AB20" si="37">I6/H6</f>
        <v>3.9052095324713321E-2</v>
      </c>
      <c r="AC15" s="36">
        <f t="shared" si="14"/>
        <v>0.30701000000000001</v>
      </c>
      <c r="AD15" s="34">
        <f t="shared" si="15"/>
        <v>0.48838654947181842</v>
      </c>
      <c r="AE15" s="35">
        <f t="shared" si="16"/>
        <v>5.9325400200000002</v>
      </c>
      <c r="AF15" s="35">
        <f t="shared" si="16"/>
        <v>0.35595240119999999</v>
      </c>
      <c r="AG15" s="35">
        <f t="shared" si="16"/>
        <v>0.81267671506849315</v>
      </c>
      <c r="AH15" s="42">
        <f t="shared" ref="AH15:AH19" si="38">I20/H20</f>
        <v>5.3061713690723669E-2</v>
      </c>
      <c r="AI15" s="36">
        <f t="shared" ref="AI15:AI19" si="39">R20</f>
        <v>0.28334000000000004</v>
      </c>
      <c r="AJ15" s="34">
        <f t="shared" si="17"/>
        <v>0.3662899121038638</v>
      </c>
      <c r="AK15" s="35">
        <f t="shared" si="18"/>
        <v>4.5459564700000001</v>
      </c>
      <c r="AL15" s="35">
        <f t="shared" si="18"/>
        <v>0.27275738820000001</v>
      </c>
      <c r="AM15" s="35">
        <f t="shared" si="18"/>
        <v>0.62273376301369865</v>
      </c>
      <c r="AN15" s="42">
        <f t="shared" ref="AN15:AN19" si="40">I34/H34</f>
        <v>7.7499468445196076E-2</v>
      </c>
      <c r="AO15" s="36">
        <f t="shared" ref="AO15:AO19" si="41">R34</f>
        <v>0.31711</v>
      </c>
      <c r="AP15" s="34">
        <f t="shared" si="19"/>
        <v>0.29303192968309105</v>
      </c>
      <c r="AQ15" s="35">
        <f t="shared" si="20"/>
        <v>4.0178315100000006</v>
      </c>
      <c r="AR15" s="35">
        <f t="shared" si="20"/>
        <v>0.24106989060000003</v>
      </c>
      <c r="AS15" s="35">
        <f t="shared" si="20"/>
        <v>0.55038787808219192</v>
      </c>
      <c r="AT15" s="42">
        <f t="shared" ref="AT15:AT18" si="42">I48/H48</f>
        <v>0.11338592692753312</v>
      </c>
      <c r="AU15" s="36">
        <f t="shared" ref="AU15:AU18" si="43">R48</f>
        <v>0.41005000000000003</v>
      </c>
      <c r="AV15" s="34">
        <f t="shared" si="21"/>
        <v>0.24419327473590921</v>
      </c>
      <c r="AW15" s="35">
        <f t="shared" si="22"/>
        <v>4.0002110500000008</v>
      </c>
      <c r="AX15" s="35">
        <f t="shared" si="22"/>
        <v>0.24001266300000004</v>
      </c>
      <c r="AY15" s="35">
        <f t="shared" si="22"/>
        <v>0.54797411643835625</v>
      </c>
      <c r="AZ15" s="42">
        <f t="shared" ref="AZ15:AZ18" si="44">I62/H62</f>
        <v>9.3444057157934204E-2</v>
      </c>
      <c r="BA15" s="36">
        <f t="shared" ref="BA15:BA18" si="45">R62</f>
        <v>0.33645000000000003</v>
      </c>
      <c r="BB15" s="34">
        <f t="shared" si="23"/>
        <v>0.20930852120220789</v>
      </c>
      <c r="BC15" s="35">
        <f t="shared" si="24"/>
        <v>3.2104566999999999</v>
      </c>
      <c r="BD15" s="35">
        <f t="shared" si="24"/>
        <v>0.192627402</v>
      </c>
      <c r="BE15" s="35">
        <f t="shared" si="24"/>
        <v>0.43978858904109591</v>
      </c>
      <c r="BF15" s="42">
        <f t="shared" ref="BF15:BF17" si="46">I76/H76</f>
        <v>0.14017025988856976</v>
      </c>
      <c r="BG15" s="36">
        <f t="shared" ref="BG15:BG17" si="47">R76</f>
        <v>0.40505000000000002</v>
      </c>
      <c r="BH15" s="34">
        <f t="shared" si="25"/>
        <v>0.1831449560519319</v>
      </c>
      <c r="BI15" s="35">
        <f t="shared" si="26"/>
        <v>3.60422843</v>
      </c>
      <c r="BJ15" s="35">
        <f t="shared" si="26"/>
        <v>0.2162537058</v>
      </c>
      <c r="BK15" s="35">
        <f t="shared" si="26"/>
        <v>0.49372992191780823</v>
      </c>
      <c r="BL15" s="42">
        <f t="shared" ref="BL15:BL17" si="48">I90/H90</f>
        <v>9.9653836313587929E-2</v>
      </c>
      <c r="BM15" s="36">
        <f t="shared" ref="BM15:BM17" si="49">R90</f>
        <v>0.32329000000000002</v>
      </c>
      <c r="BN15" s="34">
        <f t="shared" si="27"/>
        <v>0.16279551649060611</v>
      </c>
      <c r="BO15" s="35">
        <f t="shared" si="28"/>
        <v>3.3622970700000003</v>
      </c>
      <c r="BP15" s="35">
        <f t="shared" si="28"/>
        <v>0.2017378242</v>
      </c>
      <c r="BQ15" s="35">
        <f t="shared" si="28"/>
        <v>0.46058863972602743</v>
      </c>
      <c r="BR15" s="42">
        <f t="shared" ref="BR15:BR17" si="50">I104/H104</f>
        <v>0.11009228878160966</v>
      </c>
      <c r="BS15" s="36">
        <f t="shared" ref="BS15:BS17" si="51">R104</f>
        <v>0.33318000000000003</v>
      </c>
      <c r="BT15" s="34">
        <f t="shared" si="29"/>
        <v>0.14651596484154553</v>
      </c>
      <c r="BU15" s="35">
        <f t="shared" si="30"/>
        <v>3.5128820099999998</v>
      </c>
      <c r="BV15" s="35">
        <f t="shared" si="30"/>
        <v>0.21077292059999997</v>
      </c>
      <c r="BW15" s="35">
        <f t="shared" si="30"/>
        <v>0.48121671369863012</v>
      </c>
      <c r="BX15" s="42">
        <f t="shared" ref="BX15:BX17" si="52">I118/H118</f>
        <v>9.1283433114794546E-2</v>
      </c>
      <c r="BY15" s="36">
        <f t="shared" ref="BY15:BY17" si="53">R118</f>
        <v>0.28863</v>
      </c>
      <c r="BZ15" s="34">
        <f t="shared" si="31"/>
        <v>9.7677309894363684E-2</v>
      </c>
      <c r="CA15" s="35">
        <f t="shared" si="32"/>
        <v>3.0731259900000003</v>
      </c>
      <c r="CB15" s="35">
        <f t="shared" si="32"/>
        <v>0.18438755940000001</v>
      </c>
      <c r="CC15" s="35">
        <f t="shared" si="32"/>
        <v>0.42097616301369867</v>
      </c>
      <c r="CD15" s="42">
        <f t="shared" ref="CD15:CD18" si="54">I132/H132</f>
        <v>0.19705794099252011</v>
      </c>
      <c r="CE15" s="36">
        <f t="shared" ref="CE15:CE18" si="55">R132</f>
        <v>0.54508000000000001</v>
      </c>
      <c r="CF15" s="34">
        <f t="shared" si="33"/>
        <v>7.3257982420772763E-2</v>
      </c>
      <c r="CG15" s="35">
        <f t="shared" si="34"/>
        <v>3.2215555899999999</v>
      </c>
      <c r="CH15" s="35">
        <f t="shared" si="34"/>
        <v>0.19329333539999999</v>
      </c>
      <c r="CI15" s="35">
        <f t="shared" si="34"/>
        <v>0.44130898493150683</v>
      </c>
      <c r="CJ15" s="42">
        <f t="shared" ref="CJ15:CJ18" si="56">I146/H146</f>
        <v>0.18077104793960733</v>
      </c>
      <c r="CK15" s="36">
        <f t="shared" ref="CK15:CK18" si="57">R146</f>
        <v>0.52417999999999998</v>
      </c>
      <c r="CL15" s="34">
        <f t="shared" si="35"/>
        <v>5.8606385936618204E-2</v>
      </c>
      <c r="CM15" s="35">
        <f t="shared" si="36"/>
        <v>2.2488306499999999</v>
      </c>
      <c r="CN15" s="35">
        <f t="shared" si="36"/>
        <v>0.134929839</v>
      </c>
      <c r="CO15" s="35">
        <f t="shared" si="36"/>
        <v>0.30805899315068491</v>
      </c>
      <c r="CP15" s="42">
        <f t="shared" ref="CP15:CP17" si="58">I160/H160</f>
        <v>0.31180989551169624</v>
      </c>
      <c r="CQ15" s="36">
        <f t="shared" ref="CQ15:CQ17" si="59">R160</f>
        <v>0.63114999999999999</v>
      </c>
    </row>
    <row r="16" spans="2:95" ht="15" thickTop="1" x14ac:dyDescent="0.3">
      <c r="X16" s="34">
        <f t="shared" si="12"/>
        <v>0.63199201142279215</v>
      </c>
      <c r="Y16" s="35">
        <f t="shared" si="13"/>
        <v>8.3728293000000011</v>
      </c>
      <c r="Z16" s="35">
        <f t="shared" si="13"/>
        <v>0.50236975800000006</v>
      </c>
      <c r="AA16" s="35">
        <f t="shared" si="13"/>
        <v>1.1469629178082195</v>
      </c>
      <c r="AB16" s="42">
        <f t="shared" si="37"/>
        <v>4.3502779878720317E-2</v>
      </c>
      <c r="AC16" s="36">
        <f t="shared" si="14"/>
        <v>0.32784999999999997</v>
      </c>
      <c r="AD16" s="34">
        <f t="shared" si="15"/>
        <v>0.42132800761519479</v>
      </c>
      <c r="AE16" s="35">
        <f t="shared" si="16"/>
        <v>5.5864746299999997</v>
      </c>
      <c r="AF16" s="35">
        <f t="shared" si="16"/>
        <v>0.33518847779999994</v>
      </c>
      <c r="AG16" s="35">
        <f t="shared" si="16"/>
        <v>0.76527049726027396</v>
      </c>
      <c r="AH16" s="42">
        <f t="shared" si="38"/>
        <v>5.4646373646916574E-2</v>
      </c>
      <c r="AI16" s="36">
        <f t="shared" si="39"/>
        <v>0.27478000000000002</v>
      </c>
      <c r="AJ16" s="34">
        <f t="shared" si="17"/>
        <v>0.31599600571139608</v>
      </c>
      <c r="AK16" s="35">
        <f t="shared" si="18"/>
        <v>4.4461553399999998</v>
      </c>
      <c r="AL16" s="35">
        <f t="shared" si="18"/>
        <v>0.26676932039999995</v>
      </c>
      <c r="AM16" s="35">
        <f t="shared" si="18"/>
        <v>0.60906237534246577</v>
      </c>
      <c r="AN16" s="42">
        <f t="shared" si="40"/>
        <v>8.8264691624562089E-2</v>
      </c>
      <c r="AO16" s="36">
        <f t="shared" si="41"/>
        <v>0.35323000000000004</v>
      </c>
      <c r="AP16" s="34">
        <f t="shared" si="19"/>
        <v>0.25279680456911685</v>
      </c>
      <c r="AQ16" s="35">
        <f t="shared" si="20"/>
        <v>4.0642157600000006</v>
      </c>
      <c r="AR16" s="35">
        <f t="shared" si="20"/>
        <v>0.24385294560000004</v>
      </c>
      <c r="AS16" s="35">
        <f t="shared" si="20"/>
        <v>0.556741884931507</v>
      </c>
      <c r="AT16" s="42">
        <f t="shared" si="42"/>
        <v>8.0130448094123827E-2</v>
      </c>
      <c r="AU16" s="36">
        <f t="shared" si="43"/>
        <v>0.29313</v>
      </c>
      <c r="AV16" s="34">
        <f t="shared" si="21"/>
        <v>0.21066400380759739</v>
      </c>
      <c r="AW16" s="35">
        <f t="shared" si="22"/>
        <v>3.0885800000000003</v>
      </c>
      <c r="AX16" s="35">
        <f t="shared" si="22"/>
        <v>0.1853148</v>
      </c>
      <c r="AY16" s="35">
        <f t="shared" si="22"/>
        <v>0.42309315068493158</v>
      </c>
      <c r="AZ16" s="42">
        <f t="shared" si="44"/>
        <v>0.11779136690647482</v>
      </c>
      <c r="BA16" s="36">
        <f t="shared" si="45"/>
        <v>0.32745999999999997</v>
      </c>
      <c r="BB16" s="34">
        <f t="shared" si="23"/>
        <v>0.18056914612079777</v>
      </c>
      <c r="BC16" s="35">
        <f t="shared" si="24"/>
        <v>4.0063882100000008</v>
      </c>
      <c r="BD16" s="35">
        <f t="shared" si="24"/>
        <v>0.24038329260000005</v>
      </c>
      <c r="BE16" s="35">
        <f t="shared" si="24"/>
        <v>0.54882030273972615</v>
      </c>
      <c r="BF16" s="42">
        <f t="shared" si="46"/>
        <v>8.6031762758207592E-2</v>
      </c>
      <c r="BG16" s="36">
        <f t="shared" si="47"/>
        <v>0.31024000000000002</v>
      </c>
      <c r="BH16" s="34">
        <f t="shared" si="25"/>
        <v>0.15799800285569804</v>
      </c>
      <c r="BI16" s="35">
        <f t="shared" si="26"/>
        <v>3.9741692100000003</v>
      </c>
      <c r="BJ16" s="35">
        <f t="shared" si="26"/>
        <v>0.23845015260000002</v>
      </c>
      <c r="BK16" s="35">
        <f t="shared" si="26"/>
        <v>0.54440674109589049</v>
      </c>
      <c r="BL16" s="42">
        <f t="shared" si="48"/>
        <v>9.2479683319774908E-2</v>
      </c>
      <c r="BM16" s="36">
        <f t="shared" si="49"/>
        <v>0.33080999999999999</v>
      </c>
      <c r="BN16" s="34">
        <f t="shared" si="27"/>
        <v>0.14044266920506493</v>
      </c>
      <c r="BO16" s="35">
        <f t="shared" si="28"/>
        <v>3.2972369100000001</v>
      </c>
      <c r="BP16" s="35">
        <f t="shared" si="28"/>
        <v>0.1978342146</v>
      </c>
      <c r="BQ16" s="35">
        <f t="shared" si="28"/>
        <v>0.45167628904109591</v>
      </c>
      <c r="BR16" s="42">
        <f t="shared" si="50"/>
        <v>0.1405110165408163</v>
      </c>
      <c r="BS16" s="36">
        <f t="shared" si="51"/>
        <v>0.41701000000000005</v>
      </c>
      <c r="BT16" s="34">
        <f t="shared" si="29"/>
        <v>0.12639840228455843</v>
      </c>
      <c r="BU16" s="35">
        <f t="shared" si="30"/>
        <v>2.90834247</v>
      </c>
      <c r="BV16" s="35">
        <f t="shared" si="30"/>
        <v>0.17450054819999999</v>
      </c>
      <c r="BW16" s="35">
        <f t="shared" si="30"/>
        <v>0.39840307808219177</v>
      </c>
      <c r="BX16" s="42">
        <f t="shared" si="52"/>
        <v>0.11650756177968269</v>
      </c>
      <c r="BY16" s="36">
        <f t="shared" si="53"/>
        <v>0.30498999999999998</v>
      </c>
      <c r="BZ16" s="34">
        <f t="shared" si="31"/>
        <v>8.4265601523038955E-2</v>
      </c>
      <c r="CA16" s="35">
        <f t="shared" si="32"/>
        <v>2.3319890000000001</v>
      </c>
      <c r="CB16" s="35">
        <f t="shared" si="32"/>
        <v>0.13991934</v>
      </c>
      <c r="CC16" s="35">
        <f t="shared" si="32"/>
        <v>0.3194505479452055</v>
      </c>
      <c r="CD16" s="42">
        <f t="shared" si="54"/>
        <v>0.21506908051453072</v>
      </c>
      <c r="CE16" s="36">
        <f t="shared" si="55"/>
        <v>0.45143</v>
      </c>
      <c r="CF16" s="34">
        <f t="shared" si="33"/>
        <v>6.3199201142279213E-2</v>
      </c>
      <c r="CG16" s="35">
        <f t="shared" si="34"/>
        <v>2.1385194600000004</v>
      </c>
      <c r="CH16" s="35">
        <f t="shared" si="34"/>
        <v>0.12831116760000003</v>
      </c>
      <c r="CI16" s="35">
        <f t="shared" si="34"/>
        <v>0.29294787123287674</v>
      </c>
      <c r="CJ16" s="42">
        <f t="shared" si="56"/>
        <v>0.24412684558877012</v>
      </c>
      <c r="CK16" s="36">
        <f t="shared" si="57"/>
        <v>0.46991000000000005</v>
      </c>
      <c r="CL16" s="34">
        <f t="shared" si="35"/>
        <v>5.0559360913823376E-2</v>
      </c>
      <c r="CM16" s="35">
        <f t="shared" si="36"/>
        <v>1.9612038600000001</v>
      </c>
      <c r="CN16" s="35">
        <f t="shared" si="36"/>
        <v>0.11767223160000001</v>
      </c>
      <c r="CO16" s="35">
        <f t="shared" si="36"/>
        <v>0.26865806301369866</v>
      </c>
      <c r="CP16" s="42">
        <f t="shared" si="58"/>
        <v>0.33561628315375641</v>
      </c>
      <c r="CQ16" s="36">
        <f t="shared" si="59"/>
        <v>0.59245000000000003</v>
      </c>
    </row>
    <row r="17" spans="2:95" ht="15" thickBot="1" x14ac:dyDescent="0.35">
      <c r="X17" s="34">
        <f t="shared" si="12"/>
        <v>0.38278220841209487</v>
      </c>
      <c r="Y17" s="35">
        <f t="shared" si="13"/>
        <v>6.1907586400000003</v>
      </c>
      <c r="Z17" s="35">
        <f t="shared" si="13"/>
        <v>0.37144551840000001</v>
      </c>
      <c r="AA17" s="35">
        <f t="shared" si="13"/>
        <v>0.84804912876712335</v>
      </c>
      <c r="AB17" s="42">
        <f t="shared" si="37"/>
        <v>2.2953067348140069E-2</v>
      </c>
      <c r="AC17" s="36">
        <f t="shared" si="14"/>
        <v>0.12790000000000001</v>
      </c>
      <c r="AD17" s="34">
        <f t="shared" si="15"/>
        <v>0.25518813894139658</v>
      </c>
      <c r="AE17" s="35">
        <f t="shared" si="16"/>
        <v>4.6433800600000001</v>
      </c>
      <c r="AF17" s="35">
        <f t="shared" si="16"/>
        <v>0.2786028036</v>
      </c>
      <c r="AG17" s="35">
        <f t="shared" si="16"/>
        <v>0.63607946027397266</v>
      </c>
      <c r="AH17" s="42">
        <f t="shared" si="38"/>
        <v>3.2753035081087033E-2</v>
      </c>
      <c r="AI17" s="36">
        <f t="shared" si="39"/>
        <v>0.13689000000000001</v>
      </c>
      <c r="AJ17" s="34">
        <f t="shared" si="17"/>
        <v>0.19139110420604744</v>
      </c>
      <c r="AK17" s="35">
        <f t="shared" si="18"/>
        <v>3.7388927399999998</v>
      </c>
      <c r="AL17" s="35">
        <f t="shared" si="18"/>
        <v>0.22433356439999999</v>
      </c>
      <c r="AM17" s="35">
        <f t="shared" si="18"/>
        <v>0.51217708767123282</v>
      </c>
      <c r="AN17" s="42">
        <f t="shared" si="40"/>
        <v>0.11165885170591977</v>
      </c>
      <c r="AO17" s="36">
        <f t="shared" si="41"/>
        <v>0.37576999999999999</v>
      </c>
      <c r="AP17" s="34">
        <f t="shared" si="19"/>
        <v>0.15311288336483794</v>
      </c>
      <c r="AQ17" s="35">
        <f t="shared" si="20"/>
        <v>3.0628936799999997</v>
      </c>
      <c r="AR17" s="35">
        <f t="shared" si="20"/>
        <v>0.18377362079999998</v>
      </c>
      <c r="AS17" s="35">
        <f t="shared" si="20"/>
        <v>0.41957447671232873</v>
      </c>
      <c r="AT17" s="42">
        <f t="shared" si="42"/>
        <v>7.0202547807666646E-2</v>
      </c>
      <c r="AU17" s="36">
        <f t="shared" si="43"/>
        <v>0.19354000000000002</v>
      </c>
      <c r="AV17" s="34">
        <f t="shared" si="21"/>
        <v>0.12759406947069829</v>
      </c>
      <c r="AW17" s="35">
        <f t="shared" si="22"/>
        <v>2.2317101400000001</v>
      </c>
      <c r="AX17" s="35">
        <f t="shared" si="22"/>
        <v>0.13390260840000001</v>
      </c>
      <c r="AY17" s="35">
        <f t="shared" si="22"/>
        <v>0.30571371780821921</v>
      </c>
      <c r="AZ17" s="42">
        <f t="shared" si="44"/>
        <v>0.10037635532722006</v>
      </c>
      <c r="BA17" s="36">
        <f t="shared" si="45"/>
        <v>0.20163</v>
      </c>
      <c r="BB17" s="34">
        <f t="shared" si="23"/>
        <v>0.10936634526059853</v>
      </c>
      <c r="BC17" s="35">
        <f t="shared" si="24"/>
        <v>1.2996255800000001</v>
      </c>
      <c r="BD17" s="35">
        <f t="shared" si="24"/>
        <v>7.7977534799999998E-2</v>
      </c>
      <c r="BE17" s="35">
        <f t="shared" si="24"/>
        <v>0.17803090136986302</v>
      </c>
      <c r="BF17" s="42">
        <f t="shared" si="46"/>
        <v>0.67793089298842513</v>
      </c>
      <c r="BG17" s="36">
        <f t="shared" si="47"/>
        <v>0.79303000000000001</v>
      </c>
      <c r="BH17" s="34">
        <f t="shared" si="25"/>
        <v>9.5695552103023718E-2</v>
      </c>
      <c r="BI17" s="35">
        <f t="shared" si="26"/>
        <v>1.6851870200000001</v>
      </c>
      <c r="BJ17" s="35">
        <f t="shared" si="26"/>
        <v>0.1011112212</v>
      </c>
      <c r="BK17" s="35">
        <f t="shared" si="26"/>
        <v>0.23084753698630139</v>
      </c>
      <c r="BL17" s="42">
        <f t="shared" si="48"/>
        <v>0.10458722854392742</v>
      </c>
      <c r="BM17" s="36">
        <f t="shared" si="49"/>
        <v>0.15864</v>
      </c>
      <c r="BN17" s="34">
        <f t="shared" si="27"/>
        <v>8.5062712980465527E-2</v>
      </c>
      <c r="BO17" s="35">
        <f t="shared" si="28"/>
        <v>1.2667177600000001</v>
      </c>
      <c r="BP17" s="35">
        <f t="shared" si="28"/>
        <v>7.6003065600000003E-2</v>
      </c>
      <c r="BQ17" s="35">
        <f t="shared" si="28"/>
        <v>0.17352298082191783</v>
      </c>
      <c r="BR17" s="42">
        <f t="shared" si="50"/>
        <v>0.36959724950884082</v>
      </c>
      <c r="BS17" s="36">
        <f t="shared" si="51"/>
        <v>0.4214</v>
      </c>
      <c r="BT17" s="34">
        <f t="shared" si="29"/>
        <v>7.6556441682418971E-2</v>
      </c>
      <c r="BU17" s="35">
        <f t="shared" si="30"/>
        <v>0.65972290999999994</v>
      </c>
      <c r="BV17" s="35">
        <f t="shared" si="30"/>
        <v>3.9583374599999992E-2</v>
      </c>
      <c r="BW17" s="35">
        <f t="shared" si="30"/>
        <v>9.037300136986301E-2</v>
      </c>
      <c r="BX17" s="42">
        <f t="shared" si="52"/>
        <v>0.38675670669069234</v>
      </c>
      <c r="BY17" s="36">
        <f t="shared" si="53"/>
        <v>0.22966</v>
      </c>
      <c r="BZ17" s="34">
        <f t="shared" si="31"/>
        <v>5.1037627788279312E-2</v>
      </c>
      <c r="CA17" s="35">
        <f t="shared" si="32"/>
        <v>1.7892988300000001</v>
      </c>
      <c r="CB17" s="35">
        <f t="shared" si="32"/>
        <v>0.1073579298</v>
      </c>
      <c r="CC17" s="35">
        <f t="shared" si="32"/>
        <v>0.2451094287671233</v>
      </c>
      <c r="CD17" s="42">
        <f t="shared" si="54"/>
        <v>0.12852911774384829</v>
      </c>
      <c r="CE17" s="36">
        <f t="shared" si="55"/>
        <v>0.20699999999999999</v>
      </c>
      <c r="CF17" s="34">
        <f t="shared" si="33"/>
        <v>3.8278220841209486E-2</v>
      </c>
      <c r="CG17" s="35">
        <f t="shared" si="34"/>
        <v>1.4684309200000001</v>
      </c>
      <c r="CH17" s="35">
        <f t="shared" si="34"/>
        <v>8.8105855199999999E-2</v>
      </c>
      <c r="CI17" s="35">
        <f t="shared" si="34"/>
        <v>0.20115492054794523</v>
      </c>
      <c r="CJ17" s="42">
        <f t="shared" si="56"/>
        <v>0.1330236358684139</v>
      </c>
      <c r="CK17" s="36">
        <f t="shared" si="57"/>
        <v>0.17582</v>
      </c>
      <c r="CL17" s="34">
        <f t="shared" si="35"/>
        <v>3.0622576672967586E-2</v>
      </c>
      <c r="CM17" s="35">
        <f t="shared" si="36"/>
        <v>1.2554077800000001</v>
      </c>
      <c r="CN17" s="35">
        <f t="shared" si="36"/>
        <v>7.5324466800000003E-2</v>
      </c>
      <c r="CO17" s="35">
        <f t="shared" si="36"/>
        <v>0.17197366849315071</v>
      </c>
      <c r="CP17" s="42">
        <f t="shared" si="58"/>
        <v>9.5922051717729537E-2</v>
      </c>
      <c r="CQ17" s="36">
        <f t="shared" si="59"/>
        <v>0.10839000000000001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0.27666095006839714</v>
      </c>
      <c r="Y18" s="35">
        <f t="shared" si="13"/>
        <v>6.3896054200000005</v>
      </c>
      <c r="Z18" s="35">
        <f t="shared" si="13"/>
        <v>0.38337632520000003</v>
      </c>
      <c r="AA18" s="35">
        <f t="shared" si="13"/>
        <v>0.8752884136986302</v>
      </c>
      <c r="AB18" s="42">
        <f t="shared" si="37"/>
        <v>2.427658827170583E-2</v>
      </c>
      <c r="AC18" s="36">
        <f t="shared" si="14"/>
        <v>0.13961999999999999</v>
      </c>
      <c r="AD18" s="34">
        <f t="shared" si="15"/>
        <v>0.18444063337893143</v>
      </c>
      <c r="AE18" s="35">
        <f t="shared" si="16"/>
        <v>4.4636980300000006</v>
      </c>
      <c r="AF18" s="35">
        <f t="shared" si="16"/>
        <v>0.26782188180000005</v>
      </c>
      <c r="AG18" s="35">
        <f t="shared" si="16"/>
        <v>0.61146548356164399</v>
      </c>
      <c r="AH18" s="42">
        <f t="shared" si="38"/>
        <v>4.42961572828438E-2</v>
      </c>
      <c r="AI18" s="36">
        <f t="shared" si="39"/>
        <v>0.17797000000000002</v>
      </c>
      <c r="AJ18" s="34">
        <f t="shared" si="17"/>
        <v>0.13833047503419857</v>
      </c>
      <c r="AK18" s="35">
        <f t="shared" si="18"/>
        <v>2.952349180000001</v>
      </c>
      <c r="AL18" s="35">
        <f t="shared" si="18"/>
        <v>0.17714095080000006</v>
      </c>
      <c r="AM18" s="35">
        <f t="shared" si="18"/>
        <v>0.4044313945205481</v>
      </c>
      <c r="AN18" s="42">
        <f t="shared" si="40"/>
        <v>5.0045533570659814E-2</v>
      </c>
      <c r="AO18" s="36">
        <f t="shared" si="41"/>
        <v>0.13299</v>
      </c>
      <c r="AP18" s="34">
        <f t="shared" si="19"/>
        <v>0.11066438002735884</v>
      </c>
      <c r="AQ18" s="35">
        <f t="shared" si="20"/>
        <v>2.3313224000000003</v>
      </c>
      <c r="AR18" s="35">
        <f t="shared" si="20"/>
        <v>0.13987934400000002</v>
      </c>
      <c r="AS18" s="35">
        <f t="shared" si="20"/>
        <v>0.31935923287671236</v>
      </c>
      <c r="AT18" s="42">
        <f t="shared" si="42"/>
        <v>7.3999237514296601E-2</v>
      </c>
      <c r="AU18" s="36">
        <f t="shared" si="43"/>
        <v>0.15528</v>
      </c>
      <c r="AV18" s="34">
        <f t="shared" si="21"/>
        <v>9.2220316689465717E-2</v>
      </c>
      <c r="AW18" s="35">
        <f t="shared" si="22"/>
        <v>1.5073270300000001</v>
      </c>
      <c r="AX18" s="35">
        <f t="shared" si="22"/>
        <v>9.0439621800000009E-2</v>
      </c>
      <c r="AY18" s="35">
        <f t="shared" si="22"/>
        <v>0.20648315479452056</v>
      </c>
      <c r="AZ18" s="42">
        <f t="shared" si="44"/>
        <v>0.14220957743987381</v>
      </c>
      <c r="BA18" s="36">
        <f t="shared" si="45"/>
        <v>0.19294</v>
      </c>
      <c r="BB18" s="34"/>
      <c r="BC18" s="35"/>
      <c r="BD18" s="35"/>
      <c r="BE18" s="35"/>
      <c r="BF18" s="42"/>
      <c r="BG18" s="36"/>
      <c r="BH18" s="34"/>
      <c r="BI18" s="35"/>
      <c r="BJ18" s="35"/>
      <c r="BK18" s="35"/>
      <c r="BL18" s="42"/>
      <c r="BM18" s="36"/>
      <c r="BN18" s="34"/>
      <c r="BO18" s="35"/>
      <c r="BP18" s="35"/>
      <c r="BQ18" s="35"/>
      <c r="BR18" s="42"/>
      <c r="BS18" s="36"/>
      <c r="BT18" s="34"/>
      <c r="BU18" s="35"/>
      <c r="BV18" s="35"/>
      <c r="BW18" s="35"/>
      <c r="BX18" s="42"/>
      <c r="BY18" s="36"/>
      <c r="BZ18" s="34">
        <f t="shared" si="31"/>
        <v>3.6888126675786281E-2</v>
      </c>
      <c r="CA18" s="35">
        <f t="shared" si="32"/>
        <v>1.3080025200000003</v>
      </c>
      <c r="CB18" s="35">
        <f t="shared" si="32"/>
        <v>7.8480151200000015E-2</v>
      </c>
      <c r="CC18" s="35">
        <f t="shared" si="32"/>
        <v>0.17917842739726031</v>
      </c>
      <c r="CD18" s="42">
        <f t="shared" si="54"/>
        <v>8.0572826419325241E-2</v>
      </c>
      <c r="CE18" s="36">
        <f t="shared" si="55"/>
        <v>9.486E-2</v>
      </c>
      <c r="CF18" s="34">
        <f t="shared" si="33"/>
        <v>2.7666095006839711E-2</v>
      </c>
      <c r="CG18" s="35">
        <f t="shared" si="34"/>
        <v>0.98937883000000015</v>
      </c>
      <c r="CH18" s="35">
        <f t="shared" si="34"/>
        <v>5.9362729800000007E-2</v>
      </c>
      <c r="CI18" s="35">
        <f t="shared" si="34"/>
        <v>0.13553134657534249</v>
      </c>
      <c r="CJ18" s="42">
        <f t="shared" si="56"/>
        <v>0.14639596644694733</v>
      </c>
      <c r="CK18" s="36">
        <f t="shared" si="57"/>
        <v>0.13037000000000001</v>
      </c>
      <c r="CL18" s="34"/>
      <c r="CM18" s="35"/>
      <c r="CN18" s="35"/>
      <c r="CO18" s="35"/>
      <c r="CP18" s="42"/>
      <c r="CQ18" s="36"/>
    </row>
    <row r="19" spans="2:95" ht="15" thickTop="1" x14ac:dyDescent="0.3">
      <c r="B19">
        <v>1</v>
      </c>
      <c r="C19">
        <v>-895.5</v>
      </c>
      <c r="D19">
        <v>51317.2</v>
      </c>
      <c r="E19">
        <v>2917.3</v>
      </c>
      <c r="F19">
        <f t="shared" ref="F19:F29" si="60">D19/10000</f>
        <v>5.1317199999999996</v>
      </c>
      <c r="G19">
        <f t="shared" ref="G19:G29" si="61">C19/10000</f>
        <v>-8.9550000000000005E-2</v>
      </c>
      <c r="H19">
        <f t="shared" ref="H19:H29" si="62">F19-G19</f>
        <v>5.2212699999999996</v>
      </c>
      <c r="I19">
        <f>E19/10000</f>
        <v>0.29173000000000004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0.55058111816682398</v>
      </c>
      <c r="P19" s="2">
        <v>3</v>
      </c>
      <c r="Q19" s="8">
        <f>H19</f>
        <v>5.2212699999999996</v>
      </c>
      <c r="R19" s="8">
        <f>I19</f>
        <v>0.29173000000000004</v>
      </c>
      <c r="S19" s="8">
        <f>Q19/10^6*$Z$4*$Z$3/P19*10^12</f>
        <v>5.8008309700000007</v>
      </c>
      <c r="T19" s="8">
        <f>S19*0.06</f>
        <v>0.34804985820000001</v>
      </c>
      <c r="U19" s="8">
        <f>S19/$Z$1</f>
        <v>0.79463437945205495</v>
      </c>
      <c r="V19" s="12">
        <f t="shared" ref="V19:V29" si="63">O19</f>
        <v>0.55058111816682398</v>
      </c>
      <c r="W19" s="19"/>
      <c r="X19" s="34">
        <f t="shared" si="12"/>
        <v>0.19150265217489859</v>
      </c>
      <c r="Y19" s="35">
        <f t="shared" si="13"/>
        <v>4.9346564850000005</v>
      </c>
      <c r="Z19" s="35">
        <f t="shared" si="13"/>
        <v>0.29607938910000003</v>
      </c>
      <c r="AA19" s="35">
        <f t="shared" si="13"/>
        <v>0.675980340410959</v>
      </c>
      <c r="AB19" s="42">
        <f t="shared" si="37"/>
        <v>1.9911586611686915E-2</v>
      </c>
      <c r="AC19" s="36">
        <f t="shared" si="14"/>
        <v>0.11792000000000001</v>
      </c>
      <c r="AD19" s="34">
        <f t="shared" si="15"/>
        <v>0.12766843478326573</v>
      </c>
      <c r="AE19" s="35">
        <f t="shared" si="16"/>
        <v>3.6953554275000005</v>
      </c>
      <c r="AF19" s="35">
        <f t="shared" si="16"/>
        <v>0.22172132565000002</v>
      </c>
      <c r="AG19" s="35">
        <f t="shared" si="16"/>
        <v>0.50621307226027401</v>
      </c>
      <c r="AH19" s="42">
        <f t="shared" si="38"/>
        <v>3.7243481770604325E-2</v>
      </c>
      <c r="AI19" s="36">
        <f t="shared" si="39"/>
        <v>0.16517000000000001</v>
      </c>
      <c r="AJ19" s="34">
        <f t="shared" si="17"/>
        <v>9.5751326087449296E-2</v>
      </c>
      <c r="AK19" s="35">
        <f t="shared" si="18"/>
        <v>1.9843182150000003</v>
      </c>
      <c r="AL19" s="35">
        <f t="shared" si="18"/>
        <v>0.11905909290000001</v>
      </c>
      <c r="AM19" s="35">
        <f t="shared" si="18"/>
        <v>0.2718244130136987</v>
      </c>
      <c r="AN19" s="42">
        <f t="shared" si="40"/>
        <v>0.11934056151371869</v>
      </c>
      <c r="AO19" s="36">
        <f t="shared" si="41"/>
        <v>0.28420000000000001</v>
      </c>
      <c r="AP19" s="34"/>
      <c r="AQ19" s="35"/>
      <c r="AR19" s="35"/>
      <c r="AS19" s="35"/>
      <c r="AT19" s="42"/>
      <c r="AU19" s="36"/>
      <c r="AV19" s="34"/>
      <c r="AW19" s="35"/>
      <c r="AX19" s="35"/>
      <c r="AY19" s="35"/>
      <c r="AZ19" s="42"/>
      <c r="BA19" s="36"/>
      <c r="BB19" s="34"/>
      <c r="BC19" s="35"/>
      <c r="BD19" s="35"/>
      <c r="BE19" s="35"/>
      <c r="BF19" s="42"/>
      <c r="BG19" s="36"/>
      <c r="BH19" s="34"/>
      <c r="BI19" s="35"/>
      <c r="BJ19" s="35"/>
      <c r="BK19" s="35"/>
      <c r="BL19" s="42"/>
      <c r="BM19" s="36"/>
      <c r="BN19" s="34"/>
      <c r="BO19" s="35"/>
      <c r="BP19" s="35"/>
      <c r="BQ19" s="35"/>
      <c r="BR19" s="42"/>
      <c r="BS19" s="36"/>
      <c r="BT19" s="34"/>
      <c r="BU19" s="35"/>
      <c r="BV19" s="35"/>
      <c r="BW19" s="35"/>
      <c r="BX19" s="42"/>
      <c r="BY19" s="36"/>
      <c r="BZ19" s="34"/>
      <c r="CA19" s="35"/>
      <c r="CB19" s="35"/>
      <c r="CC19" s="35"/>
      <c r="CD19" s="42"/>
      <c r="CE19" s="36"/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-3687.7</v>
      </c>
      <c r="D20">
        <v>49710.5</v>
      </c>
      <c r="E20">
        <v>2833.4</v>
      </c>
      <c r="F20">
        <f t="shared" si="60"/>
        <v>4.97105</v>
      </c>
      <c r="G20">
        <f t="shared" si="61"/>
        <v>-0.36876999999999999</v>
      </c>
      <c r="H20">
        <f t="shared" si="62"/>
        <v>5.3398199999999996</v>
      </c>
      <c r="I20">
        <f t="shared" ref="I20:I29" si="64">E20/10000</f>
        <v>0.28334000000000004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0.48838654947181842</v>
      </c>
      <c r="P20" s="4">
        <v>3</v>
      </c>
      <c r="Q20" s="5">
        <f t="shared" ref="Q20:R29" si="67">H20</f>
        <v>5.3398199999999996</v>
      </c>
      <c r="R20" s="5">
        <f t="shared" si="67"/>
        <v>0.28334000000000004</v>
      </c>
      <c r="S20" s="5">
        <f t="shared" ref="S20:S29" si="68">Q20/10^6*$Z$4*$Z$3/P20*10^12</f>
        <v>5.9325400200000002</v>
      </c>
      <c r="T20" s="5">
        <f t="shared" ref="T20:T29" si="69">S20*0.06</f>
        <v>0.35595240119999999</v>
      </c>
      <c r="U20" s="5">
        <f t="shared" ref="U20:U29" si="70">S20/$Z$1</f>
        <v>0.81267671506849315</v>
      </c>
      <c r="V20" s="5">
        <f t="shared" si="63"/>
        <v>0.48838654947181842</v>
      </c>
      <c r="W20" s="19"/>
      <c r="X20" s="34">
        <f t="shared" si="12"/>
        <v>0.13844035660042389</v>
      </c>
      <c r="Y20" s="35">
        <f t="shared" si="13"/>
        <v>1.3102772925000001</v>
      </c>
      <c r="Z20" s="35">
        <f t="shared" si="13"/>
        <v>7.8616637550000007E-2</v>
      </c>
      <c r="AA20" s="35">
        <f t="shared" si="13"/>
        <v>0.17949004006849317</v>
      </c>
      <c r="AB20" s="42">
        <f t="shared" si="37"/>
        <v>0.55189540156058225</v>
      </c>
      <c r="AC20" s="36">
        <f t="shared" si="14"/>
        <v>0.86785000000000001</v>
      </c>
      <c r="AD20" s="34"/>
      <c r="AE20" s="35"/>
      <c r="AF20" s="35"/>
      <c r="AG20" s="35"/>
      <c r="AH20" s="42"/>
      <c r="AI20" s="36"/>
      <c r="AJ20" s="34"/>
      <c r="AK20" s="35"/>
      <c r="AL20" s="35"/>
      <c r="AM20" s="35"/>
      <c r="AN20" s="42"/>
      <c r="AO20" s="36"/>
      <c r="AP20" s="34"/>
      <c r="AQ20" s="35"/>
      <c r="AR20" s="35"/>
      <c r="AS20" s="35"/>
      <c r="AT20" s="42"/>
      <c r="AU20" s="36"/>
      <c r="AV20" s="34"/>
      <c r="AW20" s="35"/>
      <c r="AX20" s="35"/>
      <c r="AY20" s="35"/>
      <c r="AZ20" s="42"/>
      <c r="BA20" s="36"/>
      <c r="BB20" s="34"/>
      <c r="BC20" s="35"/>
      <c r="BD20" s="35"/>
      <c r="BE20" s="35"/>
      <c r="BF20" s="42"/>
      <c r="BG20" s="36"/>
      <c r="BH20" s="34"/>
      <c r="BI20" s="35"/>
      <c r="BJ20" s="35"/>
      <c r="BK20" s="35"/>
      <c r="BL20" s="42"/>
      <c r="BM20" s="36"/>
      <c r="BN20" s="34"/>
      <c r="BO20" s="35"/>
      <c r="BP20" s="35"/>
      <c r="BQ20" s="35"/>
      <c r="BR20" s="42"/>
      <c r="BS20" s="36"/>
      <c r="BT20" s="34"/>
      <c r="BU20" s="35"/>
      <c r="BV20" s="35"/>
      <c r="BW20" s="35"/>
      <c r="BX20" s="42"/>
      <c r="BY20" s="36"/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-7295.5</v>
      </c>
      <c r="D21">
        <v>42987.8</v>
      </c>
      <c r="E21">
        <v>2747.8</v>
      </c>
      <c r="F21">
        <f t="shared" si="60"/>
        <v>4.2987800000000007</v>
      </c>
      <c r="G21">
        <f t="shared" si="61"/>
        <v>-0.72955000000000003</v>
      </c>
      <c r="H21">
        <f t="shared" si="62"/>
        <v>5.0283300000000004</v>
      </c>
      <c r="I21">
        <f t="shared" si="64"/>
        <v>0.27478000000000002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0.42132800761519479</v>
      </c>
      <c r="P21" s="4">
        <v>3</v>
      </c>
      <c r="Q21" s="5">
        <f t="shared" si="67"/>
        <v>5.0283300000000004</v>
      </c>
      <c r="R21" s="5">
        <f t="shared" si="67"/>
        <v>0.27478000000000002</v>
      </c>
      <c r="S21" s="5">
        <f t="shared" si="68"/>
        <v>5.5864746299999997</v>
      </c>
      <c r="T21" s="5">
        <f t="shared" si="69"/>
        <v>0.33518847779999994</v>
      </c>
      <c r="U21" s="5">
        <f t="shared" si="70"/>
        <v>0.76527049726027396</v>
      </c>
      <c r="V21" s="5">
        <f t="shared" si="63"/>
        <v>0.42132800761519479</v>
      </c>
      <c r="W21" s="19"/>
      <c r="X21" s="34"/>
      <c r="Y21" s="35"/>
      <c r="Z21" s="35"/>
      <c r="AA21" s="35"/>
      <c r="AB21" s="42"/>
      <c r="AC21" s="36"/>
      <c r="AD21" s="34"/>
      <c r="AE21" s="35"/>
      <c r="AF21" s="35"/>
      <c r="AG21" s="35"/>
      <c r="AH21" s="42"/>
      <c r="AI21" s="36"/>
      <c r="AJ21" s="34"/>
      <c r="AK21" s="35"/>
      <c r="AL21" s="35"/>
      <c r="AM21" s="35"/>
      <c r="AN21" s="42"/>
      <c r="AO21" s="36"/>
      <c r="AP21" s="34"/>
      <c r="AQ21" s="35"/>
      <c r="AR21" s="35"/>
      <c r="AS21" s="35"/>
      <c r="AT21" s="42"/>
      <c r="AU21" s="36"/>
      <c r="AV21" s="34"/>
      <c r="AW21" s="35"/>
      <c r="AX21" s="35"/>
      <c r="AY21" s="35"/>
      <c r="AZ21" s="42"/>
      <c r="BA21" s="36"/>
      <c r="BB21" s="34"/>
      <c r="BC21" s="35"/>
      <c r="BD21" s="35"/>
      <c r="BE21" s="35"/>
      <c r="BF21" s="42"/>
      <c r="BG21" s="36"/>
      <c r="BH21" s="34"/>
      <c r="BI21" s="35"/>
      <c r="BJ21" s="35"/>
      <c r="BK21" s="35"/>
      <c r="BL21" s="42"/>
      <c r="BM21" s="36"/>
      <c r="BN21" s="34"/>
      <c r="BO21" s="35"/>
      <c r="BP21" s="35"/>
      <c r="BQ21" s="35"/>
      <c r="BR21" s="42"/>
      <c r="BS21" s="36"/>
      <c r="BT21" s="34"/>
      <c r="BU21" s="35"/>
      <c r="BV21" s="35"/>
      <c r="BW21" s="35"/>
      <c r="BX21" s="42"/>
      <c r="BY21" s="36"/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-9496.5</v>
      </c>
      <c r="D22">
        <v>32298.1</v>
      </c>
      <c r="E22">
        <v>1368.9</v>
      </c>
      <c r="F22">
        <f t="shared" si="60"/>
        <v>3.2298100000000001</v>
      </c>
      <c r="G22">
        <f t="shared" si="61"/>
        <v>-0.94964999999999999</v>
      </c>
      <c r="H22">
        <f t="shared" si="62"/>
        <v>4.1794599999999997</v>
      </c>
      <c r="I22">
        <f t="shared" si="64"/>
        <v>0.13689000000000001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0.25518813894139658</v>
      </c>
      <c r="P22" s="4">
        <v>3</v>
      </c>
      <c r="Q22" s="5">
        <f t="shared" si="67"/>
        <v>4.1794599999999997</v>
      </c>
      <c r="R22" s="5">
        <f t="shared" si="67"/>
        <v>0.13689000000000001</v>
      </c>
      <c r="S22" s="5">
        <f t="shared" si="68"/>
        <v>4.6433800600000001</v>
      </c>
      <c r="T22" s="5">
        <f t="shared" si="69"/>
        <v>0.2786028036</v>
      </c>
      <c r="U22" s="5">
        <f t="shared" si="70"/>
        <v>0.63607946027397266</v>
      </c>
      <c r="V22" s="5">
        <f t="shared" si="63"/>
        <v>0.25518813894139658</v>
      </c>
      <c r="W22" s="19"/>
      <c r="X22" s="34"/>
      <c r="Y22" s="35"/>
      <c r="Z22" s="35"/>
      <c r="AA22" s="35"/>
      <c r="AB22" s="42"/>
      <c r="AC22" s="36"/>
      <c r="AD22" s="34"/>
      <c r="AE22" s="35"/>
      <c r="AF22" s="35"/>
      <c r="AG22" s="35"/>
      <c r="AH22" s="42"/>
      <c r="AI22" s="36"/>
      <c r="AJ22" s="34"/>
      <c r="AK22" s="35"/>
      <c r="AL22" s="35"/>
      <c r="AM22" s="35"/>
      <c r="AN22" s="42"/>
      <c r="AO22" s="36"/>
      <c r="AP22" s="34"/>
      <c r="AQ22" s="35"/>
      <c r="AR22" s="35"/>
      <c r="AS22" s="35"/>
      <c r="AT22" s="42"/>
      <c r="AU22" s="36"/>
      <c r="AV22" s="34"/>
      <c r="AW22" s="35"/>
      <c r="AX22" s="35"/>
      <c r="AY22" s="35"/>
      <c r="AZ22" s="42"/>
      <c r="BA22" s="36"/>
      <c r="BB22" s="34"/>
      <c r="BC22" s="35"/>
      <c r="BD22" s="35"/>
      <c r="BE22" s="35"/>
      <c r="BF22" s="42"/>
      <c r="BG22" s="36"/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-3784.2</v>
      </c>
      <c r="D23">
        <v>36393.1</v>
      </c>
      <c r="E23">
        <v>1779.7</v>
      </c>
      <c r="F23">
        <f t="shared" si="60"/>
        <v>3.63931</v>
      </c>
      <c r="G23">
        <f t="shared" si="61"/>
        <v>-0.37841999999999998</v>
      </c>
      <c r="H23">
        <f t="shared" si="62"/>
        <v>4.0177300000000002</v>
      </c>
      <c r="I23">
        <f t="shared" si="64"/>
        <v>0.17797000000000002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0.18444063337893143</v>
      </c>
      <c r="P23" s="4">
        <v>3</v>
      </c>
      <c r="Q23" s="5">
        <f t="shared" si="67"/>
        <v>4.0177300000000002</v>
      </c>
      <c r="R23" s="5">
        <f t="shared" si="67"/>
        <v>0.17797000000000002</v>
      </c>
      <c r="S23" s="5">
        <f t="shared" si="68"/>
        <v>4.4636980300000006</v>
      </c>
      <c r="T23" s="5">
        <f t="shared" si="69"/>
        <v>0.26782188180000005</v>
      </c>
      <c r="U23" s="5">
        <f t="shared" si="70"/>
        <v>0.61146548356164399</v>
      </c>
      <c r="V23" s="5">
        <f t="shared" si="63"/>
        <v>0.18444063337893143</v>
      </c>
      <c r="W23" s="19"/>
      <c r="X23" s="34"/>
      <c r="Y23" s="35"/>
      <c r="Z23" s="35"/>
      <c r="AA23" s="35"/>
      <c r="AB23" s="42"/>
      <c r="AC23" s="36"/>
      <c r="AD23" s="34"/>
      <c r="AE23" s="35"/>
      <c r="AF23" s="35"/>
      <c r="AG23" s="35"/>
      <c r="AH23" s="42"/>
      <c r="AI23" s="36"/>
      <c r="AJ23" s="34"/>
      <c r="AK23" s="35"/>
      <c r="AL23" s="35"/>
      <c r="AM23" s="35"/>
      <c r="AN23" s="42"/>
      <c r="AO23" s="36"/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-2352.3000000000002</v>
      </c>
      <c r="D24">
        <v>41996.4</v>
      </c>
      <c r="E24">
        <v>1651.7</v>
      </c>
      <c r="F24">
        <f t="shared" si="60"/>
        <v>4.1996400000000005</v>
      </c>
      <c r="G24">
        <f t="shared" si="61"/>
        <v>-0.23523000000000002</v>
      </c>
      <c r="H24">
        <f t="shared" si="62"/>
        <v>4.4348700000000001</v>
      </c>
      <c r="I24">
        <f t="shared" si="64"/>
        <v>0.16517000000000001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0.12766843478326573</v>
      </c>
      <c r="P24" s="4">
        <v>4</v>
      </c>
      <c r="Q24" s="5">
        <f t="shared" si="67"/>
        <v>4.4348700000000001</v>
      </c>
      <c r="R24" s="5">
        <f t="shared" si="67"/>
        <v>0.16517000000000001</v>
      </c>
      <c r="S24" s="5">
        <f t="shared" si="68"/>
        <v>3.6953554275000005</v>
      </c>
      <c r="T24" s="5">
        <f t="shared" si="69"/>
        <v>0.22172132565000002</v>
      </c>
      <c r="U24" s="5">
        <f t="shared" si="70"/>
        <v>0.50621307226027401</v>
      </c>
      <c r="V24" s="5">
        <f t="shared" si="63"/>
        <v>0.12766843478326573</v>
      </c>
      <c r="W24" s="19"/>
      <c r="X24" s="37"/>
      <c r="Y24" s="38"/>
      <c r="Z24" s="38"/>
      <c r="AA24" s="38"/>
      <c r="AB24" s="43"/>
      <c r="AC24" s="39"/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0</v>
      </c>
      <c r="D25">
        <v>0</v>
      </c>
      <c r="E25">
        <v>0</v>
      </c>
      <c r="F25">
        <f t="shared" si="60"/>
        <v>0</v>
      </c>
      <c r="G25">
        <f t="shared" si="61"/>
        <v>0</v>
      </c>
      <c r="H25">
        <f t="shared" si="62"/>
        <v>0</v>
      </c>
      <c r="I25">
        <f t="shared" si="64"/>
        <v>0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9.2293571066949256E-2</v>
      </c>
      <c r="P25" s="4">
        <v>4</v>
      </c>
      <c r="Q25" s="5">
        <f t="shared" si="67"/>
        <v>0</v>
      </c>
      <c r="R25" s="5">
        <f t="shared" si="67"/>
        <v>0</v>
      </c>
      <c r="S25" s="5">
        <f t="shared" si="68"/>
        <v>0</v>
      </c>
      <c r="T25" s="5">
        <f t="shared" si="69"/>
        <v>0</v>
      </c>
      <c r="U25" s="5">
        <f t="shared" si="70"/>
        <v>0</v>
      </c>
      <c r="V25" s="5">
        <f t="shared" si="63"/>
        <v>9.2293571066949256E-2</v>
      </c>
      <c r="W25" s="19"/>
      <c r="X25" s="20"/>
      <c r="Y25" s="21"/>
      <c r="Z25" s="18"/>
    </row>
    <row r="26" spans="2:95" x14ac:dyDescent="0.3">
      <c r="B26">
        <v>8</v>
      </c>
      <c r="C26">
        <v>0</v>
      </c>
      <c r="D26">
        <v>0</v>
      </c>
      <c r="E26">
        <v>0</v>
      </c>
      <c r="F26">
        <f t="shared" si="60"/>
        <v>0</v>
      </c>
      <c r="G26">
        <f t="shared" si="61"/>
        <v>0</v>
      </c>
      <c r="H26">
        <f t="shared" si="62"/>
        <v>0</v>
      </c>
      <c r="I26">
        <f t="shared" si="64"/>
        <v>0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7.7398826646892196E-2</v>
      </c>
      <c r="P26" s="4">
        <v>5</v>
      </c>
      <c r="Q26" s="5">
        <f t="shared" si="67"/>
        <v>0</v>
      </c>
      <c r="R26" s="5">
        <f t="shared" si="67"/>
        <v>0</v>
      </c>
      <c r="S26" s="5">
        <f t="shared" si="68"/>
        <v>0</v>
      </c>
      <c r="T26" s="5">
        <f t="shared" si="69"/>
        <v>0</v>
      </c>
      <c r="U26" s="5">
        <f t="shared" si="70"/>
        <v>0</v>
      </c>
      <c r="V26" s="5">
        <f t="shared" si="63"/>
        <v>7.7398826646892196E-2</v>
      </c>
      <c r="W26" s="19"/>
      <c r="X26" s="20"/>
      <c r="Y26" s="21"/>
      <c r="Z26" s="18"/>
    </row>
    <row r="27" spans="2:95" x14ac:dyDescent="0.3">
      <c r="B27">
        <v>9</v>
      </c>
      <c r="C27">
        <v>0</v>
      </c>
      <c r="D27">
        <v>0</v>
      </c>
      <c r="E27">
        <v>0</v>
      </c>
      <c r="F27">
        <f t="shared" si="60"/>
        <v>0</v>
      </c>
      <c r="G27">
        <f t="shared" si="61"/>
        <v>0</v>
      </c>
      <c r="H27">
        <f t="shared" si="62"/>
        <v>0</v>
      </c>
      <c r="I27">
        <f t="shared" si="64"/>
        <v>0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6.2377950673852663E-2</v>
      </c>
      <c r="P27" s="4">
        <v>8</v>
      </c>
      <c r="Q27" s="5">
        <f t="shared" si="67"/>
        <v>0</v>
      </c>
      <c r="R27" s="5">
        <f t="shared" si="67"/>
        <v>0</v>
      </c>
      <c r="S27" s="5">
        <f t="shared" si="68"/>
        <v>0</v>
      </c>
      <c r="T27" s="5">
        <f t="shared" si="69"/>
        <v>0</v>
      </c>
      <c r="U27" s="5">
        <f t="shared" si="70"/>
        <v>0</v>
      </c>
      <c r="V27" s="5">
        <f t="shared" si="63"/>
        <v>6.2377950673852663E-2</v>
      </c>
      <c r="W27" s="19"/>
      <c r="X27" s="20"/>
      <c r="Y27" s="21"/>
      <c r="Z27" s="17"/>
    </row>
    <row r="28" spans="2:95" x14ac:dyDescent="0.3">
      <c r="B28">
        <v>10</v>
      </c>
      <c r="C28">
        <v>0</v>
      </c>
      <c r="D28">
        <v>0</v>
      </c>
      <c r="E28">
        <v>0</v>
      </c>
      <c r="F28">
        <f t="shared" si="60"/>
        <v>0</v>
      </c>
      <c r="G28">
        <f t="shared" si="61"/>
        <v>0</v>
      </c>
      <c r="H28">
        <f t="shared" si="62"/>
        <v>0</v>
      </c>
      <c r="I28">
        <f t="shared" si="64"/>
        <v>0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4.4669992642433591E-2</v>
      </c>
      <c r="P28" s="4">
        <v>14</v>
      </c>
      <c r="Q28" s="5">
        <f t="shared" si="67"/>
        <v>0</v>
      </c>
      <c r="R28" s="5">
        <f t="shared" si="67"/>
        <v>0</v>
      </c>
      <c r="S28" s="5">
        <f t="shared" si="68"/>
        <v>0</v>
      </c>
      <c r="T28" s="5">
        <f t="shared" si="69"/>
        <v>0</v>
      </c>
      <c r="U28" s="5">
        <f t="shared" si="70"/>
        <v>0</v>
      </c>
      <c r="V28" s="5">
        <f t="shared" si="63"/>
        <v>4.4669992642433591E-2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2.8806696412112791E-2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2.8806696412112791E-2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-3179.2</v>
      </c>
      <c r="D33">
        <v>41903.9</v>
      </c>
      <c r="E33">
        <v>3552.6</v>
      </c>
      <c r="F33">
        <f t="shared" ref="F33:F43" si="72">D33/10000</f>
        <v>4.1903899999999998</v>
      </c>
      <c r="G33">
        <f t="shared" ref="G33:G43" si="73">C33/10000</f>
        <v>-0.31791999999999998</v>
      </c>
      <c r="H33">
        <f t="shared" ref="H33:H43" si="74">F33-G33</f>
        <v>4.5083099999999998</v>
      </c>
      <c r="I33">
        <f>E33/10000</f>
        <v>0.35525999999999996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0.41293583862511801</v>
      </c>
      <c r="P33" s="2">
        <v>3</v>
      </c>
      <c r="Q33" s="8">
        <f>H33</f>
        <v>4.5083099999999998</v>
      </c>
      <c r="R33" s="8">
        <f>I33</f>
        <v>0.35525999999999996</v>
      </c>
      <c r="S33" s="8">
        <f>Q33/10^6*$Z$4*$Z$3/P33*10^12</f>
        <v>5.0087324099999995</v>
      </c>
      <c r="T33" s="8">
        <f>S33*0.06</f>
        <v>0.30052394459999998</v>
      </c>
      <c r="U33" s="8">
        <f>S33/$Z$1</f>
        <v>0.68612772739726025</v>
      </c>
      <c r="V33" s="12">
        <f t="shared" ref="V33:V43" si="75">O33</f>
        <v>0.41293583862511801</v>
      </c>
    </row>
    <row r="34" spans="2:22" x14ac:dyDescent="0.3">
      <c r="B34">
        <v>2</v>
      </c>
      <c r="C34">
        <v>-3332.7</v>
      </c>
      <c r="D34">
        <v>37585</v>
      </c>
      <c r="E34">
        <v>3171.1</v>
      </c>
      <c r="F34">
        <f t="shared" si="72"/>
        <v>3.7585000000000002</v>
      </c>
      <c r="G34">
        <f t="shared" si="73"/>
        <v>-0.33326999999999996</v>
      </c>
      <c r="H34">
        <f t="shared" si="74"/>
        <v>4.0917700000000004</v>
      </c>
      <c r="I34">
        <f t="shared" ref="I34:I43" si="76">E34/10000</f>
        <v>0.31711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0.3662899121038638</v>
      </c>
      <c r="P34" s="4">
        <v>3</v>
      </c>
      <c r="Q34" s="5">
        <f t="shared" ref="Q34:R43" si="79">H34</f>
        <v>4.0917700000000004</v>
      </c>
      <c r="R34" s="5">
        <f t="shared" si="79"/>
        <v>0.31711</v>
      </c>
      <c r="S34" s="5">
        <f t="shared" ref="S34:S43" si="80">Q34/10^6*$Z$4*$Z$3/P34*10^12</f>
        <v>4.5459564700000001</v>
      </c>
      <c r="T34" s="5">
        <f t="shared" ref="T34:T43" si="81">S34*0.06</f>
        <v>0.27275738820000001</v>
      </c>
      <c r="U34" s="5">
        <f t="shared" ref="U34:U43" si="82">S34/$Z$1</f>
        <v>0.62273376301369865</v>
      </c>
      <c r="V34" s="5">
        <f t="shared" si="75"/>
        <v>0.3662899121038638</v>
      </c>
    </row>
    <row r="35" spans="2:22" x14ac:dyDescent="0.3">
      <c r="B35">
        <v>3</v>
      </c>
      <c r="C35">
        <v>-7128.5</v>
      </c>
      <c r="D35">
        <v>32890.9</v>
      </c>
      <c r="E35">
        <v>3532.3</v>
      </c>
      <c r="F35">
        <f t="shared" si="72"/>
        <v>3.2890900000000003</v>
      </c>
      <c r="G35">
        <f t="shared" si="73"/>
        <v>-0.71284999999999998</v>
      </c>
      <c r="H35">
        <f t="shared" si="74"/>
        <v>4.0019400000000003</v>
      </c>
      <c r="I35">
        <f t="shared" si="76"/>
        <v>0.35323000000000004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0.31599600571139608</v>
      </c>
      <c r="P35" s="4">
        <v>3</v>
      </c>
      <c r="Q35" s="5">
        <f t="shared" si="79"/>
        <v>4.0019400000000003</v>
      </c>
      <c r="R35" s="5">
        <f t="shared" si="79"/>
        <v>0.35323000000000004</v>
      </c>
      <c r="S35" s="5">
        <f t="shared" si="80"/>
        <v>4.4461553399999998</v>
      </c>
      <c r="T35" s="5">
        <f t="shared" si="81"/>
        <v>0.26676932039999995</v>
      </c>
      <c r="U35" s="5">
        <f t="shared" si="82"/>
        <v>0.60906237534246577</v>
      </c>
      <c r="V35" s="5">
        <f t="shared" si="75"/>
        <v>0.31599600571139608</v>
      </c>
    </row>
    <row r="36" spans="2:22" x14ac:dyDescent="0.3">
      <c r="B36">
        <v>4</v>
      </c>
      <c r="C36">
        <v>-11007</v>
      </c>
      <c r="D36">
        <v>22646.400000000001</v>
      </c>
      <c r="E36">
        <v>3757.7</v>
      </c>
      <c r="F36">
        <f t="shared" si="72"/>
        <v>2.26464</v>
      </c>
      <c r="G36">
        <f t="shared" si="73"/>
        <v>-1.1007</v>
      </c>
      <c r="H36">
        <f t="shared" si="74"/>
        <v>3.3653399999999998</v>
      </c>
      <c r="I36">
        <f t="shared" si="76"/>
        <v>0.37576999999999999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0.19139110420604744</v>
      </c>
      <c r="P36" s="4">
        <v>3</v>
      </c>
      <c r="Q36" s="5">
        <f t="shared" si="79"/>
        <v>3.3653399999999998</v>
      </c>
      <c r="R36" s="5">
        <f t="shared" si="79"/>
        <v>0.37576999999999999</v>
      </c>
      <c r="S36" s="5">
        <f t="shared" si="80"/>
        <v>3.7388927399999998</v>
      </c>
      <c r="T36" s="5">
        <f t="shared" si="81"/>
        <v>0.22433356439999999</v>
      </c>
      <c r="U36" s="5">
        <f t="shared" si="82"/>
        <v>0.51217708767123282</v>
      </c>
      <c r="V36" s="5">
        <f t="shared" si="75"/>
        <v>0.19139110420604744</v>
      </c>
    </row>
    <row r="37" spans="2:22" x14ac:dyDescent="0.3">
      <c r="B37">
        <v>5</v>
      </c>
      <c r="C37">
        <v>-2569.3000000000002</v>
      </c>
      <c r="D37">
        <v>24004.5</v>
      </c>
      <c r="E37">
        <v>1329.9</v>
      </c>
      <c r="F37">
        <f t="shared" si="72"/>
        <v>2.4004500000000002</v>
      </c>
      <c r="G37">
        <f t="shared" si="73"/>
        <v>-0.25692999999999999</v>
      </c>
      <c r="H37">
        <f t="shared" si="74"/>
        <v>2.6573800000000003</v>
      </c>
      <c r="I37">
        <f t="shared" si="76"/>
        <v>0.13299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0.13833047503419857</v>
      </c>
      <c r="P37" s="4">
        <v>3</v>
      </c>
      <c r="Q37" s="5">
        <f t="shared" si="79"/>
        <v>2.6573800000000003</v>
      </c>
      <c r="R37" s="5">
        <f t="shared" si="79"/>
        <v>0.13299</v>
      </c>
      <c r="S37" s="5">
        <f t="shared" si="80"/>
        <v>2.952349180000001</v>
      </c>
      <c r="T37" s="5">
        <f t="shared" si="81"/>
        <v>0.17714095080000006</v>
      </c>
      <c r="U37" s="5">
        <f t="shared" si="82"/>
        <v>0.4044313945205481</v>
      </c>
      <c r="V37" s="5">
        <f t="shared" si="75"/>
        <v>0.13833047503419857</v>
      </c>
    </row>
    <row r="38" spans="2:22" x14ac:dyDescent="0.3">
      <c r="B38">
        <v>6</v>
      </c>
      <c r="C38">
        <v>-27269.4</v>
      </c>
      <c r="D38">
        <v>-3455.2</v>
      </c>
      <c r="E38">
        <v>2842</v>
      </c>
      <c r="F38">
        <f t="shared" si="72"/>
        <v>-0.34551999999999999</v>
      </c>
      <c r="G38">
        <f t="shared" si="73"/>
        <v>-2.7269400000000004</v>
      </c>
      <c r="H38">
        <f t="shared" si="74"/>
        <v>2.3814200000000003</v>
      </c>
      <c r="I38">
        <f t="shared" si="76"/>
        <v>0.28420000000000001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9.5751326087449296E-2</v>
      </c>
      <c r="P38" s="4">
        <v>4</v>
      </c>
      <c r="Q38" s="5">
        <f t="shared" si="79"/>
        <v>2.3814200000000003</v>
      </c>
      <c r="R38" s="5">
        <f t="shared" si="79"/>
        <v>0.28420000000000001</v>
      </c>
      <c r="S38" s="5">
        <f t="shared" si="80"/>
        <v>1.9843182150000003</v>
      </c>
      <c r="T38" s="5">
        <f t="shared" si="81"/>
        <v>0.11905909290000001</v>
      </c>
      <c r="U38" s="5">
        <f t="shared" si="82"/>
        <v>0.2718244130136987</v>
      </c>
      <c r="V38" s="5">
        <f t="shared" si="75"/>
        <v>9.5751326087449296E-2</v>
      </c>
    </row>
    <row r="39" spans="2:22" x14ac:dyDescent="0.3">
      <c r="B39">
        <v>7</v>
      </c>
      <c r="C39">
        <v>0</v>
      </c>
      <c r="D39">
        <v>0</v>
      </c>
      <c r="E39">
        <v>0</v>
      </c>
      <c r="F39">
        <f t="shared" si="72"/>
        <v>0</v>
      </c>
      <c r="G39">
        <f t="shared" si="73"/>
        <v>0</v>
      </c>
      <c r="H39">
        <f t="shared" si="74"/>
        <v>0</v>
      </c>
      <c r="I39">
        <f t="shared" si="76"/>
        <v>0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6.9220178300211946E-2</v>
      </c>
      <c r="P39" s="4">
        <v>4</v>
      </c>
      <c r="Q39" s="5">
        <f t="shared" si="79"/>
        <v>0</v>
      </c>
      <c r="R39" s="5">
        <f t="shared" si="79"/>
        <v>0</v>
      </c>
      <c r="S39" s="5">
        <f t="shared" si="80"/>
        <v>0</v>
      </c>
      <c r="T39" s="5">
        <f t="shared" si="81"/>
        <v>0</v>
      </c>
      <c r="U39" s="5">
        <f t="shared" si="82"/>
        <v>0</v>
      </c>
      <c r="V39" s="5">
        <f t="shared" si="75"/>
        <v>6.9220178300211946E-2</v>
      </c>
    </row>
    <row r="40" spans="2:22" x14ac:dyDescent="0.3">
      <c r="B40">
        <v>8</v>
      </c>
      <c r="C40">
        <v>0</v>
      </c>
      <c r="D40">
        <v>0</v>
      </c>
      <c r="E40">
        <v>0</v>
      </c>
      <c r="F40">
        <f t="shared" si="72"/>
        <v>0</v>
      </c>
      <c r="G40">
        <f t="shared" si="73"/>
        <v>0</v>
      </c>
      <c r="H40">
        <f t="shared" si="74"/>
        <v>0</v>
      </c>
      <c r="I40">
        <f t="shared" si="76"/>
        <v>0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5.8049119985169144E-2</v>
      </c>
      <c r="P40" s="4">
        <v>5</v>
      </c>
      <c r="Q40" s="5">
        <f t="shared" si="79"/>
        <v>0</v>
      </c>
      <c r="R40" s="5">
        <f t="shared" si="79"/>
        <v>0</v>
      </c>
      <c r="S40" s="5">
        <f t="shared" si="80"/>
        <v>0</v>
      </c>
      <c r="T40" s="5">
        <f t="shared" si="81"/>
        <v>0</v>
      </c>
      <c r="U40" s="5">
        <f t="shared" si="82"/>
        <v>0</v>
      </c>
      <c r="V40" s="5">
        <f t="shared" si="75"/>
        <v>5.8049119985169144E-2</v>
      </c>
    </row>
    <row r="41" spans="2:22" x14ac:dyDescent="0.3">
      <c r="B41">
        <v>9</v>
      </c>
      <c r="C41">
        <v>0</v>
      </c>
      <c r="D41">
        <v>0</v>
      </c>
      <c r="E41">
        <v>0</v>
      </c>
      <c r="F41">
        <f t="shared" si="72"/>
        <v>0</v>
      </c>
      <c r="G41">
        <f t="shared" si="73"/>
        <v>0</v>
      </c>
      <c r="H41">
        <f t="shared" si="74"/>
        <v>0</v>
      </c>
      <c r="I41">
        <f t="shared" si="76"/>
        <v>0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4.6783463005389499E-2</v>
      </c>
      <c r="P41" s="4">
        <v>8</v>
      </c>
      <c r="Q41" s="5">
        <f t="shared" si="79"/>
        <v>0</v>
      </c>
      <c r="R41" s="5">
        <f t="shared" si="79"/>
        <v>0</v>
      </c>
      <c r="S41" s="5">
        <f t="shared" si="80"/>
        <v>0</v>
      </c>
      <c r="T41" s="5">
        <f t="shared" si="81"/>
        <v>0</v>
      </c>
      <c r="U41" s="5">
        <f t="shared" si="82"/>
        <v>0</v>
      </c>
      <c r="V41" s="5">
        <f t="shared" si="75"/>
        <v>4.6783463005389499E-2</v>
      </c>
    </row>
    <row r="42" spans="2:22" x14ac:dyDescent="0.3">
      <c r="B42">
        <v>10</v>
      </c>
      <c r="C42">
        <v>0</v>
      </c>
      <c r="D42">
        <v>0</v>
      </c>
      <c r="E42">
        <v>0</v>
      </c>
      <c r="F42">
        <f t="shared" si="72"/>
        <v>0</v>
      </c>
      <c r="G42">
        <f t="shared" si="73"/>
        <v>0</v>
      </c>
      <c r="H42">
        <f t="shared" si="74"/>
        <v>0</v>
      </c>
      <c r="I42">
        <f t="shared" si="76"/>
        <v>0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3.3502494481825192E-2</v>
      </c>
      <c r="P42" s="4">
        <v>14</v>
      </c>
      <c r="Q42" s="5">
        <f t="shared" si="79"/>
        <v>0</v>
      </c>
      <c r="R42" s="5">
        <f t="shared" si="79"/>
        <v>0</v>
      </c>
      <c r="S42" s="5">
        <f t="shared" si="80"/>
        <v>0</v>
      </c>
      <c r="T42" s="5">
        <f t="shared" si="81"/>
        <v>0</v>
      </c>
      <c r="U42" s="5">
        <f t="shared" si="82"/>
        <v>0</v>
      </c>
      <c r="V42" s="5">
        <f t="shared" si="75"/>
        <v>3.3502494481825192E-2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2.1605022309084593E-2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2.1605022309084593E-2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1763.4</v>
      </c>
      <c r="D47">
        <v>39527.5</v>
      </c>
      <c r="E47">
        <v>3949</v>
      </c>
      <c r="F47">
        <f t="shared" ref="F47:F57" si="84">D47/10000</f>
        <v>3.95275</v>
      </c>
      <c r="G47">
        <f t="shared" ref="G47:G57" si="85">C47/10000</f>
        <v>0.17634</v>
      </c>
      <c r="H47">
        <f t="shared" ref="H47:H57" si="86">F47-G47</f>
        <v>3.7764099999999998</v>
      </c>
      <c r="I47">
        <f>E47/10000</f>
        <v>0.39489999999999997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0.3303486709000944</v>
      </c>
      <c r="P47" s="2">
        <v>3</v>
      </c>
      <c r="Q47" s="8">
        <f>H47</f>
        <v>3.7764099999999998</v>
      </c>
      <c r="R47" s="8">
        <f>I47</f>
        <v>0.39489999999999997</v>
      </c>
      <c r="S47" s="8">
        <f>Q47/10^6*$Z$4*$Z$3/P47*10^12</f>
        <v>4.1955915099999999</v>
      </c>
      <c r="T47" s="8">
        <f>S47*0.06</f>
        <v>0.2517354906</v>
      </c>
      <c r="U47" s="8">
        <f>S47/$Z$1</f>
        <v>0.57473856301369863</v>
      </c>
      <c r="V47" s="12">
        <f t="shared" ref="V47:V57" si="87">O47</f>
        <v>0.3303486709000944</v>
      </c>
    </row>
    <row r="48" spans="2:22" x14ac:dyDescent="0.3">
      <c r="B48">
        <v>2</v>
      </c>
      <c r="C48">
        <v>-224.1</v>
      </c>
      <c r="D48">
        <v>35940</v>
      </c>
      <c r="E48">
        <v>4100.5</v>
      </c>
      <c r="F48">
        <f t="shared" si="84"/>
        <v>3.5939999999999999</v>
      </c>
      <c r="G48">
        <f t="shared" si="85"/>
        <v>-2.2409999999999999E-2</v>
      </c>
      <c r="H48">
        <f t="shared" si="86"/>
        <v>3.6164099999999997</v>
      </c>
      <c r="I48">
        <f t="shared" ref="I48:I57" si="88">E48/10000</f>
        <v>0.41005000000000003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0.29303192968309105</v>
      </c>
      <c r="P48" s="4">
        <v>3</v>
      </c>
      <c r="Q48" s="5">
        <f t="shared" ref="Q48:R57" si="91">H48</f>
        <v>3.6164099999999997</v>
      </c>
      <c r="R48" s="5">
        <f t="shared" si="91"/>
        <v>0.41005000000000003</v>
      </c>
      <c r="S48" s="5">
        <f t="shared" ref="S48:S57" si="92">Q48/10^6*$Z$4*$Z$3/P48*10^12</f>
        <v>4.0178315100000006</v>
      </c>
      <c r="T48" s="5">
        <f t="shared" ref="T48:T57" si="93">S48*0.06</f>
        <v>0.24106989060000003</v>
      </c>
      <c r="U48" s="5">
        <f t="shared" ref="U48:U57" si="94">S48/$Z$1</f>
        <v>0.55038787808219192</v>
      </c>
      <c r="V48" s="5">
        <f t="shared" si="87"/>
        <v>0.29303192968309105</v>
      </c>
    </row>
    <row r="49" spans="2:22" x14ac:dyDescent="0.3">
      <c r="B49">
        <v>3</v>
      </c>
      <c r="C49">
        <v>-6769.3</v>
      </c>
      <c r="D49">
        <v>29812.3</v>
      </c>
      <c r="E49">
        <v>2931.3</v>
      </c>
      <c r="F49">
        <f t="shared" si="84"/>
        <v>2.98123</v>
      </c>
      <c r="G49">
        <f t="shared" si="85"/>
        <v>-0.67693000000000003</v>
      </c>
      <c r="H49">
        <f t="shared" si="86"/>
        <v>3.6581600000000001</v>
      </c>
      <c r="I49">
        <f t="shared" si="88"/>
        <v>0.29313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0.25279680456911685</v>
      </c>
      <c r="P49" s="4">
        <v>3</v>
      </c>
      <c r="Q49" s="5">
        <f t="shared" si="91"/>
        <v>3.6581600000000001</v>
      </c>
      <c r="R49" s="5">
        <f t="shared" si="91"/>
        <v>0.29313</v>
      </c>
      <c r="S49" s="5">
        <f t="shared" si="92"/>
        <v>4.0642157600000006</v>
      </c>
      <c r="T49" s="5">
        <f t="shared" si="93"/>
        <v>0.24385294560000004</v>
      </c>
      <c r="U49" s="5">
        <f t="shared" si="94"/>
        <v>0.556741884931507</v>
      </c>
      <c r="V49" s="5">
        <f t="shared" si="87"/>
        <v>0.25279680456911685</v>
      </c>
    </row>
    <row r="50" spans="2:22" x14ac:dyDescent="0.3">
      <c r="B50">
        <v>4</v>
      </c>
      <c r="C50">
        <v>-4295</v>
      </c>
      <c r="D50">
        <v>23273.8</v>
      </c>
      <c r="E50">
        <v>1935.4</v>
      </c>
      <c r="F50">
        <f t="shared" si="84"/>
        <v>2.3273799999999998</v>
      </c>
      <c r="G50">
        <f t="shared" si="85"/>
        <v>-0.42949999999999999</v>
      </c>
      <c r="H50">
        <f t="shared" si="86"/>
        <v>2.7568799999999998</v>
      </c>
      <c r="I50">
        <f t="shared" si="88"/>
        <v>0.19354000000000002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0.15311288336483794</v>
      </c>
      <c r="P50" s="4">
        <v>3</v>
      </c>
      <c r="Q50" s="5">
        <f t="shared" si="91"/>
        <v>2.7568799999999998</v>
      </c>
      <c r="R50" s="5">
        <f t="shared" si="91"/>
        <v>0.19354000000000002</v>
      </c>
      <c r="S50" s="5">
        <f t="shared" si="92"/>
        <v>3.0628936799999997</v>
      </c>
      <c r="T50" s="5">
        <f t="shared" si="93"/>
        <v>0.18377362079999998</v>
      </c>
      <c r="U50" s="5">
        <f t="shared" si="94"/>
        <v>0.41957447671232873</v>
      </c>
      <c r="V50" s="5">
        <f t="shared" si="87"/>
        <v>0.15311288336483794</v>
      </c>
    </row>
    <row r="51" spans="2:22" x14ac:dyDescent="0.3">
      <c r="B51">
        <v>5</v>
      </c>
      <c r="C51">
        <v>-2260</v>
      </c>
      <c r="D51">
        <v>18724</v>
      </c>
      <c r="E51">
        <v>1552.8</v>
      </c>
      <c r="F51">
        <f t="shared" si="84"/>
        <v>1.8724000000000001</v>
      </c>
      <c r="G51">
        <f t="shared" si="85"/>
        <v>-0.22600000000000001</v>
      </c>
      <c r="H51">
        <f t="shared" si="86"/>
        <v>2.0984000000000003</v>
      </c>
      <c r="I51">
        <f t="shared" si="88"/>
        <v>0.15528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0.11066438002735884</v>
      </c>
      <c r="P51" s="4">
        <v>3</v>
      </c>
      <c r="Q51" s="5">
        <f t="shared" si="91"/>
        <v>2.0984000000000003</v>
      </c>
      <c r="R51" s="5">
        <f t="shared" si="91"/>
        <v>0.15528</v>
      </c>
      <c r="S51" s="5">
        <f t="shared" si="92"/>
        <v>2.3313224000000003</v>
      </c>
      <c r="T51" s="5">
        <f t="shared" si="93"/>
        <v>0.13987934400000002</v>
      </c>
      <c r="U51" s="5">
        <f t="shared" si="94"/>
        <v>0.31935923287671236</v>
      </c>
      <c r="V51" s="5">
        <f t="shared" si="87"/>
        <v>0.11066438002735884</v>
      </c>
    </row>
    <row r="52" spans="2:22" x14ac:dyDescent="0.3">
      <c r="B52">
        <v>6</v>
      </c>
      <c r="C52">
        <v>0</v>
      </c>
      <c r="D52">
        <v>0</v>
      </c>
      <c r="E52">
        <v>0</v>
      </c>
      <c r="F52">
        <f t="shared" si="84"/>
        <v>0</v>
      </c>
      <c r="G52">
        <f t="shared" si="85"/>
        <v>0</v>
      </c>
      <c r="H52">
        <f t="shared" si="86"/>
        <v>0</v>
      </c>
      <c r="I52">
        <f t="shared" si="88"/>
        <v>0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7.6601060869959436E-2</v>
      </c>
      <c r="P52" s="4">
        <v>4</v>
      </c>
      <c r="Q52" s="5">
        <f t="shared" si="91"/>
        <v>0</v>
      </c>
      <c r="R52" s="5">
        <f t="shared" si="91"/>
        <v>0</v>
      </c>
      <c r="S52" s="5">
        <f t="shared" si="92"/>
        <v>0</v>
      </c>
      <c r="T52" s="5">
        <f t="shared" si="93"/>
        <v>0</v>
      </c>
      <c r="U52" s="5">
        <f t="shared" si="94"/>
        <v>0</v>
      </c>
      <c r="V52" s="5">
        <f t="shared" si="87"/>
        <v>7.6601060869959436E-2</v>
      </c>
    </row>
    <row r="53" spans="2:22" x14ac:dyDescent="0.3">
      <c r="B53">
        <v>7</v>
      </c>
      <c r="C53">
        <v>0</v>
      </c>
      <c r="D53">
        <v>0</v>
      </c>
      <c r="E53">
        <v>0</v>
      </c>
      <c r="F53">
        <f t="shared" si="84"/>
        <v>0</v>
      </c>
      <c r="G53">
        <f t="shared" si="85"/>
        <v>0</v>
      </c>
      <c r="H53">
        <f t="shared" si="86"/>
        <v>0</v>
      </c>
      <c r="I53">
        <f t="shared" si="88"/>
        <v>0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5.5376142640169553E-2</v>
      </c>
      <c r="P53" s="4">
        <v>4</v>
      </c>
      <c r="Q53" s="5">
        <f t="shared" si="91"/>
        <v>0</v>
      </c>
      <c r="R53" s="5">
        <f t="shared" si="91"/>
        <v>0</v>
      </c>
      <c r="S53" s="5">
        <f t="shared" si="92"/>
        <v>0</v>
      </c>
      <c r="T53" s="5">
        <f t="shared" si="93"/>
        <v>0</v>
      </c>
      <c r="U53" s="5">
        <f t="shared" si="94"/>
        <v>0</v>
      </c>
      <c r="V53" s="5">
        <f t="shared" si="87"/>
        <v>5.5376142640169553E-2</v>
      </c>
    </row>
    <row r="54" spans="2:22" x14ac:dyDescent="0.3">
      <c r="B54">
        <v>8</v>
      </c>
      <c r="C54">
        <v>0</v>
      </c>
      <c r="D54">
        <v>0</v>
      </c>
      <c r="E54">
        <v>0</v>
      </c>
      <c r="F54">
        <f t="shared" si="84"/>
        <v>0</v>
      </c>
      <c r="G54">
        <f t="shared" si="85"/>
        <v>0</v>
      </c>
      <c r="H54">
        <f t="shared" si="86"/>
        <v>0</v>
      </c>
      <c r="I54">
        <f t="shared" si="88"/>
        <v>0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4.6439295988135315E-2</v>
      </c>
      <c r="P54" s="4">
        <v>5</v>
      </c>
      <c r="Q54" s="5">
        <f t="shared" si="91"/>
        <v>0</v>
      </c>
      <c r="R54" s="5">
        <f t="shared" si="91"/>
        <v>0</v>
      </c>
      <c r="S54" s="5">
        <f t="shared" si="92"/>
        <v>0</v>
      </c>
      <c r="T54" s="5">
        <f t="shared" si="93"/>
        <v>0</v>
      </c>
      <c r="U54" s="5">
        <f t="shared" si="94"/>
        <v>0</v>
      </c>
      <c r="V54" s="5">
        <f t="shared" si="87"/>
        <v>4.6439295988135315E-2</v>
      </c>
    </row>
    <row r="55" spans="2:22" x14ac:dyDescent="0.3">
      <c r="B55">
        <v>9</v>
      </c>
      <c r="C55">
        <v>0</v>
      </c>
      <c r="D55">
        <v>0</v>
      </c>
      <c r="E55">
        <v>0</v>
      </c>
      <c r="F55">
        <f t="shared" si="84"/>
        <v>0</v>
      </c>
      <c r="G55">
        <f t="shared" si="85"/>
        <v>0</v>
      </c>
      <c r="H55">
        <f t="shared" si="86"/>
        <v>0</v>
      </c>
      <c r="I55">
        <f t="shared" si="88"/>
        <v>0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3.7426770404311603E-2</v>
      </c>
      <c r="P55" s="4">
        <v>8</v>
      </c>
      <c r="Q55" s="5">
        <f t="shared" si="91"/>
        <v>0</v>
      </c>
      <c r="R55" s="5">
        <f t="shared" si="91"/>
        <v>0</v>
      </c>
      <c r="S55" s="5">
        <f t="shared" si="92"/>
        <v>0</v>
      </c>
      <c r="T55" s="5">
        <f t="shared" si="93"/>
        <v>0</v>
      </c>
      <c r="U55" s="5">
        <f t="shared" si="94"/>
        <v>0</v>
      </c>
      <c r="V55" s="5">
        <f t="shared" si="87"/>
        <v>3.7426770404311603E-2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84"/>
        <v>0</v>
      </c>
      <c r="G56">
        <f t="shared" si="85"/>
        <v>0</v>
      </c>
      <c r="H56">
        <f t="shared" si="86"/>
        <v>0</v>
      </c>
      <c r="I56">
        <f t="shared" si="88"/>
        <v>0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2.6801995585460158E-2</v>
      </c>
      <c r="P56" s="4">
        <v>14</v>
      </c>
      <c r="Q56" s="5">
        <f t="shared" si="91"/>
        <v>0</v>
      </c>
      <c r="R56" s="5">
        <f t="shared" si="91"/>
        <v>0</v>
      </c>
      <c r="S56" s="5">
        <f t="shared" si="92"/>
        <v>0</v>
      </c>
      <c r="T56" s="5">
        <f t="shared" si="93"/>
        <v>0</v>
      </c>
      <c r="U56" s="5">
        <f t="shared" si="94"/>
        <v>0</v>
      </c>
      <c r="V56" s="5">
        <f t="shared" si="87"/>
        <v>2.6801995585460158E-2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1.7284017847267675E-2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1.7284017847267675E-2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3175.3</v>
      </c>
      <c r="D61">
        <v>44263</v>
      </c>
      <c r="E61">
        <v>4030.7</v>
      </c>
      <c r="F61">
        <f t="shared" ref="F61:F71" si="96">D61/10000</f>
        <v>4.4263000000000003</v>
      </c>
      <c r="G61">
        <f t="shared" ref="G61:G71" si="97">C61/10000</f>
        <v>0.31753000000000003</v>
      </c>
      <c r="H61">
        <f t="shared" ref="H61:H71" si="98">F61-G61</f>
        <v>4.1087700000000007</v>
      </c>
      <c r="I61">
        <f>E61/10000</f>
        <v>0.40306999999999998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0.27529055908341199</v>
      </c>
      <c r="P61" s="2">
        <v>3</v>
      </c>
      <c r="Q61" s="8">
        <f>H61</f>
        <v>4.1087700000000007</v>
      </c>
      <c r="R61" s="8">
        <f>I61</f>
        <v>0.40306999999999998</v>
      </c>
      <c r="S61" s="8">
        <f>Q61/10^6*$Z$4*$Z$3/P61*10^12</f>
        <v>4.5648434700000013</v>
      </c>
      <c r="T61" s="8">
        <f>S61*0.06</f>
        <v>0.27389060820000005</v>
      </c>
      <c r="U61" s="8">
        <f>S61/$Z$1</f>
        <v>0.62532102328767147</v>
      </c>
      <c r="V61" s="12">
        <f t="shared" ref="V61:V71" si="99">O61</f>
        <v>0.27529055908341199</v>
      </c>
    </row>
    <row r="62" spans="2:22" x14ac:dyDescent="0.3">
      <c r="B62">
        <v>2</v>
      </c>
      <c r="C62">
        <v>2867.8</v>
      </c>
      <c r="D62">
        <v>38873.300000000003</v>
      </c>
      <c r="E62">
        <v>3364.5</v>
      </c>
      <c r="F62">
        <f t="shared" si="96"/>
        <v>3.8873300000000004</v>
      </c>
      <c r="G62">
        <f t="shared" si="97"/>
        <v>0.28678000000000003</v>
      </c>
      <c r="H62">
        <f t="shared" si="98"/>
        <v>3.6005500000000001</v>
      </c>
      <c r="I62">
        <f t="shared" ref="I62:I71" si="100">E62/10000</f>
        <v>0.33645000000000003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0.24419327473590921</v>
      </c>
      <c r="P62" s="4">
        <v>3</v>
      </c>
      <c r="Q62" s="5">
        <f t="shared" ref="Q62:R71" si="103">H62</f>
        <v>3.6005500000000001</v>
      </c>
      <c r="R62" s="5">
        <f t="shared" si="103"/>
        <v>0.33645000000000003</v>
      </c>
      <c r="S62" s="5">
        <f t="shared" ref="S62:S71" si="104">Q62/10^6*$Z$4*$Z$3/P62*10^12</f>
        <v>4.0002110500000008</v>
      </c>
      <c r="T62" s="5">
        <f t="shared" ref="T62:T71" si="105">S62*0.06</f>
        <v>0.24001266300000004</v>
      </c>
      <c r="U62" s="5">
        <f t="shared" ref="U62:U71" si="106">S62/$Z$1</f>
        <v>0.54797411643835625</v>
      </c>
      <c r="V62" s="5">
        <f t="shared" si="99"/>
        <v>0.24419327473590921</v>
      </c>
    </row>
    <row r="63" spans="2:22" x14ac:dyDescent="0.3">
      <c r="B63">
        <v>3</v>
      </c>
      <c r="C63">
        <v>27.4</v>
      </c>
      <c r="D63">
        <v>27827.4</v>
      </c>
      <c r="E63">
        <v>3274.6</v>
      </c>
      <c r="F63">
        <f t="shared" si="96"/>
        <v>2.78274</v>
      </c>
      <c r="G63">
        <f t="shared" si="97"/>
        <v>2.7399999999999998E-3</v>
      </c>
      <c r="H63">
        <f t="shared" si="98"/>
        <v>2.78</v>
      </c>
      <c r="I63">
        <f t="shared" si="100"/>
        <v>0.32745999999999997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0.21066400380759739</v>
      </c>
      <c r="P63" s="4">
        <v>3</v>
      </c>
      <c r="Q63" s="5">
        <f t="shared" si="103"/>
        <v>2.78</v>
      </c>
      <c r="R63" s="5">
        <f t="shared" si="103"/>
        <v>0.32745999999999997</v>
      </c>
      <c r="S63" s="5">
        <f t="shared" si="104"/>
        <v>3.0885800000000003</v>
      </c>
      <c r="T63" s="5">
        <f t="shared" si="105"/>
        <v>0.1853148</v>
      </c>
      <c r="U63" s="5">
        <f t="shared" si="106"/>
        <v>0.42309315068493158</v>
      </c>
      <c r="V63" s="5">
        <f t="shared" si="99"/>
        <v>0.21066400380759739</v>
      </c>
    </row>
    <row r="64" spans="2:22" x14ac:dyDescent="0.3">
      <c r="B64">
        <v>4</v>
      </c>
      <c r="C64">
        <v>2464.1</v>
      </c>
      <c r="D64">
        <v>22551.5</v>
      </c>
      <c r="E64">
        <v>2016.3</v>
      </c>
      <c r="F64">
        <f t="shared" si="96"/>
        <v>2.25515</v>
      </c>
      <c r="G64">
        <f t="shared" si="97"/>
        <v>0.24640999999999999</v>
      </c>
      <c r="H64">
        <f t="shared" si="98"/>
        <v>2.00874</v>
      </c>
      <c r="I64">
        <f t="shared" si="100"/>
        <v>0.20163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0.12759406947069829</v>
      </c>
      <c r="P64" s="4">
        <v>3</v>
      </c>
      <c r="Q64" s="5">
        <f t="shared" si="103"/>
        <v>2.00874</v>
      </c>
      <c r="R64" s="5">
        <f t="shared" si="103"/>
        <v>0.20163</v>
      </c>
      <c r="S64" s="5">
        <f t="shared" si="104"/>
        <v>2.2317101400000001</v>
      </c>
      <c r="T64" s="5">
        <f t="shared" si="105"/>
        <v>0.13390260840000001</v>
      </c>
      <c r="U64" s="5">
        <f t="shared" si="106"/>
        <v>0.30571371780821921</v>
      </c>
      <c r="V64" s="5">
        <f t="shared" si="99"/>
        <v>0.12759406947069829</v>
      </c>
    </row>
    <row r="65" spans="2:22" x14ac:dyDescent="0.3">
      <c r="B65">
        <v>5</v>
      </c>
      <c r="C65">
        <v>1307.4000000000001</v>
      </c>
      <c r="D65">
        <v>14874.7</v>
      </c>
      <c r="E65">
        <v>1929.4</v>
      </c>
      <c r="F65">
        <f t="shared" si="96"/>
        <v>1.4874700000000001</v>
      </c>
      <c r="G65">
        <f t="shared" si="97"/>
        <v>0.13074000000000002</v>
      </c>
      <c r="H65">
        <f t="shared" si="98"/>
        <v>1.35673</v>
      </c>
      <c r="I65">
        <f t="shared" si="100"/>
        <v>0.19294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9.2220316689465717E-2</v>
      </c>
      <c r="P65" s="4">
        <v>3</v>
      </c>
      <c r="Q65" s="5">
        <f t="shared" si="103"/>
        <v>1.35673</v>
      </c>
      <c r="R65" s="5">
        <f t="shared" si="103"/>
        <v>0.19294</v>
      </c>
      <c r="S65" s="5">
        <f t="shared" si="104"/>
        <v>1.5073270300000001</v>
      </c>
      <c r="T65" s="5">
        <f t="shared" si="105"/>
        <v>9.0439621800000009E-2</v>
      </c>
      <c r="U65" s="5">
        <f t="shared" si="106"/>
        <v>0.20648315479452056</v>
      </c>
      <c r="V65" s="5">
        <f t="shared" si="99"/>
        <v>9.2220316689465717E-2</v>
      </c>
    </row>
    <row r="66" spans="2:22" x14ac:dyDescent="0.3">
      <c r="B66">
        <v>6</v>
      </c>
      <c r="C66">
        <v>0</v>
      </c>
      <c r="D66">
        <v>0</v>
      </c>
      <c r="E66">
        <v>0</v>
      </c>
      <c r="F66">
        <f t="shared" si="96"/>
        <v>0</v>
      </c>
      <c r="G66">
        <f t="shared" si="97"/>
        <v>0</v>
      </c>
      <c r="H66">
        <f t="shared" si="98"/>
        <v>0</v>
      </c>
      <c r="I66">
        <f t="shared" si="100"/>
        <v>0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6.3834217391632864E-2</v>
      </c>
      <c r="P66" s="4">
        <v>4</v>
      </c>
      <c r="Q66" s="5">
        <f t="shared" si="103"/>
        <v>0</v>
      </c>
      <c r="R66" s="5">
        <f t="shared" si="103"/>
        <v>0</v>
      </c>
      <c r="S66" s="5">
        <f t="shared" si="104"/>
        <v>0</v>
      </c>
      <c r="T66" s="5">
        <f t="shared" si="105"/>
        <v>0</v>
      </c>
      <c r="U66" s="5">
        <f t="shared" si="106"/>
        <v>0</v>
      </c>
      <c r="V66" s="5">
        <f t="shared" si="99"/>
        <v>6.3834217391632864E-2</v>
      </c>
    </row>
    <row r="67" spans="2:22" x14ac:dyDescent="0.3">
      <c r="B67">
        <v>7</v>
      </c>
      <c r="C67">
        <v>0</v>
      </c>
      <c r="D67">
        <v>0</v>
      </c>
      <c r="E67">
        <v>0</v>
      </c>
      <c r="F67">
        <f t="shared" si="96"/>
        <v>0</v>
      </c>
      <c r="G67">
        <f t="shared" si="97"/>
        <v>0</v>
      </c>
      <c r="H67">
        <f t="shared" si="98"/>
        <v>0</v>
      </c>
      <c r="I67">
        <f t="shared" si="100"/>
        <v>0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4.6146785533474628E-2</v>
      </c>
      <c r="P67" s="4">
        <v>4</v>
      </c>
      <c r="Q67" s="5">
        <f t="shared" si="103"/>
        <v>0</v>
      </c>
      <c r="R67" s="5">
        <f t="shared" si="103"/>
        <v>0</v>
      </c>
      <c r="S67" s="5">
        <f t="shared" si="104"/>
        <v>0</v>
      </c>
      <c r="T67" s="5">
        <f t="shared" si="105"/>
        <v>0</v>
      </c>
      <c r="U67" s="5">
        <f t="shared" si="106"/>
        <v>0</v>
      </c>
      <c r="V67" s="5">
        <f t="shared" si="99"/>
        <v>4.6146785533474628E-2</v>
      </c>
    </row>
    <row r="68" spans="2:22" x14ac:dyDescent="0.3">
      <c r="B68">
        <v>8</v>
      </c>
      <c r="C68">
        <v>0</v>
      </c>
      <c r="D68">
        <v>0</v>
      </c>
      <c r="E68">
        <v>0</v>
      </c>
      <c r="F68">
        <f t="shared" si="96"/>
        <v>0</v>
      </c>
      <c r="G68">
        <f t="shared" si="97"/>
        <v>0</v>
      </c>
      <c r="H68">
        <f t="shared" si="98"/>
        <v>0</v>
      </c>
      <c r="I68">
        <f t="shared" si="100"/>
        <v>0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3.8699413323446098E-2</v>
      </c>
      <c r="P68" s="4">
        <v>5</v>
      </c>
      <c r="Q68" s="5">
        <f t="shared" si="103"/>
        <v>0</v>
      </c>
      <c r="R68" s="5">
        <f t="shared" si="103"/>
        <v>0</v>
      </c>
      <c r="S68" s="5">
        <f t="shared" si="104"/>
        <v>0</v>
      </c>
      <c r="T68" s="5">
        <f t="shared" si="105"/>
        <v>0</v>
      </c>
      <c r="U68" s="5">
        <f t="shared" si="106"/>
        <v>0</v>
      </c>
      <c r="V68" s="5">
        <f t="shared" si="99"/>
        <v>3.8699413323446098E-2</v>
      </c>
    </row>
    <row r="69" spans="2:22" x14ac:dyDescent="0.3">
      <c r="B69">
        <v>9</v>
      </c>
      <c r="C69">
        <v>0</v>
      </c>
      <c r="D69">
        <v>0</v>
      </c>
      <c r="E69">
        <v>0</v>
      </c>
      <c r="F69">
        <f t="shared" si="96"/>
        <v>0</v>
      </c>
      <c r="G69">
        <f t="shared" si="97"/>
        <v>0</v>
      </c>
      <c r="H69">
        <f t="shared" si="98"/>
        <v>0</v>
      </c>
      <c r="I69">
        <f t="shared" si="100"/>
        <v>0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3.1188975336926331E-2</v>
      </c>
      <c r="P69" s="4">
        <v>8</v>
      </c>
      <c r="Q69" s="5">
        <f t="shared" si="103"/>
        <v>0</v>
      </c>
      <c r="R69" s="5">
        <f t="shared" si="103"/>
        <v>0</v>
      </c>
      <c r="S69" s="5">
        <f t="shared" si="104"/>
        <v>0</v>
      </c>
      <c r="T69" s="5">
        <f t="shared" si="105"/>
        <v>0</v>
      </c>
      <c r="U69" s="5">
        <f t="shared" si="106"/>
        <v>0</v>
      </c>
      <c r="V69" s="5">
        <f t="shared" si="99"/>
        <v>3.1188975336926331E-2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96"/>
        <v>0</v>
      </c>
      <c r="G70">
        <f t="shared" si="97"/>
        <v>0</v>
      </c>
      <c r="H70">
        <f t="shared" si="98"/>
        <v>0</v>
      </c>
      <c r="I70">
        <f t="shared" si="100"/>
        <v>0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2.2334996321216796E-2</v>
      </c>
      <c r="P70" s="4">
        <v>14</v>
      </c>
      <c r="Q70" s="5">
        <f t="shared" si="103"/>
        <v>0</v>
      </c>
      <c r="R70" s="5">
        <f t="shared" si="103"/>
        <v>0</v>
      </c>
      <c r="S70" s="5">
        <f t="shared" si="104"/>
        <v>0</v>
      </c>
      <c r="T70" s="5">
        <f t="shared" si="105"/>
        <v>0</v>
      </c>
      <c r="U70" s="5">
        <f t="shared" si="106"/>
        <v>0</v>
      </c>
      <c r="V70" s="5">
        <f t="shared" si="99"/>
        <v>2.2334996321216796E-2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1.4403348206056396E-2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1.4403348206056396E-2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2164.9</v>
      </c>
      <c r="D75">
        <v>30127.3</v>
      </c>
      <c r="E75">
        <v>3748.8</v>
      </c>
      <c r="F75">
        <f t="shared" ref="F75:F85" si="108">D75/10000</f>
        <v>3.0127299999999999</v>
      </c>
      <c r="G75">
        <f t="shared" ref="G75:G85" si="109">C75/10000</f>
        <v>0.21649000000000002</v>
      </c>
      <c r="H75">
        <f t="shared" ref="H75:H85" si="110">F75-G75</f>
        <v>2.7962400000000001</v>
      </c>
      <c r="I75">
        <f>E75/10000</f>
        <v>0.37487999999999999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0.23596333635721026</v>
      </c>
      <c r="P75" s="2">
        <v>3</v>
      </c>
      <c r="Q75" s="8">
        <f>H75</f>
        <v>2.7962400000000001</v>
      </c>
      <c r="R75" s="8">
        <f>I75</f>
        <v>0.37487999999999999</v>
      </c>
      <c r="S75" s="8">
        <f>Q75/10^6*$Z$4*$Z$3/P75*10^12</f>
        <v>3.1066226400000008</v>
      </c>
      <c r="T75" s="8">
        <f>S75*0.06</f>
        <v>0.18639735840000005</v>
      </c>
      <c r="U75" s="8">
        <f>S75/$Z$1</f>
        <v>0.42556474520547954</v>
      </c>
      <c r="V75" s="12">
        <f t="shared" ref="V75:V85" si="111">O75</f>
        <v>0.23596333635721026</v>
      </c>
    </row>
    <row r="76" spans="2:22" x14ac:dyDescent="0.3">
      <c r="B76">
        <v>2</v>
      </c>
      <c r="C76">
        <v>-659</v>
      </c>
      <c r="D76">
        <v>28238</v>
      </c>
      <c r="E76">
        <v>4050.5</v>
      </c>
      <c r="F76">
        <f t="shared" si="108"/>
        <v>2.8237999999999999</v>
      </c>
      <c r="G76">
        <f t="shared" si="109"/>
        <v>-6.59E-2</v>
      </c>
      <c r="H76">
        <f t="shared" si="110"/>
        <v>2.8896999999999999</v>
      </c>
      <c r="I76">
        <f t="shared" ref="I76:I85" si="112">E76/10000</f>
        <v>0.40505000000000002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0.20930852120220789</v>
      </c>
      <c r="P76" s="4">
        <v>3</v>
      </c>
      <c r="Q76" s="5">
        <f t="shared" ref="Q76:R85" si="115">H76</f>
        <v>2.8896999999999999</v>
      </c>
      <c r="R76" s="5">
        <f t="shared" si="115"/>
        <v>0.40505000000000002</v>
      </c>
      <c r="S76" s="5">
        <f t="shared" ref="S76:S85" si="116">Q76/10^6*$Z$4*$Z$3/P76*10^12</f>
        <v>3.2104566999999999</v>
      </c>
      <c r="T76" s="5">
        <f t="shared" ref="T76:T85" si="117">S76*0.06</f>
        <v>0.192627402</v>
      </c>
      <c r="U76" s="5">
        <f t="shared" ref="U76:U85" si="118">S76/$Z$1</f>
        <v>0.43978858904109591</v>
      </c>
      <c r="V76" s="5">
        <f t="shared" si="111"/>
        <v>0.20930852120220789</v>
      </c>
    </row>
    <row r="77" spans="2:22" x14ac:dyDescent="0.3">
      <c r="B77">
        <v>3</v>
      </c>
      <c r="C77">
        <v>-8650.7000000000007</v>
      </c>
      <c r="D77">
        <v>27410.400000000001</v>
      </c>
      <c r="E77">
        <v>3102.4</v>
      </c>
      <c r="F77">
        <f t="shared" si="108"/>
        <v>2.7410400000000004</v>
      </c>
      <c r="G77">
        <f t="shared" si="109"/>
        <v>-0.86507000000000012</v>
      </c>
      <c r="H77">
        <f t="shared" si="110"/>
        <v>3.6061100000000006</v>
      </c>
      <c r="I77">
        <f t="shared" si="112"/>
        <v>0.31024000000000002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0.18056914612079777</v>
      </c>
      <c r="P77" s="4">
        <v>3</v>
      </c>
      <c r="Q77" s="5">
        <f t="shared" si="115"/>
        <v>3.6061100000000006</v>
      </c>
      <c r="R77" s="5">
        <f t="shared" si="115"/>
        <v>0.31024000000000002</v>
      </c>
      <c r="S77" s="5">
        <f t="shared" si="116"/>
        <v>4.0063882100000008</v>
      </c>
      <c r="T77" s="5">
        <f t="shared" si="117"/>
        <v>0.24038329260000005</v>
      </c>
      <c r="U77" s="5">
        <f t="shared" si="118"/>
        <v>0.54882030273972615</v>
      </c>
      <c r="V77" s="5">
        <f t="shared" si="111"/>
        <v>0.18056914612079777</v>
      </c>
    </row>
    <row r="78" spans="2:22" x14ac:dyDescent="0.3">
      <c r="B78">
        <v>4</v>
      </c>
      <c r="C78">
        <v>-2437.4</v>
      </c>
      <c r="D78">
        <v>9260.4</v>
      </c>
      <c r="E78">
        <v>7930.3</v>
      </c>
      <c r="F78">
        <f t="shared" si="108"/>
        <v>0.92603999999999997</v>
      </c>
      <c r="G78">
        <f t="shared" si="109"/>
        <v>-0.24374000000000001</v>
      </c>
      <c r="H78">
        <f t="shared" si="110"/>
        <v>1.16978</v>
      </c>
      <c r="I78">
        <f t="shared" si="112"/>
        <v>0.79303000000000001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0.10936634526059853</v>
      </c>
      <c r="P78" s="4">
        <v>3</v>
      </c>
      <c r="Q78" s="5">
        <f t="shared" si="115"/>
        <v>1.16978</v>
      </c>
      <c r="R78" s="5">
        <f t="shared" si="115"/>
        <v>0.79303000000000001</v>
      </c>
      <c r="S78" s="5">
        <f t="shared" si="116"/>
        <v>1.2996255800000001</v>
      </c>
      <c r="T78" s="5">
        <f t="shared" si="117"/>
        <v>7.7977534799999998E-2</v>
      </c>
      <c r="U78" s="5">
        <f t="shared" si="118"/>
        <v>0.17803090136986302</v>
      </c>
      <c r="V78" s="5">
        <f t="shared" si="111"/>
        <v>0.10936634526059853</v>
      </c>
    </row>
    <row r="79" spans="2:22" x14ac:dyDescent="0.3">
      <c r="B79">
        <v>5</v>
      </c>
      <c r="C79">
        <v>0</v>
      </c>
      <c r="D79">
        <v>0</v>
      </c>
      <c r="E79">
        <v>0</v>
      </c>
      <c r="F79">
        <f t="shared" si="108"/>
        <v>0</v>
      </c>
      <c r="G79">
        <f t="shared" si="109"/>
        <v>0</v>
      </c>
      <c r="H79">
        <f t="shared" si="110"/>
        <v>0</v>
      </c>
      <c r="I79">
        <f t="shared" si="112"/>
        <v>0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7.9045985733827748E-2</v>
      </c>
      <c r="P79" s="4">
        <v>3</v>
      </c>
      <c r="Q79" s="5">
        <f t="shared" si="115"/>
        <v>0</v>
      </c>
      <c r="R79" s="5">
        <f t="shared" si="115"/>
        <v>0</v>
      </c>
      <c r="S79" s="5">
        <f t="shared" si="116"/>
        <v>0</v>
      </c>
      <c r="T79" s="5">
        <f t="shared" si="117"/>
        <v>0</v>
      </c>
      <c r="U79" s="5">
        <f t="shared" si="118"/>
        <v>0</v>
      </c>
      <c r="V79" s="5">
        <f t="shared" si="111"/>
        <v>7.9045985733827748E-2</v>
      </c>
    </row>
    <row r="80" spans="2:22" x14ac:dyDescent="0.3">
      <c r="B80">
        <v>6</v>
      </c>
      <c r="C80">
        <v>0</v>
      </c>
      <c r="D80">
        <v>0</v>
      </c>
      <c r="E80">
        <v>0</v>
      </c>
      <c r="F80">
        <f t="shared" si="108"/>
        <v>0</v>
      </c>
      <c r="G80">
        <f t="shared" si="109"/>
        <v>0</v>
      </c>
      <c r="H80">
        <f t="shared" si="110"/>
        <v>0</v>
      </c>
      <c r="I80">
        <f t="shared" si="112"/>
        <v>0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5.4715043478542454E-2</v>
      </c>
      <c r="P80" s="4">
        <v>4</v>
      </c>
      <c r="Q80" s="5">
        <f t="shared" si="115"/>
        <v>0</v>
      </c>
      <c r="R80" s="5">
        <f t="shared" si="115"/>
        <v>0</v>
      </c>
      <c r="S80" s="5">
        <f t="shared" si="116"/>
        <v>0</v>
      </c>
      <c r="T80" s="5">
        <f t="shared" si="117"/>
        <v>0</v>
      </c>
      <c r="U80" s="5">
        <f t="shared" si="118"/>
        <v>0</v>
      </c>
      <c r="V80" s="5">
        <f t="shared" si="111"/>
        <v>5.4715043478542454E-2</v>
      </c>
    </row>
    <row r="81" spans="2:22" x14ac:dyDescent="0.3">
      <c r="B81">
        <v>7</v>
      </c>
      <c r="C81">
        <v>0</v>
      </c>
      <c r="D81">
        <v>0</v>
      </c>
      <c r="E81">
        <v>0</v>
      </c>
      <c r="F81">
        <f t="shared" si="108"/>
        <v>0</v>
      </c>
      <c r="G81">
        <f t="shared" si="109"/>
        <v>0</v>
      </c>
      <c r="H81">
        <f t="shared" si="110"/>
        <v>0</v>
      </c>
      <c r="I81">
        <f t="shared" si="112"/>
        <v>0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3.9554387600121109E-2</v>
      </c>
      <c r="P81" s="4">
        <v>4</v>
      </c>
      <c r="Q81" s="5">
        <f t="shared" si="115"/>
        <v>0</v>
      </c>
      <c r="R81" s="5">
        <f t="shared" si="115"/>
        <v>0</v>
      </c>
      <c r="S81" s="5">
        <f t="shared" si="116"/>
        <v>0</v>
      </c>
      <c r="T81" s="5">
        <f t="shared" si="117"/>
        <v>0</v>
      </c>
      <c r="U81" s="5">
        <f t="shared" si="118"/>
        <v>0</v>
      </c>
      <c r="V81" s="5">
        <f t="shared" si="111"/>
        <v>3.9554387600121109E-2</v>
      </c>
    </row>
    <row r="82" spans="2:22" x14ac:dyDescent="0.3">
      <c r="B82">
        <v>8</v>
      </c>
      <c r="C82">
        <v>0</v>
      </c>
      <c r="D82">
        <v>0</v>
      </c>
      <c r="E82">
        <v>0</v>
      </c>
      <c r="F82">
        <f t="shared" si="108"/>
        <v>0</v>
      </c>
      <c r="G82">
        <f t="shared" si="109"/>
        <v>0</v>
      </c>
      <c r="H82">
        <f t="shared" si="110"/>
        <v>0</v>
      </c>
      <c r="I82">
        <f t="shared" si="112"/>
        <v>0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3.3170925705810934E-2</v>
      </c>
      <c r="P82" s="4">
        <v>5</v>
      </c>
      <c r="Q82" s="5">
        <f t="shared" si="115"/>
        <v>0</v>
      </c>
      <c r="R82" s="5">
        <f t="shared" si="115"/>
        <v>0</v>
      </c>
      <c r="S82" s="5">
        <f t="shared" si="116"/>
        <v>0</v>
      </c>
      <c r="T82" s="5">
        <f t="shared" si="117"/>
        <v>0</v>
      </c>
      <c r="U82" s="5">
        <f t="shared" si="118"/>
        <v>0</v>
      </c>
      <c r="V82" s="5">
        <f t="shared" si="111"/>
        <v>3.3170925705810934E-2</v>
      </c>
    </row>
    <row r="83" spans="2:22" x14ac:dyDescent="0.3">
      <c r="B83">
        <v>9</v>
      </c>
      <c r="C83">
        <v>0</v>
      </c>
      <c r="D83">
        <v>0</v>
      </c>
      <c r="E83">
        <v>0</v>
      </c>
      <c r="F83">
        <f t="shared" si="108"/>
        <v>0</v>
      </c>
      <c r="G83">
        <f t="shared" si="109"/>
        <v>0</v>
      </c>
      <c r="H83">
        <f t="shared" si="110"/>
        <v>0</v>
      </c>
      <c r="I83">
        <f t="shared" si="112"/>
        <v>0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2.6733407431651143E-2</v>
      </c>
      <c r="P83" s="4">
        <v>8</v>
      </c>
      <c r="Q83" s="5">
        <f t="shared" si="115"/>
        <v>0</v>
      </c>
      <c r="R83" s="5">
        <f t="shared" si="115"/>
        <v>0</v>
      </c>
      <c r="S83" s="5">
        <f t="shared" si="116"/>
        <v>0</v>
      </c>
      <c r="T83" s="5">
        <f t="shared" si="117"/>
        <v>0</v>
      </c>
      <c r="U83" s="5">
        <f t="shared" si="118"/>
        <v>0</v>
      </c>
      <c r="V83" s="5">
        <f t="shared" si="111"/>
        <v>2.6733407431651143E-2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08"/>
        <v>0</v>
      </c>
      <c r="G84">
        <f t="shared" si="109"/>
        <v>0</v>
      </c>
      <c r="H84">
        <f t="shared" si="110"/>
        <v>0</v>
      </c>
      <c r="I84">
        <f t="shared" si="112"/>
        <v>0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1.9144282561042968E-2</v>
      </c>
      <c r="P84" s="4">
        <v>14</v>
      </c>
      <c r="Q84" s="5">
        <f t="shared" si="115"/>
        <v>0</v>
      </c>
      <c r="R84" s="5">
        <f t="shared" si="115"/>
        <v>0</v>
      </c>
      <c r="S84" s="5">
        <f t="shared" si="116"/>
        <v>0</v>
      </c>
      <c r="T84" s="5">
        <f t="shared" si="117"/>
        <v>0</v>
      </c>
      <c r="U84" s="5">
        <f t="shared" si="118"/>
        <v>0</v>
      </c>
      <c r="V84" s="5">
        <f t="shared" si="111"/>
        <v>1.9144282561042968E-2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1.2345727033762625E-2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1.2345727033762625E-2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-921.1</v>
      </c>
      <c r="D89">
        <v>25978.2</v>
      </c>
      <c r="E89">
        <v>6574.3</v>
      </c>
      <c r="F89">
        <f t="shared" ref="F89:F99" si="120">D89/10000</f>
        <v>2.59782</v>
      </c>
      <c r="G89">
        <f t="shared" ref="G89:G99" si="121">C89/10000</f>
        <v>-9.2109999999999997E-2</v>
      </c>
      <c r="H89">
        <f t="shared" ref="H89:H99" si="122">F89-G89</f>
        <v>2.6899299999999999</v>
      </c>
      <c r="I89">
        <f>E89/10000</f>
        <v>0.65743000000000007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0.20646791931255901</v>
      </c>
      <c r="P89" s="2">
        <v>3</v>
      </c>
      <c r="Q89" s="8">
        <f>H89</f>
        <v>2.6899299999999999</v>
      </c>
      <c r="R89" s="8">
        <f>I89</f>
        <v>0.65743000000000007</v>
      </c>
      <c r="S89" s="8">
        <f>Q89/10^6*$Z$4*$Z$3/P89*10^12</f>
        <v>2.98851223</v>
      </c>
      <c r="T89" s="8">
        <f>S89*0.06</f>
        <v>0.17931073379999998</v>
      </c>
      <c r="U89" s="8">
        <f>S89/$Z$1</f>
        <v>0.40938523698630136</v>
      </c>
      <c r="V89" s="12">
        <f t="shared" ref="V89:V99" si="123">O89</f>
        <v>0.20646791931255901</v>
      </c>
    </row>
    <row r="90" spans="2:22" x14ac:dyDescent="0.3">
      <c r="B90">
        <v>2</v>
      </c>
      <c r="C90">
        <v>-1720.6</v>
      </c>
      <c r="D90">
        <v>30720.7</v>
      </c>
      <c r="E90">
        <v>3232.9</v>
      </c>
      <c r="F90">
        <f t="shared" si="120"/>
        <v>3.0720700000000001</v>
      </c>
      <c r="G90">
        <f t="shared" si="121"/>
        <v>-0.17205999999999999</v>
      </c>
      <c r="H90">
        <f t="shared" si="122"/>
        <v>3.2441300000000002</v>
      </c>
      <c r="I90">
        <f t="shared" ref="I90:I99" si="124">E90/10000</f>
        <v>0.32329000000000002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0.1831449560519319</v>
      </c>
      <c r="P90" s="4">
        <v>3</v>
      </c>
      <c r="Q90" s="5">
        <f t="shared" ref="Q90:R99" si="127">H90</f>
        <v>3.2441300000000002</v>
      </c>
      <c r="R90" s="5">
        <f t="shared" si="127"/>
        <v>0.32329000000000002</v>
      </c>
      <c r="S90" s="5">
        <f t="shared" ref="S90:S99" si="128">Q90/10^6*$Z$4*$Z$3/P90*10^12</f>
        <v>3.60422843</v>
      </c>
      <c r="T90" s="5">
        <f t="shared" ref="T90:T99" si="129">S90*0.06</f>
        <v>0.2162537058</v>
      </c>
      <c r="U90" s="5">
        <f t="shared" ref="U90:U99" si="130">S90/$Z$1</f>
        <v>0.49372992191780823</v>
      </c>
      <c r="V90" s="5">
        <f t="shared" si="123"/>
        <v>0.1831449560519319</v>
      </c>
    </row>
    <row r="91" spans="2:22" x14ac:dyDescent="0.3">
      <c r="B91">
        <v>3</v>
      </c>
      <c r="C91">
        <v>-8897.6</v>
      </c>
      <c r="D91">
        <v>26873.5</v>
      </c>
      <c r="E91">
        <v>3308.1</v>
      </c>
      <c r="F91">
        <f t="shared" si="120"/>
        <v>2.6873499999999999</v>
      </c>
      <c r="G91">
        <f t="shared" si="121"/>
        <v>-0.88976</v>
      </c>
      <c r="H91">
        <f t="shared" si="122"/>
        <v>3.5771099999999998</v>
      </c>
      <c r="I91">
        <f t="shared" si="124"/>
        <v>0.33080999999999999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0.15799800285569804</v>
      </c>
      <c r="P91" s="4">
        <v>3</v>
      </c>
      <c r="Q91" s="5">
        <f t="shared" si="127"/>
        <v>3.5771099999999998</v>
      </c>
      <c r="R91" s="5">
        <f t="shared" si="127"/>
        <v>0.33080999999999999</v>
      </c>
      <c r="S91" s="5">
        <f t="shared" si="128"/>
        <v>3.9741692100000003</v>
      </c>
      <c r="T91" s="5">
        <f t="shared" si="129"/>
        <v>0.23845015260000002</v>
      </c>
      <c r="U91" s="5">
        <f t="shared" si="130"/>
        <v>0.54440674109589049</v>
      </c>
      <c r="V91" s="5">
        <f t="shared" si="123"/>
        <v>0.15799800285569804</v>
      </c>
    </row>
    <row r="92" spans="2:22" x14ac:dyDescent="0.3">
      <c r="B92">
        <v>4</v>
      </c>
      <c r="C92">
        <v>-2131.4</v>
      </c>
      <c r="D92">
        <v>13036.8</v>
      </c>
      <c r="E92">
        <v>1586.4</v>
      </c>
      <c r="F92">
        <f t="shared" si="120"/>
        <v>1.3036799999999999</v>
      </c>
      <c r="G92">
        <f t="shared" si="121"/>
        <v>-0.21314</v>
      </c>
      <c r="H92">
        <f t="shared" si="122"/>
        <v>1.5168200000000001</v>
      </c>
      <c r="I92">
        <f t="shared" si="124"/>
        <v>0.15864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9.5695552103023718E-2</v>
      </c>
      <c r="P92" s="4">
        <v>3</v>
      </c>
      <c r="Q92" s="5">
        <f t="shared" si="127"/>
        <v>1.5168200000000001</v>
      </c>
      <c r="R92" s="5">
        <f t="shared" si="127"/>
        <v>0.15864</v>
      </c>
      <c r="S92" s="5">
        <f t="shared" si="128"/>
        <v>1.6851870200000001</v>
      </c>
      <c r="T92" s="5">
        <f t="shared" si="129"/>
        <v>0.1011112212</v>
      </c>
      <c r="U92" s="5">
        <f t="shared" si="130"/>
        <v>0.23084753698630139</v>
      </c>
      <c r="V92" s="5">
        <f t="shared" si="123"/>
        <v>9.5695552103023718E-2</v>
      </c>
    </row>
    <row r="93" spans="2:22" x14ac:dyDescent="0.3">
      <c r="B93">
        <v>5</v>
      </c>
      <c r="C93">
        <v>0</v>
      </c>
      <c r="D93">
        <v>0</v>
      </c>
      <c r="E93">
        <v>0</v>
      </c>
      <c r="F93">
        <f t="shared" si="120"/>
        <v>0</v>
      </c>
      <c r="G93">
        <f t="shared" si="121"/>
        <v>0</v>
      </c>
      <c r="H93">
        <f t="shared" si="122"/>
        <v>0</v>
      </c>
      <c r="I93">
        <f t="shared" si="124"/>
        <v>0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6.9165237517099284E-2</v>
      </c>
      <c r="P93" s="4">
        <v>3</v>
      </c>
      <c r="Q93" s="5">
        <f t="shared" si="127"/>
        <v>0</v>
      </c>
      <c r="R93" s="5">
        <f t="shared" si="127"/>
        <v>0</v>
      </c>
      <c r="S93" s="5">
        <f t="shared" si="128"/>
        <v>0</v>
      </c>
      <c r="T93" s="5">
        <f t="shared" si="129"/>
        <v>0</v>
      </c>
      <c r="U93" s="5">
        <f t="shared" si="130"/>
        <v>0</v>
      </c>
      <c r="V93" s="5">
        <f t="shared" si="123"/>
        <v>6.9165237517099284E-2</v>
      </c>
    </row>
    <row r="94" spans="2:22" x14ac:dyDescent="0.3">
      <c r="B94">
        <v>6</v>
      </c>
      <c r="C94">
        <v>0</v>
      </c>
      <c r="D94">
        <v>0</v>
      </c>
      <c r="E94">
        <v>0</v>
      </c>
      <c r="F94">
        <f t="shared" si="120"/>
        <v>0</v>
      </c>
      <c r="G94">
        <f t="shared" si="121"/>
        <v>0</v>
      </c>
      <c r="H94">
        <f t="shared" si="122"/>
        <v>0</v>
      </c>
      <c r="I94">
        <f t="shared" si="124"/>
        <v>0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4.7875663043724648E-2</v>
      </c>
      <c r="P94" s="4">
        <v>4</v>
      </c>
      <c r="Q94" s="5">
        <f t="shared" si="127"/>
        <v>0</v>
      </c>
      <c r="R94" s="5">
        <f t="shared" si="127"/>
        <v>0</v>
      </c>
      <c r="S94" s="5">
        <f t="shared" si="128"/>
        <v>0</v>
      </c>
      <c r="T94" s="5">
        <f t="shared" si="129"/>
        <v>0</v>
      </c>
      <c r="U94" s="5">
        <f t="shared" si="130"/>
        <v>0</v>
      </c>
      <c r="V94" s="5">
        <f t="shared" si="123"/>
        <v>4.7875663043724648E-2</v>
      </c>
    </row>
    <row r="95" spans="2:22" x14ac:dyDescent="0.3">
      <c r="B95">
        <v>7</v>
      </c>
      <c r="C95">
        <v>0</v>
      </c>
      <c r="D95">
        <v>0</v>
      </c>
      <c r="E95">
        <v>0</v>
      </c>
      <c r="F95">
        <f t="shared" si="120"/>
        <v>0</v>
      </c>
      <c r="G95">
        <f t="shared" si="121"/>
        <v>0</v>
      </c>
      <c r="H95">
        <f t="shared" si="122"/>
        <v>0</v>
      </c>
      <c r="I95">
        <f t="shared" si="124"/>
        <v>0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3.4610089150105973E-2</v>
      </c>
      <c r="P95" s="4">
        <v>4</v>
      </c>
      <c r="Q95" s="5">
        <f t="shared" si="127"/>
        <v>0</v>
      </c>
      <c r="R95" s="5">
        <f t="shared" si="127"/>
        <v>0</v>
      </c>
      <c r="S95" s="5">
        <f t="shared" si="128"/>
        <v>0</v>
      </c>
      <c r="T95" s="5">
        <f t="shared" si="129"/>
        <v>0</v>
      </c>
      <c r="U95" s="5">
        <f t="shared" si="130"/>
        <v>0</v>
      </c>
      <c r="V95" s="5">
        <f t="shared" si="123"/>
        <v>3.4610089150105973E-2</v>
      </c>
    </row>
    <row r="96" spans="2:22" x14ac:dyDescent="0.3">
      <c r="B96">
        <v>8</v>
      </c>
      <c r="C96">
        <v>0</v>
      </c>
      <c r="D96">
        <v>0</v>
      </c>
      <c r="E96">
        <v>0</v>
      </c>
      <c r="F96">
        <f t="shared" si="120"/>
        <v>0</v>
      </c>
      <c r="G96">
        <f t="shared" si="121"/>
        <v>0</v>
      </c>
      <c r="H96">
        <f t="shared" si="122"/>
        <v>0</v>
      </c>
      <c r="I96">
        <f t="shared" si="124"/>
        <v>0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2.9024559992584572E-2</v>
      </c>
      <c r="P96" s="4">
        <v>5</v>
      </c>
      <c r="Q96" s="5">
        <f t="shared" si="127"/>
        <v>0</v>
      </c>
      <c r="R96" s="5">
        <f t="shared" si="127"/>
        <v>0</v>
      </c>
      <c r="S96" s="5">
        <f t="shared" si="128"/>
        <v>0</v>
      </c>
      <c r="T96" s="5">
        <f t="shared" si="129"/>
        <v>0</v>
      </c>
      <c r="U96" s="5">
        <f t="shared" si="130"/>
        <v>0</v>
      </c>
      <c r="V96" s="5">
        <f t="shared" si="123"/>
        <v>2.9024559992584572E-2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20"/>
        <v>0</v>
      </c>
      <c r="G97">
        <f t="shared" si="121"/>
        <v>0</v>
      </c>
      <c r="H97">
        <f t="shared" si="122"/>
        <v>0</v>
      </c>
      <c r="I97">
        <f t="shared" si="124"/>
        <v>0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2.3391731502694749E-2</v>
      </c>
      <c r="P97" s="4">
        <v>8</v>
      </c>
      <c r="Q97" s="5">
        <f t="shared" si="127"/>
        <v>0</v>
      </c>
      <c r="R97" s="5">
        <f t="shared" si="127"/>
        <v>0</v>
      </c>
      <c r="S97" s="5">
        <f t="shared" si="128"/>
        <v>0</v>
      </c>
      <c r="T97" s="5">
        <f t="shared" si="129"/>
        <v>0</v>
      </c>
      <c r="U97" s="5">
        <f t="shared" si="130"/>
        <v>0</v>
      </c>
      <c r="V97" s="5">
        <f t="shared" si="123"/>
        <v>2.3391731502694749E-2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1.6751247240912596E-2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1.6751247240912596E-2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1.0802511154542296E-2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1.0802511154542296E-2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2625</v>
      </c>
      <c r="D103">
        <v>34173.800000000003</v>
      </c>
      <c r="E103">
        <v>4408.7</v>
      </c>
      <c r="F103">
        <f t="shared" ref="F103:F113" si="132">D103/10000</f>
        <v>3.4173800000000001</v>
      </c>
      <c r="G103">
        <f t="shared" ref="G103:G113" si="133">C103/10000</f>
        <v>0.26250000000000001</v>
      </c>
      <c r="H103">
        <f t="shared" ref="H103:H113" si="134">F103-G103</f>
        <v>3.1548799999999999</v>
      </c>
      <c r="I103">
        <f>E103/10000</f>
        <v>0.44086999999999998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0.18352703938894133</v>
      </c>
      <c r="P103" s="2">
        <v>3</v>
      </c>
      <c r="Q103" s="8">
        <f>H103</f>
        <v>3.1548799999999999</v>
      </c>
      <c r="R103" s="8">
        <f>I103</f>
        <v>0.44086999999999998</v>
      </c>
      <c r="S103" s="8">
        <f>Q103/10^6*$Z$4*$Z$3/P103*10^12</f>
        <v>3.5050716799999999</v>
      </c>
      <c r="T103" s="8">
        <f>S103*0.06</f>
        <v>0.21030430079999998</v>
      </c>
      <c r="U103" s="8">
        <f>S103/$Z$1</f>
        <v>0.48014680547945204</v>
      </c>
      <c r="V103" s="12">
        <f t="shared" ref="V103:V113" si="135">O103</f>
        <v>0.18352703938894133</v>
      </c>
    </row>
    <row r="104" spans="2:22" x14ac:dyDescent="0.3">
      <c r="B104">
        <v>2</v>
      </c>
      <c r="C104">
        <v>7894.2</v>
      </c>
      <c r="D104">
        <v>38157.9</v>
      </c>
      <c r="E104">
        <v>3331.8</v>
      </c>
      <c r="F104">
        <f t="shared" si="132"/>
        <v>3.8157900000000002</v>
      </c>
      <c r="G104">
        <f t="shared" si="133"/>
        <v>0.78942000000000001</v>
      </c>
      <c r="H104">
        <f t="shared" si="134"/>
        <v>3.02637</v>
      </c>
      <c r="I104">
        <f t="shared" ref="I104:I113" si="136">E104/10000</f>
        <v>0.33318000000000003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0.16279551649060611</v>
      </c>
      <c r="P104" s="4">
        <v>3</v>
      </c>
      <c r="Q104" s="5">
        <f t="shared" ref="Q104:R113" si="139">H104</f>
        <v>3.02637</v>
      </c>
      <c r="R104" s="5">
        <f t="shared" si="139"/>
        <v>0.33318000000000003</v>
      </c>
      <c r="S104" s="5">
        <f t="shared" ref="S104:S113" si="140">Q104/10^6*$Z$4*$Z$3/P104*10^12</f>
        <v>3.3622970700000003</v>
      </c>
      <c r="T104" s="5">
        <f t="shared" ref="T104:T113" si="141">S104*0.06</f>
        <v>0.2017378242</v>
      </c>
      <c r="U104" s="5">
        <f t="shared" ref="U104:U113" si="142">S104/$Z$1</f>
        <v>0.46058863972602743</v>
      </c>
      <c r="V104" s="5">
        <f t="shared" si="135"/>
        <v>0.16279551649060611</v>
      </c>
    </row>
    <row r="105" spans="2:22" x14ac:dyDescent="0.3">
      <c r="B105">
        <v>3</v>
      </c>
      <c r="C105">
        <v>-760.6</v>
      </c>
      <c r="D105">
        <v>28917.5</v>
      </c>
      <c r="E105">
        <v>4170.1000000000004</v>
      </c>
      <c r="F105">
        <f t="shared" si="132"/>
        <v>2.89175</v>
      </c>
      <c r="G105">
        <f t="shared" si="133"/>
        <v>-7.6060000000000003E-2</v>
      </c>
      <c r="H105">
        <f t="shared" si="134"/>
        <v>2.9678100000000001</v>
      </c>
      <c r="I105">
        <f t="shared" si="136"/>
        <v>0.41701000000000005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0.14044266920506493</v>
      </c>
      <c r="P105" s="4">
        <v>3</v>
      </c>
      <c r="Q105" s="5">
        <f t="shared" si="139"/>
        <v>2.9678100000000001</v>
      </c>
      <c r="R105" s="5">
        <f t="shared" si="139"/>
        <v>0.41701000000000005</v>
      </c>
      <c r="S105" s="5">
        <f t="shared" si="140"/>
        <v>3.2972369100000001</v>
      </c>
      <c r="T105" s="5">
        <f t="shared" si="141"/>
        <v>0.1978342146</v>
      </c>
      <c r="U105" s="5">
        <f t="shared" si="142"/>
        <v>0.45167628904109591</v>
      </c>
      <c r="V105" s="5">
        <f t="shared" si="135"/>
        <v>0.14044266920506493</v>
      </c>
    </row>
    <row r="106" spans="2:22" x14ac:dyDescent="0.3">
      <c r="B106">
        <v>4</v>
      </c>
      <c r="C106">
        <v>2892.4</v>
      </c>
      <c r="D106">
        <v>14294</v>
      </c>
      <c r="E106">
        <v>4214</v>
      </c>
      <c r="F106">
        <f t="shared" si="132"/>
        <v>1.4294</v>
      </c>
      <c r="G106">
        <f t="shared" si="133"/>
        <v>0.28924</v>
      </c>
      <c r="H106">
        <f t="shared" si="134"/>
        <v>1.1401600000000001</v>
      </c>
      <c r="I106">
        <f t="shared" si="136"/>
        <v>0.4214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8.5062712980465527E-2</v>
      </c>
      <c r="P106" s="4">
        <v>3</v>
      </c>
      <c r="Q106" s="5">
        <f t="shared" si="139"/>
        <v>1.1401600000000001</v>
      </c>
      <c r="R106" s="5">
        <f t="shared" si="139"/>
        <v>0.4214</v>
      </c>
      <c r="S106" s="5">
        <f t="shared" si="140"/>
        <v>1.2667177600000001</v>
      </c>
      <c r="T106" s="5">
        <f t="shared" si="141"/>
        <v>7.6003065600000003E-2</v>
      </c>
      <c r="U106" s="5">
        <f t="shared" si="142"/>
        <v>0.17352298082191783</v>
      </c>
      <c r="V106" s="5">
        <f t="shared" si="135"/>
        <v>8.5062712980465527E-2</v>
      </c>
    </row>
    <row r="107" spans="2:22" x14ac:dyDescent="0.3">
      <c r="B107">
        <v>5</v>
      </c>
      <c r="C107">
        <v>0</v>
      </c>
      <c r="D107">
        <v>0</v>
      </c>
      <c r="E107">
        <v>0</v>
      </c>
      <c r="F107">
        <f t="shared" si="132"/>
        <v>0</v>
      </c>
      <c r="G107">
        <f t="shared" si="133"/>
        <v>0</v>
      </c>
      <c r="H107">
        <f t="shared" si="134"/>
        <v>0</v>
      </c>
      <c r="I107">
        <f t="shared" si="136"/>
        <v>0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6.1480211126310469E-2</v>
      </c>
      <c r="P107" s="4">
        <v>3</v>
      </c>
      <c r="Q107" s="5">
        <f t="shared" si="139"/>
        <v>0</v>
      </c>
      <c r="R107" s="5">
        <f t="shared" si="139"/>
        <v>0</v>
      </c>
      <c r="S107" s="5">
        <f t="shared" si="140"/>
        <v>0</v>
      </c>
      <c r="T107" s="5">
        <f t="shared" si="141"/>
        <v>0</v>
      </c>
      <c r="U107" s="5">
        <f t="shared" si="142"/>
        <v>0</v>
      </c>
      <c r="V107" s="5">
        <f t="shared" si="135"/>
        <v>6.1480211126310469E-2</v>
      </c>
    </row>
    <row r="108" spans="2:22" x14ac:dyDescent="0.3">
      <c r="B108">
        <v>6</v>
      </c>
      <c r="C108">
        <v>0</v>
      </c>
      <c r="D108">
        <v>0</v>
      </c>
      <c r="E108">
        <v>0</v>
      </c>
      <c r="F108">
        <f t="shared" si="132"/>
        <v>0</v>
      </c>
      <c r="G108">
        <f t="shared" si="133"/>
        <v>0</v>
      </c>
      <c r="H108">
        <f t="shared" si="134"/>
        <v>0</v>
      </c>
      <c r="I108">
        <f t="shared" si="136"/>
        <v>0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4.2556144927755245E-2</v>
      </c>
      <c r="P108" s="4">
        <v>4</v>
      </c>
      <c r="Q108" s="5">
        <f t="shared" si="139"/>
        <v>0</v>
      </c>
      <c r="R108" s="5">
        <f t="shared" si="139"/>
        <v>0</v>
      </c>
      <c r="S108" s="5">
        <f t="shared" si="140"/>
        <v>0</v>
      </c>
      <c r="T108" s="5">
        <f t="shared" si="141"/>
        <v>0</v>
      </c>
      <c r="U108" s="5">
        <f t="shared" si="142"/>
        <v>0</v>
      </c>
      <c r="V108" s="5">
        <f t="shared" si="135"/>
        <v>4.2556144927755245E-2</v>
      </c>
    </row>
    <row r="109" spans="2:22" x14ac:dyDescent="0.3">
      <c r="B109">
        <v>7</v>
      </c>
      <c r="C109">
        <v>0</v>
      </c>
      <c r="D109">
        <v>0</v>
      </c>
      <c r="E109">
        <v>0</v>
      </c>
      <c r="F109">
        <f t="shared" si="132"/>
        <v>0</v>
      </c>
      <c r="G109">
        <f t="shared" si="133"/>
        <v>0</v>
      </c>
      <c r="H109">
        <f t="shared" si="134"/>
        <v>0</v>
      </c>
      <c r="I109">
        <f t="shared" si="136"/>
        <v>0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3.0764523688983084E-2</v>
      </c>
      <c r="P109" s="4">
        <v>4</v>
      </c>
      <c r="Q109" s="5">
        <f t="shared" si="139"/>
        <v>0</v>
      </c>
      <c r="R109" s="5">
        <f t="shared" si="139"/>
        <v>0</v>
      </c>
      <c r="S109" s="5">
        <f t="shared" si="140"/>
        <v>0</v>
      </c>
      <c r="T109" s="5">
        <f t="shared" si="141"/>
        <v>0</v>
      </c>
      <c r="U109" s="5">
        <f t="shared" si="142"/>
        <v>0</v>
      </c>
      <c r="V109" s="5">
        <f t="shared" si="135"/>
        <v>3.0764523688983084E-2</v>
      </c>
    </row>
    <row r="110" spans="2:22" x14ac:dyDescent="0.3">
      <c r="B110">
        <v>8</v>
      </c>
      <c r="C110">
        <v>0</v>
      </c>
      <c r="D110">
        <v>0</v>
      </c>
      <c r="E110">
        <v>0</v>
      </c>
      <c r="F110">
        <f t="shared" si="132"/>
        <v>0</v>
      </c>
      <c r="G110">
        <f t="shared" si="133"/>
        <v>0</v>
      </c>
      <c r="H110">
        <f t="shared" si="134"/>
        <v>0</v>
      </c>
      <c r="I110">
        <f t="shared" si="136"/>
        <v>0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2.5799608882297393E-2</v>
      </c>
      <c r="P110" s="4">
        <v>5</v>
      </c>
      <c r="Q110" s="5">
        <f t="shared" si="139"/>
        <v>0</v>
      </c>
      <c r="R110" s="5">
        <f t="shared" si="139"/>
        <v>0</v>
      </c>
      <c r="S110" s="5">
        <f t="shared" si="140"/>
        <v>0</v>
      </c>
      <c r="T110" s="5">
        <f t="shared" si="141"/>
        <v>0</v>
      </c>
      <c r="U110" s="5">
        <f t="shared" si="142"/>
        <v>0</v>
      </c>
      <c r="V110" s="5">
        <f t="shared" si="135"/>
        <v>2.5799608882297393E-2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32"/>
        <v>0</v>
      </c>
      <c r="G111">
        <f t="shared" si="133"/>
        <v>0</v>
      </c>
      <c r="H111">
        <f t="shared" si="134"/>
        <v>0</v>
      </c>
      <c r="I111">
        <f t="shared" si="136"/>
        <v>0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2.0792650224617557E-2</v>
      </c>
      <c r="P111" s="4">
        <v>8</v>
      </c>
      <c r="Q111" s="5">
        <f t="shared" si="139"/>
        <v>0</v>
      </c>
      <c r="R111" s="5">
        <f t="shared" si="139"/>
        <v>0</v>
      </c>
      <c r="S111" s="5">
        <f t="shared" si="140"/>
        <v>0</v>
      </c>
      <c r="T111" s="5">
        <f t="shared" si="141"/>
        <v>0</v>
      </c>
      <c r="U111" s="5">
        <f t="shared" si="142"/>
        <v>0</v>
      </c>
      <c r="V111" s="5">
        <f t="shared" si="135"/>
        <v>2.0792650224617557E-2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1.4889997547477864E-2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1.4889997547477864E-2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9.6022321373709311E-3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9.6022321373709311E-3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2576.8000000000002</v>
      </c>
      <c r="D117">
        <v>32284.7</v>
      </c>
      <c r="E117">
        <v>4610.2</v>
      </c>
      <c r="F117">
        <f t="shared" ref="F117:F127" si="144">D117/10000</f>
        <v>3.2284700000000002</v>
      </c>
      <c r="G117">
        <f t="shared" ref="G117:G127" si="145">C117/10000</f>
        <v>0.25768000000000002</v>
      </c>
      <c r="H117">
        <f t="shared" ref="H117:H127" si="146">F117-G117</f>
        <v>2.97079</v>
      </c>
      <c r="I117">
        <f>E117/10000</f>
        <v>0.46101999999999999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0.1651743354500472</v>
      </c>
      <c r="P117" s="2">
        <v>3</v>
      </c>
      <c r="Q117" s="8">
        <f>H117</f>
        <v>2.97079</v>
      </c>
      <c r="R117" s="8">
        <f>I117</f>
        <v>0.46101999999999999</v>
      </c>
      <c r="S117" s="8">
        <f>Q117/10^6*$Z$4*$Z$3/P117*10^12</f>
        <v>3.3005476900000001</v>
      </c>
      <c r="T117" s="8">
        <f>S117*0.06</f>
        <v>0.19803286140000001</v>
      </c>
      <c r="U117" s="8">
        <f>S117/$Z$1</f>
        <v>0.45212982054794526</v>
      </c>
      <c r="V117" s="12">
        <f t="shared" ref="V117:V127" si="147">O117</f>
        <v>0.1651743354500472</v>
      </c>
    </row>
    <row r="118" spans="2:22" x14ac:dyDescent="0.3">
      <c r="B118">
        <v>2</v>
      </c>
      <c r="C118">
        <v>6594.1</v>
      </c>
      <c r="D118">
        <v>38213.199999999997</v>
      </c>
      <c r="E118">
        <v>2886.3</v>
      </c>
      <c r="F118">
        <f t="shared" si="144"/>
        <v>3.8213199999999996</v>
      </c>
      <c r="G118">
        <f t="shared" si="145"/>
        <v>0.65941000000000005</v>
      </c>
      <c r="H118">
        <f t="shared" si="146"/>
        <v>3.1619099999999998</v>
      </c>
      <c r="I118">
        <f t="shared" ref="I118:I127" si="148">E118/10000</f>
        <v>0.28863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0.14651596484154553</v>
      </c>
      <c r="P118" s="4">
        <v>3</v>
      </c>
      <c r="Q118" s="5">
        <f t="shared" ref="Q118:R127" si="151">H118</f>
        <v>3.1619099999999998</v>
      </c>
      <c r="R118" s="5">
        <f t="shared" si="151"/>
        <v>0.28863</v>
      </c>
      <c r="S118" s="5">
        <f t="shared" ref="S118:S127" si="152">Q118/10^6*$Z$4*$Z$3/P118*10^12</f>
        <v>3.5128820099999998</v>
      </c>
      <c r="T118" s="5">
        <f t="shared" ref="T118:T127" si="153">S118*0.06</f>
        <v>0.21077292059999997</v>
      </c>
      <c r="U118" s="5">
        <f t="shared" ref="U118:U127" si="154">S118/$Z$1</f>
        <v>0.48121671369863012</v>
      </c>
      <c r="V118" s="5">
        <f t="shared" si="147"/>
        <v>0.14651596484154553</v>
      </c>
    </row>
    <row r="119" spans="2:22" x14ac:dyDescent="0.3">
      <c r="B119">
        <v>3</v>
      </c>
      <c r="C119">
        <v>5215.8999999999996</v>
      </c>
      <c r="D119">
        <v>31393.599999999999</v>
      </c>
      <c r="E119">
        <v>3049.9</v>
      </c>
      <c r="F119">
        <f t="shared" si="144"/>
        <v>3.1393599999999999</v>
      </c>
      <c r="G119">
        <f t="shared" si="145"/>
        <v>0.52159</v>
      </c>
      <c r="H119">
        <f t="shared" si="146"/>
        <v>2.6177700000000002</v>
      </c>
      <c r="I119">
        <f t="shared" si="148"/>
        <v>0.30498999999999998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0.12639840228455843</v>
      </c>
      <c r="P119" s="4">
        <v>3</v>
      </c>
      <c r="Q119" s="5">
        <f t="shared" si="151"/>
        <v>2.6177700000000002</v>
      </c>
      <c r="R119" s="5">
        <f t="shared" si="151"/>
        <v>0.30498999999999998</v>
      </c>
      <c r="S119" s="5">
        <f t="shared" si="152"/>
        <v>2.90834247</v>
      </c>
      <c r="T119" s="5">
        <f t="shared" si="153"/>
        <v>0.17450054819999999</v>
      </c>
      <c r="U119" s="5">
        <f t="shared" si="154"/>
        <v>0.39840307808219177</v>
      </c>
      <c r="V119" s="5">
        <f t="shared" si="147"/>
        <v>0.12639840228455843</v>
      </c>
    </row>
    <row r="120" spans="2:22" x14ac:dyDescent="0.3">
      <c r="B120">
        <v>4</v>
      </c>
      <c r="C120">
        <v>6119.2</v>
      </c>
      <c r="D120">
        <v>12057.3</v>
      </c>
      <c r="E120">
        <v>2296.6</v>
      </c>
      <c r="F120">
        <f t="shared" si="144"/>
        <v>1.20573</v>
      </c>
      <c r="G120">
        <f t="shared" si="145"/>
        <v>0.61192000000000002</v>
      </c>
      <c r="H120">
        <f t="shared" si="146"/>
        <v>0.59380999999999995</v>
      </c>
      <c r="I120">
        <f t="shared" si="148"/>
        <v>0.22966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7.6556441682418971E-2</v>
      </c>
      <c r="P120" s="4">
        <v>3</v>
      </c>
      <c r="Q120" s="5">
        <f t="shared" si="151"/>
        <v>0.59380999999999995</v>
      </c>
      <c r="R120" s="5">
        <f t="shared" si="151"/>
        <v>0.22966</v>
      </c>
      <c r="S120" s="5">
        <f t="shared" si="152"/>
        <v>0.65972290999999994</v>
      </c>
      <c r="T120" s="5">
        <f t="shared" si="153"/>
        <v>3.9583374599999992E-2</v>
      </c>
      <c r="U120" s="5">
        <f t="shared" si="154"/>
        <v>9.037300136986301E-2</v>
      </c>
      <c r="V120" s="5">
        <f t="shared" si="147"/>
        <v>7.6556441682418971E-2</v>
      </c>
    </row>
    <row r="121" spans="2:22" x14ac:dyDescent="0.3">
      <c r="B121">
        <v>5</v>
      </c>
      <c r="C121">
        <v>0</v>
      </c>
      <c r="D121">
        <v>0</v>
      </c>
      <c r="E121">
        <v>0</v>
      </c>
      <c r="F121">
        <f t="shared" si="144"/>
        <v>0</v>
      </c>
      <c r="G121">
        <f t="shared" si="145"/>
        <v>0</v>
      </c>
      <c r="H121">
        <f t="shared" si="146"/>
        <v>0</v>
      </c>
      <c r="I121">
        <f t="shared" si="148"/>
        <v>0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5.5332190013679422E-2</v>
      </c>
      <c r="P121" s="4">
        <v>3</v>
      </c>
      <c r="Q121" s="5">
        <f t="shared" si="151"/>
        <v>0</v>
      </c>
      <c r="R121" s="5">
        <f t="shared" si="151"/>
        <v>0</v>
      </c>
      <c r="S121" s="5">
        <f t="shared" si="152"/>
        <v>0</v>
      </c>
      <c r="T121" s="5">
        <f t="shared" si="153"/>
        <v>0</v>
      </c>
      <c r="U121" s="5">
        <f t="shared" si="154"/>
        <v>0</v>
      </c>
      <c r="V121" s="5">
        <f t="shared" si="147"/>
        <v>5.5332190013679422E-2</v>
      </c>
    </row>
    <row r="122" spans="2:22" x14ac:dyDescent="0.3">
      <c r="B122">
        <v>6</v>
      </c>
      <c r="C122">
        <v>0</v>
      </c>
      <c r="D122">
        <v>0</v>
      </c>
      <c r="E122">
        <v>0</v>
      </c>
      <c r="F122">
        <f t="shared" si="144"/>
        <v>0</v>
      </c>
      <c r="G122">
        <f t="shared" si="145"/>
        <v>0</v>
      </c>
      <c r="H122">
        <f t="shared" si="146"/>
        <v>0</v>
      </c>
      <c r="I122">
        <f t="shared" si="148"/>
        <v>0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3.8300530434979718E-2</v>
      </c>
      <c r="P122" s="4">
        <v>4</v>
      </c>
      <c r="Q122" s="5">
        <f t="shared" si="151"/>
        <v>0</v>
      </c>
      <c r="R122" s="5">
        <f t="shared" si="151"/>
        <v>0</v>
      </c>
      <c r="S122" s="5">
        <f t="shared" si="152"/>
        <v>0</v>
      </c>
      <c r="T122" s="5">
        <f t="shared" si="153"/>
        <v>0</v>
      </c>
      <c r="U122" s="5">
        <f t="shared" si="154"/>
        <v>0</v>
      </c>
      <c r="V122" s="5">
        <f t="shared" si="147"/>
        <v>3.8300530434979718E-2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44"/>
        <v>0</v>
      </c>
      <c r="G123">
        <f t="shared" si="145"/>
        <v>0</v>
      </c>
      <c r="H123">
        <f t="shared" si="146"/>
        <v>0</v>
      </c>
      <c r="I123">
        <f t="shared" si="148"/>
        <v>0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2.7688071320084776E-2</v>
      </c>
      <c r="P123" s="4">
        <v>4</v>
      </c>
      <c r="Q123" s="5">
        <f t="shared" si="151"/>
        <v>0</v>
      </c>
      <c r="R123" s="5">
        <f t="shared" si="151"/>
        <v>0</v>
      </c>
      <c r="S123" s="5">
        <f t="shared" si="152"/>
        <v>0</v>
      </c>
      <c r="T123" s="5">
        <f t="shared" si="153"/>
        <v>0</v>
      </c>
      <c r="U123" s="5">
        <f t="shared" si="154"/>
        <v>0</v>
      </c>
      <c r="V123" s="5">
        <f t="shared" si="147"/>
        <v>2.7688071320084776E-2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44"/>
        <v>0</v>
      </c>
      <c r="G124">
        <f t="shared" si="145"/>
        <v>0</v>
      </c>
      <c r="H124">
        <f t="shared" si="146"/>
        <v>0</v>
      </c>
      <c r="I124">
        <f t="shared" si="148"/>
        <v>0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2.3219647994067658E-2</v>
      </c>
      <c r="P124" s="4">
        <v>5</v>
      </c>
      <c r="Q124" s="5">
        <f t="shared" si="151"/>
        <v>0</v>
      </c>
      <c r="R124" s="5">
        <f t="shared" si="151"/>
        <v>0</v>
      </c>
      <c r="S124" s="5">
        <f t="shared" si="152"/>
        <v>0</v>
      </c>
      <c r="T124" s="5">
        <f t="shared" si="153"/>
        <v>0</v>
      </c>
      <c r="U124" s="5">
        <f t="shared" si="154"/>
        <v>0</v>
      </c>
      <c r="V124" s="5">
        <f t="shared" si="147"/>
        <v>2.3219647994067658E-2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44"/>
        <v>0</v>
      </c>
      <c r="G125">
        <f t="shared" si="145"/>
        <v>0</v>
      </c>
      <c r="H125">
        <f t="shared" si="146"/>
        <v>0</v>
      </c>
      <c r="I125">
        <f t="shared" si="148"/>
        <v>0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1.8713385202155802E-2</v>
      </c>
      <c r="P125" s="4">
        <v>8</v>
      </c>
      <c r="Q125" s="5">
        <f t="shared" si="151"/>
        <v>0</v>
      </c>
      <c r="R125" s="5">
        <f t="shared" si="151"/>
        <v>0</v>
      </c>
      <c r="S125" s="5">
        <f t="shared" si="152"/>
        <v>0</v>
      </c>
      <c r="T125" s="5">
        <f t="shared" si="153"/>
        <v>0</v>
      </c>
      <c r="U125" s="5">
        <f t="shared" si="154"/>
        <v>0</v>
      </c>
      <c r="V125" s="5">
        <f t="shared" si="147"/>
        <v>1.8713385202155802E-2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1.3400997792730079E-2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1.3400997792730079E-2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8.6420089236338374E-3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8.6420089236338374E-3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1197.4000000000001</v>
      </c>
      <c r="D131">
        <v>29380.400000000001</v>
      </c>
      <c r="E131">
        <v>5463.5</v>
      </c>
      <c r="F131">
        <f t="shared" ref="F131:F141" si="156">D131/10000</f>
        <v>2.93804</v>
      </c>
      <c r="G131">
        <f t="shared" ref="G131:G141" si="157">C131/10000</f>
        <v>0.11974000000000001</v>
      </c>
      <c r="H131">
        <f t="shared" ref="H131:H141" si="158">F131-G131</f>
        <v>2.8182999999999998</v>
      </c>
      <c r="I131">
        <f>E131/10000</f>
        <v>0.54635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0.1101162236333648</v>
      </c>
      <c r="P131" s="2">
        <v>3</v>
      </c>
      <c r="Q131" s="8">
        <f>H131</f>
        <v>2.8182999999999998</v>
      </c>
      <c r="R131" s="8">
        <f>I131</f>
        <v>0.54635</v>
      </c>
      <c r="S131" s="8">
        <f>Q131/10^6*$Z$4*$Z$3/P131*10^12</f>
        <v>3.1311312999999998</v>
      </c>
      <c r="T131" s="8">
        <f>S131*0.06</f>
        <v>0.18786787799999999</v>
      </c>
      <c r="U131" s="8">
        <f>S131/$Z$1</f>
        <v>0.42892209589041097</v>
      </c>
      <c r="V131" s="12">
        <f t="shared" ref="V131:V141" si="159">O131</f>
        <v>0.1101162236333648</v>
      </c>
    </row>
    <row r="132" spans="2:22" x14ac:dyDescent="0.3">
      <c r="B132">
        <v>2</v>
      </c>
      <c r="C132">
        <v>-6797</v>
      </c>
      <c r="D132">
        <v>20863.900000000001</v>
      </c>
      <c r="E132">
        <v>5450.8</v>
      </c>
      <c r="F132">
        <f t="shared" si="156"/>
        <v>2.0863900000000002</v>
      </c>
      <c r="G132">
        <f t="shared" si="157"/>
        <v>-0.67969999999999997</v>
      </c>
      <c r="H132">
        <f t="shared" si="158"/>
        <v>2.7660900000000002</v>
      </c>
      <c r="I132">
        <f t="shared" ref="I132:I141" si="160">E132/10000</f>
        <v>0.54508000000000001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9.7677309894363684E-2</v>
      </c>
      <c r="P132" s="4">
        <v>3</v>
      </c>
      <c r="Q132" s="5">
        <f t="shared" ref="Q132:R141" si="163">H132</f>
        <v>2.7660900000000002</v>
      </c>
      <c r="R132" s="5">
        <f t="shared" si="163"/>
        <v>0.54508000000000001</v>
      </c>
      <c r="S132" s="5">
        <f t="shared" ref="S132:S141" si="164">Q132/10^6*$Z$4*$Z$3/P132*10^12</f>
        <v>3.0731259900000003</v>
      </c>
      <c r="T132" s="5">
        <f t="shared" ref="T132:T141" si="165">S132*0.06</f>
        <v>0.18438755940000001</v>
      </c>
      <c r="U132" s="5">
        <f t="shared" ref="U132:U141" si="166">S132/$Z$1</f>
        <v>0.42097616301369867</v>
      </c>
      <c r="V132" s="5">
        <f t="shared" si="159"/>
        <v>9.7677309894363684E-2</v>
      </c>
    </row>
    <row r="133" spans="2:22" x14ac:dyDescent="0.3">
      <c r="B133">
        <v>3</v>
      </c>
      <c r="C133">
        <v>-4019.6</v>
      </c>
      <c r="D133">
        <v>16970.400000000001</v>
      </c>
      <c r="E133">
        <v>4514.3</v>
      </c>
      <c r="F133">
        <f t="shared" si="156"/>
        <v>1.6970400000000001</v>
      </c>
      <c r="G133">
        <f t="shared" si="157"/>
        <v>-0.40195999999999998</v>
      </c>
      <c r="H133">
        <f t="shared" si="158"/>
        <v>2.0990000000000002</v>
      </c>
      <c r="I133">
        <f t="shared" si="160"/>
        <v>0.45143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8.4265601523038955E-2</v>
      </c>
      <c r="P133" s="4">
        <v>3</v>
      </c>
      <c r="Q133" s="5">
        <f t="shared" si="163"/>
        <v>2.0990000000000002</v>
      </c>
      <c r="R133" s="5">
        <f t="shared" si="163"/>
        <v>0.45143</v>
      </c>
      <c r="S133" s="5">
        <f t="shared" si="164"/>
        <v>2.3319890000000001</v>
      </c>
      <c r="T133" s="5">
        <f t="shared" si="165"/>
        <v>0.13991934</v>
      </c>
      <c r="U133" s="5">
        <f t="shared" si="166"/>
        <v>0.3194505479452055</v>
      </c>
      <c r="V133" s="5">
        <f t="shared" si="159"/>
        <v>8.4265601523038955E-2</v>
      </c>
    </row>
    <row r="134" spans="2:22" x14ac:dyDescent="0.3">
      <c r="B134">
        <v>4</v>
      </c>
      <c r="C134">
        <v>-7778.2</v>
      </c>
      <c r="D134">
        <v>8327.1</v>
      </c>
      <c r="E134">
        <v>2070</v>
      </c>
      <c r="F134">
        <f t="shared" si="156"/>
        <v>0.83271000000000006</v>
      </c>
      <c r="G134">
        <f t="shared" si="157"/>
        <v>-0.77781999999999996</v>
      </c>
      <c r="H134">
        <f t="shared" si="158"/>
        <v>1.61053</v>
      </c>
      <c r="I134">
        <f t="shared" si="160"/>
        <v>0.20699999999999999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5.1037627788279312E-2</v>
      </c>
      <c r="P134" s="4">
        <v>3</v>
      </c>
      <c r="Q134" s="5">
        <f t="shared" si="163"/>
        <v>1.61053</v>
      </c>
      <c r="R134" s="5">
        <f t="shared" si="163"/>
        <v>0.20699999999999999</v>
      </c>
      <c r="S134" s="5">
        <f t="shared" si="164"/>
        <v>1.7892988300000001</v>
      </c>
      <c r="T134" s="5">
        <f t="shared" si="165"/>
        <v>0.1073579298</v>
      </c>
      <c r="U134" s="5">
        <f t="shared" si="166"/>
        <v>0.2451094287671233</v>
      </c>
      <c r="V134" s="5">
        <f t="shared" si="159"/>
        <v>5.1037627788279312E-2</v>
      </c>
    </row>
    <row r="135" spans="2:22" x14ac:dyDescent="0.3">
      <c r="B135">
        <v>5</v>
      </c>
      <c r="C135">
        <v>-13562.7</v>
      </c>
      <c r="D135">
        <v>-1789.5</v>
      </c>
      <c r="E135">
        <v>948.6</v>
      </c>
      <c r="F135">
        <f t="shared" si="156"/>
        <v>-0.17895</v>
      </c>
      <c r="G135">
        <f t="shared" si="157"/>
        <v>-1.3562700000000001</v>
      </c>
      <c r="H135">
        <f t="shared" si="158"/>
        <v>1.1773200000000001</v>
      </c>
      <c r="I135">
        <f t="shared" si="160"/>
        <v>9.486E-2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3.6888126675786281E-2</v>
      </c>
      <c r="P135" s="4">
        <v>3</v>
      </c>
      <c r="Q135" s="5">
        <f t="shared" si="163"/>
        <v>1.1773200000000001</v>
      </c>
      <c r="R135" s="5">
        <f t="shared" si="163"/>
        <v>9.486E-2</v>
      </c>
      <c r="S135" s="5">
        <f t="shared" si="164"/>
        <v>1.3080025200000003</v>
      </c>
      <c r="T135" s="5">
        <f t="shared" si="165"/>
        <v>7.8480151200000015E-2</v>
      </c>
      <c r="U135" s="5">
        <f t="shared" si="166"/>
        <v>0.17917842739726031</v>
      </c>
      <c r="V135" s="5">
        <f t="shared" si="159"/>
        <v>3.6888126675786281E-2</v>
      </c>
    </row>
    <row r="136" spans="2:22" x14ac:dyDescent="0.3">
      <c r="B136">
        <v>6</v>
      </c>
      <c r="C136">
        <v>0</v>
      </c>
      <c r="D136">
        <v>0</v>
      </c>
      <c r="E136">
        <v>0</v>
      </c>
      <c r="F136">
        <f t="shared" si="156"/>
        <v>0</v>
      </c>
      <c r="G136">
        <f t="shared" si="157"/>
        <v>0</v>
      </c>
      <c r="H136">
        <f t="shared" si="158"/>
        <v>0</v>
      </c>
      <c r="I136">
        <f t="shared" si="160"/>
        <v>0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2.5533686956653145E-2</v>
      </c>
      <c r="P136" s="4">
        <v>4</v>
      </c>
      <c r="Q136" s="5">
        <f t="shared" si="163"/>
        <v>0</v>
      </c>
      <c r="R136" s="5">
        <f t="shared" si="163"/>
        <v>0</v>
      </c>
      <c r="S136" s="5">
        <f t="shared" si="164"/>
        <v>0</v>
      </c>
      <c r="T136" s="5">
        <f t="shared" si="165"/>
        <v>0</v>
      </c>
      <c r="U136" s="5">
        <f t="shared" si="166"/>
        <v>0</v>
      </c>
      <c r="V136" s="5">
        <f t="shared" si="159"/>
        <v>2.5533686956653145E-2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1.8458714213389852E-2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1.8458714213389852E-2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1.5479765329378439E-2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1.5479765329378439E-2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1.2475590134770535E-2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1.2475590134770535E-2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8.9339985284867182E-3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8.9339985284867182E-3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5.7613392824225583E-3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5.7613392824225583E-3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-1092.4000000000001</v>
      </c>
      <c r="D145">
        <v>24769.8</v>
      </c>
      <c r="E145">
        <v>5403.6</v>
      </c>
      <c r="F145">
        <f t="shared" ref="F145:F155" si="168">D145/10000</f>
        <v>2.4769799999999997</v>
      </c>
      <c r="G145">
        <f t="shared" ref="G145:G155" si="169">C145/10000</f>
        <v>-0.10924</v>
      </c>
      <c r="H145">
        <f t="shared" ref="H145:H155" si="170">F145-G145</f>
        <v>2.58622</v>
      </c>
      <c r="I145">
        <f>E145/10000</f>
        <v>0.54036000000000006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8.25871677250236E-2</v>
      </c>
      <c r="P145" s="2">
        <v>3</v>
      </c>
      <c r="Q145" s="8">
        <f>H145</f>
        <v>2.58622</v>
      </c>
      <c r="R145" s="8">
        <f>I145</f>
        <v>0.54036000000000006</v>
      </c>
      <c r="S145" s="8">
        <f>Q145/10^6*$Z$4*$Z$3/P145*10^12</f>
        <v>2.8732904199999996</v>
      </c>
      <c r="T145" s="8">
        <f>S145*0.06</f>
        <v>0.17239742519999995</v>
      </c>
      <c r="U145" s="8">
        <f>S145/$Z$1</f>
        <v>0.39360142739726023</v>
      </c>
      <c r="V145" s="12">
        <f t="shared" ref="V145:V155" si="171">O145</f>
        <v>8.25871677250236E-2</v>
      </c>
    </row>
    <row r="146" spans="2:22" x14ac:dyDescent="0.3">
      <c r="B146">
        <v>2</v>
      </c>
      <c r="C146">
        <v>-7673.8</v>
      </c>
      <c r="D146">
        <v>21323.1</v>
      </c>
      <c r="E146">
        <v>5241.8</v>
      </c>
      <c r="F146">
        <f t="shared" si="168"/>
        <v>2.1323099999999999</v>
      </c>
      <c r="G146">
        <f t="shared" si="169"/>
        <v>-0.76738000000000006</v>
      </c>
      <c r="H146">
        <f t="shared" si="170"/>
        <v>2.8996900000000001</v>
      </c>
      <c r="I146">
        <f t="shared" ref="I146:I155" si="172">E146/10000</f>
        <v>0.52417999999999998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7.3257982420772763E-2</v>
      </c>
      <c r="P146" s="4">
        <v>3</v>
      </c>
      <c r="Q146" s="5">
        <f t="shared" ref="Q146:R155" si="175">H146</f>
        <v>2.8996900000000001</v>
      </c>
      <c r="R146" s="5">
        <f t="shared" si="175"/>
        <v>0.52417999999999998</v>
      </c>
      <c r="S146" s="5">
        <f t="shared" ref="S146:S155" si="176">Q146/10^6*$Z$4*$Z$3/P146*10^12</f>
        <v>3.2215555899999999</v>
      </c>
      <c r="T146" s="5">
        <f t="shared" ref="T146:T155" si="177">S146*0.06</f>
        <v>0.19329333539999999</v>
      </c>
      <c r="U146" s="5">
        <f t="shared" ref="U146:U155" si="178">S146/$Z$1</f>
        <v>0.44130898493150683</v>
      </c>
      <c r="V146" s="5">
        <f t="shared" si="171"/>
        <v>7.3257982420772763E-2</v>
      </c>
    </row>
    <row r="147" spans="2:22" x14ac:dyDescent="0.3">
      <c r="B147">
        <v>3</v>
      </c>
      <c r="C147">
        <v>-982.6</v>
      </c>
      <c r="D147">
        <v>18266</v>
      </c>
      <c r="E147">
        <v>4699.1000000000004</v>
      </c>
      <c r="F147">
        <f t="shared" si="168"/>
        <v>1.8266</v>
      </c>
      <c r="G147">
        <f t="shared" si="169"/>
        <v>-9.826E-2</v>
      </c>
      <c r="H147">
        <f t="shared" si="170"/>
        <v>1.92486</v>
      </c>
      <c r="I147">
        <f t="shared" si="172"/>
        <v>0.46991000000000005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6.3199201142279213E-2</v>
      </c>
      <c r="P147" s="4">
        <v>3</v>
      </c>
      <c r="Q147" s="5">
        <f t="shared" si="175"/>
        <v>1.92486</v>
      </c>
      <c r="R147" s="5">
        <f t="shared" si="175"/>
        <v>0.46991000000000005</v>
      </c>
      <c r="S147" s="5">
        <f t="shared" si="176"/>
        <v>2.1385194600000004</v>
      </c>
      <c r="T147" s="5">
        <f t="shared" si="177"/>
        <v>0.12831116760000003</v>
      </c>
      <c r="U147" s="5">
        <f t="shared" si="178"/>
        <v>0.29294787123287674</v>
      </c>
      <c r="V147" s="5">
        <f t="shared" si="171"/>
        <v>6.3199201142279213E-2</v>
      </c>
    </row>
    <row r="148" spans="2:22" x14ac:dyDescent="0.3">
      <c r="B148">
        <v>4</v>
      </c>
      <c r="C148">
        <v>1525.2</v>
      </c>
      <c r="D148">
        <v>14742.4</v>
      </c>
      <c r="E148">
        <v>1758.2</v>
      </c>
      <c r="F148">
        <f t="shared" si="168"/>
        <v>1.47424</v>
      </c>
      <c r="G148">
        <f t="shared" si="169"/>
        <v>0.15252000000000002</v>
      </c>
      <c r="H148">
        <f t="shared" si="170"/>
        <v>1.32172</v>
      </c>
      <c r="I148">
        <f t="shared" si="172"/>
        <v>0.17582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3.8278220841209486E-2</v>
      </c>
      <c r="P148" s="4">
        <v>3</v>
      </c>
      <c r="Q148" s="5">
        <f t="shared" si="175"/>
        <v>1.32172</v>
      </c>
      <c r="R148" s="5">
        <f t="shared" si="175"/>
        <v>0.17582</v>
      </c>
      <c r="S148" s="5">
        <f t="shared" si="176"/>
        <v>1.4684309200000001</v>
      </c>
      <c r="T148" s="5">
        <f t="shared" si="177"/>
        <v>8.8105855199999999E-2</v>
      </c>
      <c r="U148" s="5">
        <f t="shared" si="178"/>
        <v>0.20115492054794523</v>
      </c>
      <c r="V148" s="5">
        <f t="shared" si="171"/>
        <v>3.8278220841209486E-2</v>
      </c>
    </row>
    <row r="149" spans="2:22" x14ac:dyDescent="0.3">
      <c r="B149">
        <v>5</v>
      </c>
      <c r="C149">
        <v>91.8</v>
      </c>
      <c r="D149">
        <v>8997.1</v>
      </c>
      <c r="E149">
        <v>1303.7</v>
      </c>
      <c r="F149">
        <f t="shared" si="168"/>
        <v>0.89971000000000001</v>
      </c>
      <c r="G149">
        <f t="shared" si="169"/>
        <v>9.1799999999999989E-3</v>
      </c>
      <c r="H149">
        <f t="shared" si="170"/>
        <v>0.89053000000000004</v>
      </c>
      <c r="I149">
        <f t="shared" si="172"/>
        <v>0.13037000000000001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2.7666095006839711E-2</v>
      </c>
      <c r="P149" s="4">
        <v>3</v>
      </c>
      <c r="Q149" s="5">
        <f t="shared" si="175"/>
        <v>0.89053000000000004</v>
      </c>
      <c r="R149" s="5">
        <f t="shared" si="175"/>
        <v>0.13037000000000001</v>
      </c>
      <c r="S149" s="5">
        <f t="shared" si="176"/>
        <v>0.98937883000000015</v>
      </c>
      <c r="T149" s="5">
        <f t="shared" si="177"/>
        <v>5.9362729800000007E-2</v>
      </c>
      <c r="U149" s="5">
        <f t="shared" si="178"/>
        <v>0.13553134657534249</v>
      </c>
      <c r="V149" s="5">
        <f t="shared" si="171"/>
        <v>2.7666095006839711E-2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1.9150265217489859E-2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1.9150265217489859E-2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1.3844035660042388E-2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1.3844035660042388E-2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1.1609823997033829E-2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1.1609823997033829E-2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9.3566926010779008E-3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9.3566926010779008E-3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6.7004988963650395E-3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6.7004988963650395E-3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4.3210044618169187E-3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4.3210044618169187E-3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-4044.7</v>
      </c>
      <c r="D159">
        <v>16258.1</v>
      </c>
      <c r="E159">
        <v>5937.5</v>
      </c>
      <c r="F159">
        <f t="shared" ref="F159:F169" si="180">D159/10000</f>
        <v>1.62581</v>
      </c>
      <c r="G159">
        <f t="shared" ref="G159:G169" si="181">C159/10000</f>
        <v>-0.40447</v>
      </c>
      <c r="H159">
        <f t="shared" ref="H159:H169" si="182">F159-G159</f>
        <v>2.0302799999999999</v>
      </c>
      <c r="I159">
        <f>E159/10000</f>
        <v>0.59375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6.606973418001888E-2</v>
      </c>
      <c r="P159" s="2">
        <v>3</v>
      </c>
      <c r="Q159" s="8">
        <f>H159</f>
        <v>2.0302799999999999</v>
      </c>
      <c r="R159" s="8">
        <f>I159</f>
        <v>0.59375</v>
      </c>
      <c r="S159" s="8">
        <f>Q159/10^6*$Z$4*$Z$3/P159*10^12</f>
        <v>2.2556410799999997</v>
      </c>
      <c r="T159" s="8">
        <f>S159*0.06</f>
        <v>0.13533846479999997</v>
      </c>
      <c r="U159" s="8">
        <f>S159/$Z$1</f>
        <v>0.30899192876712328</v>
      </c>
      <c r="V159" s="12">
        <f t="shared" ref="V159:V169" si="183">O159</f>
        <v>6.606973418001888E-2</v>
      </c>
    </row>
    <row r="160" spans="2:22" x14ac:dyDescent="0.3">
      <c r="B160">
        <v>2</v>
      </c>
      <c r="C160">
        <v>-7153.1</v>
      </c>
      <c r="D160">
        <v>13088.4</v>
      </c>
      <c r="E160">
        <v>6311.5</v>
      </c>
      <c r="F160">
        <f t="shared" si="180"/>
        <v>1.30884</v>
      </c>
      <c r="G160">
        <f t="shared" si="181"/>
        <v>-0.71531</v>
      </c>
      <c r="H160">
        <f t="shared" si="182"/>
        <v>2.0241500000000001</v>
      </c>
      <c r="I160">
        <f t="shared" ref="I160:I169" si="184">E160/10000</f>
        <v>0.63114999999999999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5.8606385936618204E-2</v>
      </c>
      <c r="P160" s="4">
        <v>3</v>
      </c>
      <c r="Q160" s="5">
        <f t="shared" ref="Q160:R169" si="187">H160</f>
        <v>2.0241500000000001</v>
      </c>
      <c r="R160" s="5">
        <f t="shared" si="187"/>
        <v>0.63114999999999999</v>
      </c>
      <c r="S160" s="5">
        <f t="shared" ref="S160:S169" si="188">Q160/10^6*$Z$4*$Z$3/P160*10^12</f>
        <v>2.2488306499999999</v>
      </c>
      <c r="T160" s="5">
        <f t="shared" ref="T160:T169" si="189">S160*0.06</f>
        <v>0.134929839</v>
      </c>
      <c r="U160" s="5">
        <f t="shared" ref="U160:U169" si="190">S160/$Z$1</f>
        <v>0.30805899315068491</v>
      </c>
      <c r="V160" s="5">
        <f t="shared" si="183"/>
        <v>5.8606385936618204E-2</v>
      </c>
    </row>
    <row r="161" spans="2:22" x14ac:dyDescent="0.3">
      <c r="B161">
        <v>3</v>
      </c>
      <c r="C161">
        <v>-150.80000000000001</v>
      </c>
      <c r="D161">
        <v>17501.8</v>
      </c>
      <c r="E161">
        <v>5924.5</v>
      </c>
      <c r="F161">
        <f t="shared" si="180"/>
        <v>1.7501799999999998</v>
      </c>
      <c r="G161">
        <f t="shared" si="181"/>
        <v>-1.5080000000000001E-2</v>
      </c>
      <c r="H161">
        <f t="shared" si="182"/>
        <v>1.7652599999999998</v>
      </c>
      <c r="I161">
        <f t="shared" si="184"/>
        <v>0.59245000000000003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5.0559360913823376E-2</v>
      </c>
      <c r="P161" s="4">
        <v>3</v>
      </c>
      <c r="Q161" s="5">
        <f t="shared" si="187"/>
        <v>1.7652599999999998</v>
      </c>
      <c r="R161" s="5">
        <f t="shared" si="187"/>
        <v>0.59245000000000003</v>
      </c>
      <c r="S161" s="5">
        <f t="shared" si="188"/>
        <v>1.9612038600000001</v>
      </c>
      <c r="T161" s="5">
        <f t="shared" si="189"/>
        <v>0.11767223160000001</v>
      </c>
      <c r="U161" s="5">
        <f t="shared" si="190"/>
        <v>0.26865806301369866</v>
      </c>
      <c r="V161" s="5">
        <f t="shared" si="183"/>
        <v>5.0559360913823376E-2</v>
      </c>
    </row>
    <row r="162" spans="2:22" x14ac:dyDescent="0.3">
      <c r="B162">
        <v>4</v>
      </c>
      <c r="C162">
        <v>2362</v>
      </c>
      <c r="D162">
        <v>13661.8</v>
      </c>
      <c r="E162">
        <v>1083.9000000000001</v>
      </c>
      <c r="F162">
        <f t="shared" si="180"/>
        <v>1.3661799999999999</v>
      </c>
      <c r="G162">
        <f t="shared" si="181"/>
        <v>0.23619999999999999</v>
      </c>
      <c r="H162">
        <f t="shared" si="182"/>
        <v>1.12998</v>
      </c>
      <c r="I162">
        <f t="shared" si="184"/>
        <v>0.10839000000000001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3.0622576672967586E-2</v>
      </c>
      <c r="P162" s="4">
        <v>3</v>
      </c>
      <c r="Q162" s="5">
        <f t="shared" si="187"/>
        <v>1.12998</v>
      </c>
      <c r="R162" s="5">
        <f t="shared" si="187"/>
        <v>0.10839000000000001</v>
      </c>
      <c r="S162" s="5">
        <f t="shared" si="188"/>
        <v>1.2554077800000001</v>
      </c>
      <c r="T162" s="5">
        <f t="shared" si="189"/>
        <v>7.5324466800000003E-2</v>
      </c>
      <c r="U162" s="5">
        <f t="shared" si="190"/>
        <v>0.17197366849315071</v>
      </c>
      <c r="V162" s="5">
        <f t="shared" si="183"/>
        <v>3.0622576672967586E-2</v>
      </c>
    </row>
    <row r="163" spans="2:22" x14ac:dyDescent="0.3">
      <c r="B163">
        <v>5</v>
      </c>
      <c r="C163">
        <v>0</v>
      </c>
      <c r="D163">
        <v>0</v>
      </c>
      <c r="E163">
        <v>0</v>
      </c>
      <c r="F163">
        <f t="shared" si="180"/>
        <v>0</v>
      </c>
      <c r="G163">
        <f t="shared" si="181"/>
        <v>0</v>
      </c>
      <c r="H163">
        <f t="shared" si="182"/>
        <v>0</v>
      </c>
      <c r="I163">
        <f t="shared" si="184"/>
        <v>0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2.2132876005471772E-2</v>
      </c>
      <c r="P163" s="4">
        <v>3</v>
      </c>
      <c r="Q163" s="5">
        <f t="shared" si="187"/>
        <v>0</v>
      </c>
      <c r="R163" s="5">
        <f t="shared" si="187"/>
        <v>0</v>
      </c>
      <c r="S163" s="5">
        <f t="shared" si="188"/>
        <v>0</v>
      </c>
      <c r="T163" s="5">
        <f t="shared" si="189"/>
        <v>0</v>
      </c>
      <c r="U163" s="5">
        <f t="shared" si="190"/>
        <v>0</v>
      </c>
      <c r="V163" s="5">
        <f t="shared" si="183"/>
        <v>2.2132876005471772E-2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1.5320212173991888E-2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1.5320212173991888E-2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1.1075228528033909E-2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1.1075228528033909E-2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9.287859197627063E-3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9.287859197627063E-3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7.4853540808623199E-3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7.4853540808623199E-3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5.3603991170920314E-3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5.3603991170920314E-3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3.4568035694535347E-3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3.4568035694535347E-3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Q170"/>
  <sheetViews>
    <sheetView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-2152.3000000000002</v>
      </c>
      <c r="D5">
        <v>94851.8</v>
      </c>
      <c r="E5">
        <v>3810.7</v>
      </c>
      <c r="F5">
        <f t="shared" ref="F5:F15" si="0">D5/10000</f>
        <v>9.4851799999999997</v>
      </c>
      <c r="G5">
        <f t="shared" ref="G5:G15" si="1">C5/10000</f>
        <v>-0.21523</v>
      </c>
      <c r="H5">
        <f t="shared" ref="H5:H15" si="2">F5-G5</f>
        <v>9.7004099999999998</v>
      </c>
      <c r="I5">
        <f>E5/10000</f>
        <v>0.38106999999999996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0.7078900090716308</v>
      </c>
      <c r="P5" s="2">
        <v>3</v>
      </c>
      <c r="Q5" s="8">
        <f>H5</f>
        <v>9.7004099999999998</v>
      </c>
      <c r="R5" s="8">
        <f>I5</f>
        <v>0.38106999999999996</v>
      </c>
      <c r="S5" s="8">
        <f>Q5/10^6*$Z$4*$Z$3/P5*10^12</f>
        <v>10.777155510000002</v>
      </c>
      <c r="T5" s="8">
        <f>S5*0.06</f>
        <v>0.64662933060000005</v>
      </c>
      <c r="U5" s="8">
        <f>S5/$Z$1</f>
        <v>1.4763226726027401</v>
      </c>
      <c r="V5" s="12">
        <f t="shared" ref="V5:V15" si="4">O5</f>
        <v>0.7078900090716308</v>
      </c>
    </row>
    <row r="6" spans="2:95" x14ac:dyDescent="0.3">
      <c r="B6">
        <v>2</v>
      </c>
      <c r="C6">
        <v>-2214.5</v>
      </c>
      <c r="D6">
        <v>99572.4</v>
      </c>
      <c r="E6">
        <v>3099</v>
      </c>
      <c r="F6">
        <f t="shared" si="0"/>
        <v>9.9572399999999988</v>
      </c>
      <c r="G6">
        <f t="shared" si="1"/>
        <v>-0.22145000000000001</v>
      </c>
      <c r="H6">
        <f t="shared" si="2"/>
        <v>10.17869</v>
      </c>
      <c r="I6">
        <f t="shared" ref="I6:I15" si="5">E6/10000</f>
        <v>0.30990000000000001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0.62792556360662366</v>
      </c>
      <c r="P6" s="4">
        <v>3</v>
      </c>
      <c r="Q6" s="5">
        <f t="shared" ref="Q6:R15" si="7">H6</f>
        <v>10.17869</v>
      </c>
      <c r="R6" s="5">
        <f t="shared" si="7"/>
        <v>0.30990000000000001</v>
      </c>
      <c r="S6" s="5">
        <f t="shared" ref="S6:S15" si="8">Q6/10^6*$Z$4*$Z$3/P6*10^12</f>
        <v>11.308524589999999</v>
      </c>
      <c r="T6" s="5">
        <f t="shared" ref="T6:T15" si="9">S6*0.06</f>
        <v>0.6785114753999999</v>
      </c>
      <c r="U6" s="5">
        <f t="shared" ref="U6:U15" si="10">S6/$Z$1</f>
        <v>1.5491129575342466</v>
      </c>
      <c r="V6" s="5">
        <f t="shared" si="4"/>
        <v>0.62792556360662366</v>
      </c>
    </row>
    <row r="7" spans="2:95" x14ac:dyDescent="0.3">
      <c r="B7">
        <v>3</v>
      </c>
      <c r="C7">
        <v>-4094</v>
      </c>
      <c r="D7">
        <v>101699.7</v>
      </c>
      <c r="E7">
        <v>3171.7</v>
      </c>
      <c r="F7">
        <f t="shared" si="0"/>
        <v>10.169969999999999</v>
      </c>
      <c r="G7">
        <f t="shared" si="1"/>
        <v>-0.40939999999999999</v>
      </c>
      <c r="H7">
        <f t="shared" si="2"/>
        <v>10.579369999999999</v>
      </c>
      <c r="I7">
        <f t="shared" si="5"/>
        <v>0.31717000000000001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0.54170743836239332</v>
      </c>
      <c r="P7" s="4">
        <v>3</v>
      </c>
      <c r="Q7" s="5">
        <f t="shared" si="7"/>
        <v>10.579369999999999</v>
      </c>
      <c r="R7" s="5">
        <f t="shared" si="7"/>
        <v>0.31717000000000001</v>
      </c>
      <c r="S7" s="5">
        <f t="shared" si="8"/>
        <v>11.75368007</v>
      </c>
      <c r="T7" s="5">
        <f t="shared" si="9"/>
        <v>0.7052208042</v>
      </c>
      <c r="U7" s="5">
        <f t="shared" si="10"/>
        <v>1.6100931602739725</v>
      </c>
      <c r="V7" s="5">
        <f t="shared" si="4"/>
        <v>0.54170743836239332</v>
      </c>
      <c r="Y7" t="s">
        <v>41</v>
      </c>
      <c r="Z7">
        <v>7</v>
      </c>
    </row>
    <row r="8" spans="2:95" x14ac:dyDescent="0.3">
      <c r="B8">
        <v>4</v>
      </c>
      <c r="C8">
        <v>-4223.3999999999996</v>
      </c>
      <c r="D8">
        <v>85272.7</v>
      </c>
      <c r="E8">
        <v>2197.9</v>
      </c>
      <c r="F8">
        <f t="shared" si="0"/>
        <v>8.5272699999999997</v>
      </c>
      <c r="G8">
        <f t="shared" si="1"/>
        <v>-0.42233999999999994</v>
      </c>
      <c r="H8">
        <f t="shared" si="2"/>
        <v>8.9496099999999998</v>
      </c>
      <c r="I8">
        <f t="shared" si="5"/>
        <v>0.21979000000000001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0.32809903578179561</v>
      </c>
      <c r="P8" s="4">
        <v>3</v>
      </c>
      <c r="Q8" s="5">
        <f t="shared" si="7"/>
        <v>8.9496099999999998</v>
      </c>
      <c r="R8" s="5">
        <f t="shared" si="7"/>
        <v>0.21979000000000001</v>
      </c>
      <c r="S8" s="5">
        <f t="shared" si="8"/>
        <v>9.943016710000002</v>
      </c>
      <c r="T8" s="5">
        <f t="shared" si="9"/>
        <v>0.59658100260000013</v>
      </c>
      <c r="U8" s="5">
        <f t="shared" si="10"/>
        <v>1.3620570835616441</v>
      </c>
      <c r="V8" s="5">
        <f t="shared" si="4"/>
        <v>0.32809903578179561</v>
      </c>
    </row>
    <row r="9" spans="2:95" x14ac:dyDescent="0.3">
      <c r="B9">
        <v>5</v>
      </c>
      <c r="C9">
        <v>-6894.7</v>
      </c>
      <c r="D9">
        <v>55419.7</v>
      </c>
      <c r="E9">
        <v>1514.8</v>
      </c>
      <c r="F9">
        <f t="shared" si="0"/>
        <v>5.5419700000000001</v>
      </c>
      <c r="G9">
        <f t="shared" si="1"/>
        <v>-0.68947000000000003</v>
      </c>
      <c r="H9">
        <f t="shared" si="2"/>
        <v>6.2314400000000001</v>
      </c>
      <c r="I9">
        <f t="shared" si="5"/>
        <v>0.15148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0.23713795720148326</v>
      </c>
      <c r="P9" s="4">
        <v>3</v>
      </c>
      <c r="Q9" s="5">
        <f t="shared" si="7"/>
        <v>6.2314400000000001</v>
      </c>
      <c r="R9" s="5">
        <f t="shared" si="7"/>
        <v>0.15148</v>
      </c>
      <c r="S9" s="5">
        <f t="shared" si="8"/>
        <v>6.9231298400000005</v>
      </c>
      <c r="T9" s="5">
        <f t="shared" si="9"/>
        <v>0.41538779040000001</v>
      </c>
      <c r="U9" s="5">
        <f t="shared" si="10"/>
        <v>0.94837395068493158</v>
      </c>
      <c r="V9" s="5">
        <f t="shared" si="4"/>
        <v>0.23713795720148326</v>
      </c>
    </row>
    <row r="10" spans="2:95" ht="15" thickBot="1" x14ac:dyDescent="0.35">
      <c r="B10">
        <v>6</v>
      </c>
      <c r="C10">
        <v>-11406.2</v>
      </c>
      <c r="D10">
        <v>47080</v>
      </c>
      <c r="E10">
        <v>1543.6</v>
      </c>
      <c r="F10">
        <f t="shared" si="0"/>
        <v>4.7080000000000002</v>
      </c>
      <c r="G10">
        <f t="shared" si="1"/>
        <v>-1.14062</v>
      </c>
      <c r="H10">
        <f t="shared" si="2"/>
        <v>5.8486200000000004</v>
      </c>
      <c r="I10">
        <f t="shared" si="5"/>
        <v>0.15436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0.16414513043562737</v>
      </c>
      <c r="P10" s="4">
        <v>4</v>
      </c>
      <c r="Q10" s="5">
        <f t="shared" si="7"/>
        <v>5.8486200000000004</v>
      </c>
      <c r="R10" s="5">
        <f t="shared" si="7"/>
        <v>0.15436</v>
      </c>
      <c r="S10" s="5">
        <f t="shared" si="8"/>
        <v>4.8733626150000013</v>
      </c>
      <c r="T10" s="5">
        <f t="shared" si="9"/>
        <v>0.29240175690000009</v>
      </c>
      <c r="U10" s="5">
        <f t="shared" si="10"/>
        <v>0.66758391986301391</v>
      </c>
      <c r="V10" s="5">
        <f t="shared" si="4"/>
        <v>0.16414513043562737</v>
      </c>
    </row>
    <row r="11" spans="2:95" ht="15.6" thickTop="1" thickBot="1" x14ac:dyDescent="0.35">
      <c r="B11">
        <v>7</v>
      </c>
      <c r="C11">
        <v>-11725.9</v>
      </c>
      <c r="D11">
        <v>-2087.9</v>
      </c>
      <c r="E11">
        <v>6494.8</v>
      </c>
      <c r="F11">
        <f t="shared" si="0"/>
        <v>-0.20879</v>
      </c>
      <c r="G11">
        <f t="shared" si="1"/>
        <v>-1.17259</v>
      </c>
      <c r="H11">
        <f t="shared" si="2"/>
        <v>0.96379999999999999</v>
      </c>
      <c r="I11">
        <f t="shared" si="5"/>
        <v>0.64948000000000006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0.11866316280036333</v>
      </c>
      <c r="P11" s="4">
        <v>4</v>
      </c>
      <c r="Q11" s="5">
        <f t="shared" si="7"/>
        <v>0.96379999999999999</v>
      </c>
      <c r="R11" s="5">
        <f t="shared" si="7"/>
        <v>0.64948000000000006</v>
      </c>
      <c r="S11" s="5">
        <f t="shared" si="8"/>
        <v>0.80308634999999995</v>
      </c>
      <c r="T11" s="5">
        <f t="shared" si="9"/>
        <v>4.8185180999999994E-2</v>
      </c>
      <c r="U11" s="5">
        <f t="shared" si="10"/>
        <v>0.11001182876712329</v>
      </c>
      <c r="V11" s="5">
        <f t="shared" si="4"/>
        <v>0.11866316280036333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0</v>
      </c>
      <c r="D12">
        <v>0</v>
      </c>
      <c r="E12">
        <v>0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5"/>
        <v>0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9.951277711743281E-2</v>
      </c>
      <c r="P12" s="4">
        <v>5</v>
      </c>
      <c r="Q12" s="5">
        <f t="shared" si="7"/>
        <v>0</v>
      </c>
      <c r="R12" s="5">
        <f t="shared" si="7"/>
        <v>0</v>
      </c>
      <c r="S12" s="5">
        <f t="shared" si="8"/>
        <v>0</v>
      </c>
      <c r="T12" s="5">
        <f t="shared" si="9"/>
        <v>0</v>
      </c>
      <c r="U12" s="5">
        <f t="shared" si="10"/>
        <v>0</v>
      </c>
      <c r="V12" s="5">
        <f t="shared" si="4"/>
        <v>9.951277711743281E-2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0</v>
      </c>
      <c r="D13">
        <v>0</v>
      </c>
      <c r="E13">
        <v>0</v>
      </c>
      <c r="F13">
        <f t="shared" si="0"/>
        <v>0</v>
      </c>
      <c r="G13">
        <f t="shared" si="1"/>
        <v>0</v>
      </c>
      <c r="H13">
        <f t="shared" si="2"/>
        <v>0</v>
      </c>
      <c r="I13">
        <f t="shared" si="5"/>
        <v>0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8.0200222294953424E-2</v>
      </c>
      <c r="P13" s="4">
        <v>8</v>
      </c>
      <c r="Q13" s="5">
        <f t="shared" si="7"/>
        <v>0</v>
      </c>
      <c r="R13" s="5">
        <f t="shared" si="7"/>
        <v>0</v>
      </c>
      <c r="S13" s="5">
        <f t="shared" si="8"/>
        <v>0</v>
      </c>
      <c r="T13" s="5">
        <f t="shared" si="9"/>
        <v>0</v>
      </c>
      <c r="U13" s="5">
        <f t="shared" si="10"/>
        <v>0</v>
      </c>
      <c r="V13" s="5">
        <f t="shared" si="4"/>
        <v>8.0200222294953424E-2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0</v>
      </c>
      <c r="D14">
        <v>0</v>
      </c>
      <c r="E14">
        <v>0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5"/>
        <v>0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5.7432847683128903E-2</v>
      </c>
      <c r="P14" s="4">
        <v>14</v>
      </c>
      <c r="Q14" s="5">
        <f t="shared" si="7"/>
        <v>0</v>
      </c>
      <c r="R14" s="5">
        <f t="shared" si="7"/>
        <v>0</v>
      </c>
      <c r="S14" s="5">
        <f t="shared" si="8"/>
        <v>0</v>
      </c>
      <c r="T14" s="5">
        <f t="shared" si="9"/>
        <v>0</v>
      </c>
      <c r="U14" s="5">
        <f t="shared" si="10"/>
        <v>0</v>
      </c>
      <c r="V14" s="5">
        <f t="shared" si="4"/>
        <v>5.7432847683128903E-2</v>
      </c>
      <c r="X14" s="31">
        <f t="shared" ref="X14:X20" si="12">O5</f>
        <v>0.7078900090716308</v>
      </c>
      <c r="Y14" s="32">
        <f t="shared" ref="Y14:AA20" si="13">S5</f>
        <v>10.777155510000002</v>
      </c>
      <c r="Z14" s="32">
        <f t="shared" si="13"/>
        <v>0.64662933060000005</v>
      </c>
      <c r="AA14" s="32">
        <f t="shared" si="13"/>
        <v>1.4763226726027401</v>
      </c>
      <c r="AB14" s="41">
        <f>I5/H5</f>
        <v>3.9283906556526992E-2</v>
      </c>
      <c r="AC14" s="33">
        <f t="shared" ref="AC14:AC20" si="14">R5</f>
        <v>0.38106999999999996</v>
      </c>
      <c r="AD14" s="31">
        <f t="shared" ref="AD14:AD19" si="15">O19</f>
        <v>0.47192667271442057</v>
      </c>
      <c r="AE14" s="32">
        <f t="shared" ref="AE14:AG19" si="16">S19</f>
        <v>5.7140396500000001</v>
      </c>
      <c r="AF14" s="32">
        <f t="shared" si="16"/>
        <v>0.34284237899999997</v>
      </c>
      <c r="AG14" s="32">
        <f t="shared" si="16"/>
        <v>0.78274515753424656</v>
      </c>
      <c r="AH14" s="41">
        <f>I19/H19</f>
        <v>6.5842917278321644E-2</v>
      </c>
      <c r="AI14" s="33">
        <f>R19</f>
        <v>0.33864</v>
      </c>
      <c r="AJ14" s="31">
        <f t="shared" ref="AJ14:AJ19" si="17">O33</f>
        <v>0.3539450045358154</v>
      </c>
      <c r="AK14" s="32">
        <f t="shared" ref="AK14:AM19" si="18">S33</f>
        <v>4.7296269900000008</v>
      </c>
      <c r="AL14" s="32">
        <f t="shared" si="18"/>
        <v>0.28377761940000001</v>
      </c>
      <c r="AM14" s="32">
        <f t="shared" si="18"/>
        <v>0.64789410821917826</v>
      </c>
      <c r="AN14" s="41">
        <f>I33/H33</f>
        <v>6.7468622932566599E-2</v>
      </c>
      <c r="AO14" s="33">
        <f>R33</f>
        <v>0.28721999999999998</v>
      </c>
      <c r="AP14" s="31">
        <f t="shared" ref="AP14:AP18" si="19">O47</f>
        <v>0.28315600362865234</v>
      </c>
      <c r="AQ14" s="32">
        <f t="shared" ref="AQ14:AS18" si="20">S47</f>
        <v>4.0938350199999993</v>
      </c>
      <c r="AR14" s="32">
        <f t="shared" si="20"/>
        <v>0.24563010119999995</v>
      </c>
      <c r="AS14" s="32">
        <f t="shared" si="20"/>
        <v>0.56079931780821912</v>
      </c>
      <c r="AT14" s="41">
        <f>I47/H47</f>
        <v>0.1041706243452869</v>
      </c>
      <c r="AU14" s="33">
        <f>R47</f>
        <v>0.38385000000000002</v>
      </c>
      <c r="AV14" s="31">
        <f t="shared" ref="AV14:AV17" si="21">O61</f>
        <v>0.23596333635721028</v>
      </c>
      <c r="AW14" s="32">
        <f t="shared" ref="AW14:AY17" si="22">S61</f>
        <v>3.7547911500000009</v>
      </c>
      <c r="AX14" s="32">
        <f t="shared" si="22"/>
        <v>0.22528746900000005</v>
      </c>
      <c r="AY14" s="32">
        <f t="shared" si="22"/>
        <v>0.51435495205479465</v>
      </c>
      <c r="AZ14" s="41">
        <f>I61/H61</f>
        <v>0.13484532421996359</v>
      </c>
      <c r="BA14" s="33">
        <f>R61</f>
        <v>0.45573000000000002</v>
      </c>
      <c r="BB14" s="31">
        <f t="shared" ref="BB14:BB17" si="23">O75</f>
        <v>0.20225428830618022</v>
      </c>
      <c r="BC14" s="32">
        <f t="shared" ref="BC14:BE17" si="24">S75</f>
        <v>3.6777099699999996</v>
      </c>
      <c r="BD14" s="32">
        <f t="shared" si="24"/>
        <v>0.22066259819999998</v>
      </c>
      <c r="BE14" s="32">
        <f t="shared" si="24"/>
        <v>0.50379588630136984</v>
      </c>
      <c r="BF14" s="41">
        <f>I75/H75</f>
        <v>0.10547478000283966</v>
      </c>
      <c r="BG14" s="33">
        <f>R75</f>
        <v>0.34915000000000002</v>
      </c>
      <c r="BH14" s="31">
        <f t="shared" ref="BH14:BH17" si="25">O89</f>
        <v>0.1769725022679077</v>
      </c>
      <c r="BI14" s="32">
        <f t="shared" ref="BI14:BK17" si="26">S89</f>
        <v>3.6556343999999994</v>
      </c>
      <c r="BJ14" s="32">
        <f t="shared" si="26"/>
        <v>0.21933806399999994</v>
      </c>
      <c r="BK14" s="32">
        <f t="shared" si="26"/>
        <v>0.50077183561643823</v>
      </c>
      <c r="BL14" s="41">
        <f>I89/H89</f>
        <v>9.5015803549720404E-2</v>
      </c>
      <c r="BM14" s="33">
        <f>R89</f>
        <v>0.31264000000000003</v>
      </c>
      <c r="BN14" s="31">
        <f t="shared" ref="BN14:BN17" si="27">O103</f>
        <v>0.15730889090480685</v>
      </c>
      <c r="BO14" s="32">
        <f t="shared" ref="BO14:BQ17" si="28">S103</f>
        <v>3.4983612399999999</v>
      </c>
      <c r="BP14" s="32">
        <f t="shared" si="28"/>
        <v>0.20990167439999999</v>
      </c>
      <c r="BQ14" s="32">
        <f t="shared" si="28"/>
        <v>0.47922756712328768</v>
      </c>
      <c r="BR14" s="41">
        <f>I103/H103</f>
        <v>0.10426696815335172</v>
      </c>
      <c r="BS14" s="33">
        <f>R103</f>
        <v>0.32832</v>
      </c>
      <c r="BT14" s="31">
        <f t="shared" ref="BT14:BT16" si="29">O117</f>
        <v>0.14157800181432617</v>
      </c>
      <c r="BU14" s="32">
        <f t="shared" ref="BU14:BW16" si="30">S117</f>
        <v>3.6783210200000007</v>
      </c>
      <c r="BV14" s="32">
        <f t="shared" si="30"/>
        <v>0.22069926120000002</v>
      </c>
      <c r="BW14" s="32">
        <f t="shared" si="30"/>
        <v>0.50387959178082198</v>
      </c>
      <c r="BX14" s="41">
        <f>I117/H117</f>
        <v>9.9621845947529611E-2</v>
      </c>
      <c r="BY14" s="33">
        <f>R117</f>
        <v>0.32983000000000001</v>
      </c>
      <c r="BZ14" s="31">
        <f t="shared" ref="BZ14:BZ18" si="31">O131</f>
        <v>9.4385334542884114E-2</v>
      </c>
      <c r="CA14" s="32">
        <f t="shared" ref="CA14:CC18" si="32">S131</f>
        <v>3.79833124</v>
      </c>
      <c r="CB14" s="32">
        <f t="shared" si="32"/>
        <v>0.22789987439999998</v>
      </c>
      <c r="CC14" s="32">
        <f t="shared" si="32"/>
        <v>0.52031934794520551</v>
      </c>
      <c r="CD14" s="41">
        <f>I131/H131</f>
        <v>0.13642931520632731</v>
      </c>
      <c r="CE14" s="33">
        <f>R131</f>
        <v>0.46643000000000001</v>
      </c>
      <c r="CF14" s="31">
        <f t="shared" ref="CF14:CF18" si="33">O145</f>
        <v>7.0789000907163085E-2</v>
      </c>
      <c r="CG14" s="32">
        <f t="shared" ref="CG14:CI18" si="34">S145</f>
        <v>2.9947560500000003</v>
      </c>
      <c r="CH14" s="32">
        <f t="shared" si="34"/>
        <v>0.17968536300000001</v>
      </c>
      <c r="CI14" s="32">
        <f t="shared" si="34"/>
        <v>0.4102405547945206</v>
      </c>
      <c r="CJ14" s="41">
        <f>I145/H145</f>
        <v>0.16146241026877634</v>
      </c>
      <c r="CK14" s="33">
        <f>R145</f>
        <v>0.43523000000000001</v>
      </c>
      <c r="CL14" s="31">
        <f t="shared" ref="CL14:CL17" si="35">O159</f>
        <v>5.6631200725730468E-2</v>
      </c>
      <c r="CM14" s="32">
        <f t="shared" ref="CM14:CO17" si="36">S159</f>
        <v>2.20163537</v>
      </c>
      <c r="CN14" s="32">
        <f t="shared" si="36"/>
        <v>0.1320981222</v>
      </c>
      <c r="CO14" s="32">
        <f t="shared" si="36"/>
        <v>0.30159388630136985</v>
      </c>
      <c r="CP14" s="41">
        <f>I159/H159</f>
        <v>0.33920884910202004</v>
      </c>
      <c r="CQ14" s="33">
        <f>R159</f>
        <v>0.67220000000000002</v>
      </c>
    </row>
    <row r="15" spans="2:95" ht="15" thickBot="1" x14ac:dyDescent="0.35">
      <c r="B15">
        <v>11</v>
      </c>
      <c r="C15">
        <v>0</v>
      </c>
      <c r="D15">
        <v>0</v>
      </c>
      <c r="E15">
        <v>0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5"/>
        <v>0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3.7037181101287876E-2</v>
      </c>
      <c r="P15" s="7">
        <v>21</v>
      </c>
      <c r="Q15" s="6">
        <f t="shared" si="7"/>
        <v>0</v>
      </c>
      <c r="R15" s="6">
        <f t="shared" si="7"/>
        <v>0</v>
      </c>
      <c r="S15" s="6">
        <f t="shared" si="8"/>
        <v>0</v>
      </c>
      <c r="T15" s="6">
        <f t="shared" si="9"/>
        <v>0</v>
      </c>
      <c r="U15" s="6">
        <f t="shared" si="10"/>
        <v>0</v>
      </c>
      <c r="V15" s="6">
        <f t="shared" si="4"/>
        <v>3.7037181101287876E-2</v>
      </c>
      <c r="X15" s="34">
        <f t="shared" si="12"/>
        <v>0.62792556360662366</v>
      </c>
      <c r="Y15" s="35">
        <f t="shared" si="13"/>
        <v>11.308524589999999</v>
      </c>
      <c r="Z15" s="35">
        <f t="shared" si="13"/>
        <v>0.6785114753999999</v>
      </c>
      <c r="AA15" s="35">
        <f t="shared" si="13"/>
        <v>1.5491129575342466</v>
      </c>
      <c r="AB15" s="42">
        <f t="shared" ref="AB15:AB20" si="37">I6/H6</f>
        <v>3.0445961120733615E-2</v>
      </c>
      <c r="AC15" s="36">
        <f t="shared" si="14"/>
        <v>0.30990000000000001</v>
      </c>
      <c r="AD15" s="34">
        <f t="shared" si="15"/>
        <v>0.41861704240441577</v>
      </c>
      <c r="AE15" s="35">
        <f t="shared" si="16"/>
        <v>5.9340620900000012</v>
      </c>
      <c r="AF15" s="35">
        <f t="shared" si="16"/>
        <v>0.35604372540000007</v>
      </c>
      <c r="AG15" s="35">
        <f t="shared" si="16"/>
        <v>0.81288521780821932</v>
      </c>
      <c r="AH15" s="42">
        <f t="shared" ref="AH15:AH19" si="38">I20/H20</f>
        <v>6.0022204789569364E-2</v>
      </c>
      <c r="AI15" s="36">
        <f t="shared" ref="AI15:AI19" si="39">R20</f>
        <v>0.32058999999999999</v>
      </c>
      <c r="AJ15" s="34">
        <f t="shared" si="17"/>
        <v>0.31396278180331183</v>
      </c>
      <c r="AK15" s="35">
        <f t="shared" si="18"/>
        <v>4.6300369499999992</v>
      </c>
      <c r="AL15" s="35">
        <f t="shared" si="18"/>
        <v>0.27780221699999996</v>
      </c>
      <c r="AM15" s="35">
        <f t="shared" si="18"/>
        <v>0.63425163698630127</v>
      </c>
      <c r="AN15" s="42">
        <f t="shared" ref="AN15:AN19" si="40">I34/H34</f>
        <v>7.5969717693073702E-2</v>
      </c>
      <c r="AO15" s="36">
        <f t="shared" ref="AO15:AO19" si="41">R34</f>
        <v>0.31659999999999999</v>
      </c>
      <c r="AP15" s="34">
        <f t="shared" si="19"/>
        <v>0.25117022544264944</v>
      </c>
      <c r="AQ15" s="35">
        <f t="shared" si="20"/>
        <v>3.9792687</v>
      </c>
      <c r="AR15" s="35">
        <f t="shared" si="20"/>
        <v>0.23875612199999999</v>
      </c>
      <c r="AS15" s="35">
        <f t="shared" si="20"/>
        <v>0.54510530136986302</v>
      </c>
      <c r="AT15" s="42">
        <f t="shared" ref="AT15:AT18" si="42">I48/H48</f>
        <v>8.5839126671692217E-2</v>
      </c>
      <c r="AU15" s="36">
        <f t="shared" ref="AU15:AU18" si="43">R48</f>
        <v>0.30745</v>
      </c>
      <c r="AV15" s="34">
        <f t="shared" si="21"/>
        <v>0.20930852120220789</v>
      </c>
      <c r="AW15" s="35">
        <f t="shared" si="22"/>
        <v>3.3865946399999998</v>
      </c>
      <c r="AX15" s="35">
        <f t="shared" si="22"/>
        <v>0.20319567839999997</v>
      </c>
      <c r="AY15" s="35">
        <f t="shared" si="22"/>
        <v>0.46391707397260273</v>
      </c>
      <c r="AZ15" s="42">
        <f t="shared" ref="AZ15:AZ17" si="44">I62/H62</f>
        <v>0.10272813164317772</v>
      </c>
      <c r="BA15" s="36">
        <f t="shared" ref="BA15:BA17" si="45">R62</f>
        <v>0.31314000000000003</v>
      </c>
      <c r="BB15" s="34">
        <f t="shared" si="23"/>
        <v>0.17940730388760676</v>
      </c>
      <c r="BC15" s="35">
        <f t="shared" si="24"/>
        <v>3.2693397000000002</v>
      </c>
      <c r="BD15" s="35">
        <f t="shared" si="24"/>
        <v>0.19616038199999999</v>
      </c>
      <c r="BE15" s="35">
        <f t="shared" si="24"/>
        <v>0.44785475342465758</v>
      </c>
      <c r="BF15" s="42">
        <f t="shared" ref="BF15:BF17" si="46">I76/H76</f>
        <v>9.2211234580487286E-2</v>
      </c>
      <c r="BG15" s="36">
        <f t="shared" ref="BG15:BG17" si="47">R76</f>
        <v>0.27134999999999998</v>
      </c>
      <c r="BH15" s="34">
        <f t="shared" si="25"/>
        <v>0.15698139090165592</v>
      </c>
      <c r="BI15" s="35">
        <f t="shared" si="26"/>
        <v>3.2801497300000002</v>
      </c>
      <c r="BJ15" s="35">
        <f t="shared" si="26"/>
        <v>0.1968089838</v>
      </c>
      <c r="BK15" s="35">
        <f t="shared" si="26"/>
        <v>0.44933557945205482</v>
      </c>
      <c r="BL15" s="42">
        <f t="shared" ref="BL15:BL17" si="48">I90/H90</f>
        <v>0.13188458320773058</v>
      </c>
      <c r="BM15" s="36">
        <f t="shared" ref="BM15:BM17" si="49">R90</f>
        <v>0.38938</v>
      </c>
      <c r="BN15" s="34">
        <f t="shared" si="27"/>
        <v>0.13953901413480524</v>
      </c>
      <c r="BO15" s="35">
        <f t="shared" si="28"/>
        <v>3.0122543000000008</v>
      </c>
      <c r="BP15" s="35">
        <f t="shared" si="28"/>
        <v>0.18073525800000004</v>
      </c>
      <c r="BQ15" s="35">
        <f t="shared" si="28"/>
        <v>0.41263757534246587</v>
      </c>
      <c r="BR15" s="42">
        <f t="shared" ref="BR15:BR17" si="50">I104/H104</f>
        <v>0.13106258990152322</v>
      </c>
      <c r="BS15" s="36">
        <f t="shared" ref="BS15:BS17" si="51">R104</f>
        <v>0.35535</v>
      </c>
      <c r="BT15" s="34">
        <f t="shared" si="29"/>
        <v>0.12558511272132472</v>
      </c>
      <c r="BU15" s="35">
        <f t="shared" si="30"/>
        <v>3.1588840800000009</v>
      </c>
      <c r="BV15" s="35">
        <f t="shared" si="30"/>
        <v>0.18953304480000005</v>
      </c>
      <c r="BW15" s="35">
        <f t="shared" si="30"/>
        <v>0.43272384657534257</v>
      </c>
      <c r="BX15" s="42">
        <f t="shared" ref="BX15:BX16" si="52">I118/H118</f>
        <v>0.11894009735235361</v>
      </c>
      <c r="BY15" s="36">
        <f t="shared" ref="BY15:BY16" si="53">R118</f>
        <v>0.33818000000000004</v>
      </c>
      <c r="BZ15" s="34">
        <f t="shared" si="31"/>
        <v>8.3723408480883152E-2</v>
      </c>
      <c r="CA15" s="35">
        <f t="shared" si="32"/>
        <v>2.7019964399999998</v>
      </c>
      <c r="CB15" s="35">
        <f t="shared" si="32"/>
        <v>0.16211978639999999</v>
      </c>
      <c r="CC15" s="35">
        <f t="shared" si="32"/>
        <v>0.37013649863013698</v>
      </c>
      <c r="CD15" s="42">
        <f t="shared" ref="CD15:CD18" si="54">I132/H132</f>
        <v>0.15676140195062582</v>
      </c>
      <c r="CE15" s="36">
        <f t="shared" ref="CE15:CE18" si="55">R132</f>
        <v>0.38124999999999998</v>
      </c>
      <c r="CF15" s="34">
        <f t="shared" si="33"/>
        <v>6.279255636066236E-2</v>
      </c>
      <c r="CG15" s="35">
        <f t="shared" si="34"/>
        <v>2.3485762300000004</v>
      </c>
      <c r="CH15" s="35">
        <f t="shared" si="34"/>
        <v>0.14091457380000003</v>
      </c>
      <c r="CI15" s="35">
        <f t="shared" si="34"/>
        <v>0.32172277123287679</v>
      </c>
      <c r="CJ15" s="42">
        <f t="shared" ref="CJ15:CJ18" si="56">I146/H146</f>
        <v>0.19839351350328535</v>
      </c>
      <c r="CK15" s="36">
        <f t="shared" ref="CK15:CK18" si="57">R146</f>
        <v>0.41938999999999999</v>
      </c>
      <c r="CL15" s="34">
        <f t="shared" si="35"/>
        <v>5.023404508852989E-2</v>
      </c>
      <c r="CM15" s="35">
        <f t="shared" si="36"/>
        <v>1.8683131499999999</v>
      </c>
      <c r="CN15" s="35">
        <f t="shared" si="36"/>
        <v>0.11209878899999999</v>
      </c>
      <c r="CO15" s="35">
        <f t="shared" si="36"/>
        <v>0.25593330821917809</v>
      </c>
      <c r="CP15" s="42">
        <f t="shared" ref="CP15:CP17" si="58">I160/H160</f>
        <v>0.30928552314690938</v>
      </c>
      <c r="CQ15" s="36">
        <f t="shared" ref="CQ15:CQ17" si="59">R160</f>
        <v>0.52011000000000007</v>
      </c>
    </row>
    <row r="16" spans="2:95" ht="15" thickTop="1" x14ac:dyDescent="0.3">
      <c r="X16" s="34">
        <f t="shared" si="12"/>
        <v>0.54170743836239332</v>
      </c>
      <c r="Y16" s="35">
        <f t="shared" si="13"/>
        <v>11.75368007</v>
      </c>
      <c r="Z16" s="35">
        <f t="shared" si="13"/>
        <v>0.7052208042</v>
      </c>
      <c r="AA16" s="35">
        <f t="shared" si="13"/>
        <v>1.6100931602739725</v>
      </c>
      <c r="AB16" s="42">
        <f t="shared" si="37"/>
        <v>2.9980046070796278E-2</v>
      </c>
      <c r="AC16" s="36">
        <f t="shared" si="14"/>
        <v>0.31717000000000001</v>
      </c>
      <c r="AD16" s="34">
        <f t="shared" si="15"/>
        <v>0.36113829224159549</v>
      </c>
      <c r="AE16" s="35">
        <f t="shared" si="16"/>
        <v>6.1843148399999999</v>
      </c>
      <c r="AF16" s="35">
        <f t="shared" si="16"/>
        <v>0.37105889039999995</v>
      </c>
      <c r="AG16" s="35">
        <f t="shared" si="16"/>
        <v>0.84716641643835622</v>
      </c>
      <c r="AH16" s="42">
        <f t="shared" si="38"/>
        <v>4.9760708819281269E-2</v>
      </c>
      <c r="AI16" s="36">
        <f t="shared" si="39"/>
        <v>0.27699000000000001</v>
      </c>
      <c r="AJ16" s="34">
        <f t="shared" si="17"/>
        <v>0.27085371918119666</v>
      </c>
      <c r="AK16" s="35">
        <f t="shared" si="18"/>
        <v>4.1180881500000002</v>
      </c>
      <c r="AL16" s="35">
        <f t="shared" si="18"/>
        <v>0.24708528900000001</v>
      </c>
      <c r="AM16" s="35">
        <f t="shared" si="18"/>
        <v>0.56412166438356171</v>
      </c>
      <c r="AN16" s="42">
        <f t="shared" si="40"/>
        <v>7.3033601769792136E-2</v>
      </c>
      <c r="AO16" s="36">
        <f t="shared" si="41"/>
        <v>0.27071000000000001</v>
      </c>
      <c r="AP16" s="34">
        <f t="shared" si="19"/>
        <v>0.21668297534495731</v>
      </c>
      <c r="AQ16" s="35">
        <f t="shared" si="20"/>
        <v>3.4372784600000004</v>
      </c>
      <c r="AR16" s="35">
        <f t="shared" si="20"/>
        <v>0.20623670760000001</v>
      </c>
      <c r="AS16" s="35">
        <f t="shared" si="20"/>
        <v>0.4708600630136987</v>
      </c>
      <c r="AT16" s="42">
        <f t="shared" si="42"/>
        <v>8.2508581513061341E-2</v>
      </c>
      <c r="AU16" s="36">
        <f t="shared" si="43"/>
        <v>0.25527</v>
      </c>
      <c r="AV16" s="34">
        <f t="shared" si="21"/>
        <v>0.18056914612079775</v>
      </c>
      <c r="AW16" s="35">
        <f t="shared" si="22"/>
        <v>3.3039251299999997</v>
      </c>
      <c r="AX16" s="35">
        <f t="shared" si="22"/>
        <v>0.19823550779999996</v>
      </c>
      <c r="AY16" s="35">
        <f t="shared" si="22"/>
        <v>0.45259248356164378</v>
      </c>
      <c r="AZ16" s="42">
        <f t="shared" si="44"/>
        <v>7.2680684504494206E-2</v>
      </c>
      <c r="BA16" s="36">
        <f t="shared" si="45"/>
        <v>0.21614</v>
      </c>
      <c r="BB16" s="34">
        <f t="shared" si="23"/>
        <v>0.15477355381782668</v>
      </c>
      <c r="BC16" s="35">
        <f t="shared" si="24"/>
        <v>3.0889577400000001</v>
      </c>
      <c r="BD16" s="35">
        <f t="shared" si="24"/>
        <v>0.18533746440000001</v>
      </c>
      <c r="BE16" s="35">
        <f t="shared" si="24"/>
        <v>0.42314489589041099</v>
      </c>
      <c r="BF16" s="42">
        <f t="shared" si="46"/>
        <v>8.8118719293323836E-2</v>
      </c>
      <c r="BG16" s="36">
        <f t="shared" si="47"/>
        <v>0.245</v>
      </c>
      <c r="BH16" s="34">
        <f t="shared" si="25"/>
        <v>0.13542685959059833</v>
      </c>
      <c r="BI16" s="35">
        <f t="shared" si="26"/>
        <v>2.9120643199999998</v>
      </c>
      <c r="BJ16" s="35">
        <f t="shared" si="26"/>
        <v>0.17472385919999997</v>
      </c>
      <c r="BK16" s="35">
        <f t="shared" si="26"/>
        <v>0.39891292054794519</v>
      </c>
      <c r="BL16" s="42">
        <f t="shared" si="48"/>
        <v>9.0182822610181915E-2</v>
      </c>
      <c r="BM16" s="36">
        <f t="shared" si="49"/>
        <v>0.23638000000000001</v>
      </c>
      <c r="BN16" s="34">
        <f t="shared" si="27"/>
        <v>0.12037943074719851</v>
      </c>
      <c r="BO16" s="35">
        <f t="shared" si="28"/>
        <v>2.8417935700000005</v>
      </c>
      <c r="BP16" s="35">
        <f t="shared" si="28"/>
        <v>0.17050761420000002</v>
      </c>
      <c r="BQ16" s="35">
        <f t="shared" si="28"/>
        <v>0.38928679041095898</v>
      </c>
      <c r="BR16" s="42">
        <f t="shared" si="50"/>
        <v>9.4950095196393858E-2</v>
      </c>
      <c r="BS16" s="36">
        <f t="shared" si="51"/>
        <v>0.24286999999999997</v>
      </c>
      <c r="BT16" s="34">
        <f t="shared" si="29"/>
        <v>0.10834148767247866</v>
      </c>
      <c r="BU16" s="35">
        <f t="shared" si="30"/>
        <v>2.7971424800000002</v>
      </c>
      <c r="BV16" s="35">
        <f t="shared" si="30"/>
        <v>0.1678285488</v>
      </c>
      <c r="BW16" s="35">
        <f t="shared" si="30"/>
        <v>0.38317020273972607</v>
      </c>
      <c r="BX16" s="42">
        <f t="shared" si="52"/>
        <v>0.10272155317593973</v>
      </c>
      <c r="BY16" s="36">
        <f t="shared" si="53"/>
        <v>0.25861999999999996</v>
      </c>
      <c r="BZ16" s="34">
        <f t="shared" si="31"/>
        <v>7.2227658448319104E-2</v>
      </c>
      <c r="CA16" s="35">
        <f t="shared" si="32"/>
        <v>2.6388805300000002</v>
      </c>
      <c r="CB16" s="35">
        <f t="shared" si="32"/>
        <v>0.15833283180000002</v>
      </c>
      <c r="CC16" s="35">
        <f t="shared" si="32"/>
        <v>0.36149048356164387</v>
      </c>
      <c r="CD16" s="42">
        <f t="shared" si="54"/>
        <v>0.25512897698328157</v>
      </c>
      <c r="CE16" s="36">
        <f t="shared" si="55"/>
        <v>0.60598999999999992</v>
      </c>
      <c r="CF16" s="34">
        <f t="shared" si="33"/>
        <v>5.4170743836239328E-2</v>
      </c>
      <c r="CG16" s="35">
        <f t="shared" si="34"/>
        <v>1.7092512799999995</v>
      </c>
      <c r="CH16" s="35">
        <f t="shared" si="34"/>
        <v>0.10255507679999996</v>
      </c>
      <c r="CI16" s="35">
        <f t="shared" si="34"/>
        <v>0.23414401095890405</v>
      </c>
      <c r="CJ16" s="42">
        <f t="shared" si="56"/>
        <v>0.20928448858613702</v>
      </c>
      <c r="CK16" s="36">
        <f t="shared" si="57"/>
        <v>0.32198000000000004</v>
      </c>
      <c r="CL16" s="34">
        <f t="shared" si="35"/>
        <v>4.3336595068991464E-2</v>
      </c>
      <c r="CM16" s="35">
        <f t="shared" si="36"/>
        <v>1.5112266400000005</v>
      </c>
      <c r="CN16" s="35">
        <f t="shared" si="36"/>
        <v>9.0673598400000027E-2</v>
      </c>
      <c r="CO16" s="35">
        <f t="shared" si="36"/>
        <v>0.20701734794520554</v>
      </c>
      <c r="CP16" s="42">
        <f t="shared" si="58"/>
        <v>0.21955684291007468</v>
      </c>
      <c r="CQ16" s="36">
        <f t="shared" si="59"/>
        <v>0.29865000000000003</v>
      </c>
    </row>
    <row r="17" spans="2:95" ht="15" thickBot="1" x14ac:dyDescent="0.35">
      <c r="X17" s="34">
        <f t="shared" si="12"/>
        <v>0.32809903578179561</v>
      </c>
      <c r="Y17" s="35">
        <f t="shared" si="13"/>
        <v>9.943016710000002</v>
      </c>
      <c r="Z17" s="35">
        <f t="shared" si="13"/>
        <v>0.59658100260000013</v>
      </c>
      <c r="AA17" s="35">
        <f t="shared" si="13"/>
        <v>1.3620570835616441</v>
      </c>
      <c r="AB17" s="42">
        <f t="shared" si="37"/>
        <v>2.4558612051251396E-2</v>
      </c>
      <c r="AC17" s="36">
        <f t="shared" si="14"/>
        <v>0.21979000000000001</v>
      </c>
      <c r="AD17" s="34">
        <f t="shared" si="15"/>
        <v>0.21873269052119707</v>
      </c>
      <c r="AE17" s="35">
        <f t="shared" si="16"/>
        <v>4.3144351800000003</v>
      </c>
      <c r="AF17" s="35">
        <f t="shared" si="16"/>
        <v>0.25886611079999999</v>
      </c>
      <c r="AG17" s="35">
        <f t="shared" si="16"/>
        <v>0.59101851780821923</v>
      </c>
      <c r="AH17" s="42">
        <f t="shared" si="38"/>
        <v>3.9110259619197701E-2</v>
      </c>
      <c r="AI17" s="36">
        <f t="shared" si="39"/>
        <v>0.15187999999999999</v>
      </c>
      <c r="AJ17" s="34">
        <f t="shared" si="17"/>
        <v>0.16404951789089781</v>
      </c>
      <c r="AK17" s="35">
        <f t="shared" si="18"/>
        <v>2.9077758600000001</v>
      </c>
      <c r="AL17" s="35">
        <f t="shared" si="18"/>
        <v>0.17446655159999999</v>
      </c>
      <c r="AM17" s="35">
        <f t="shared" si="18"/>
        <v>0.39832546027397264</v>
      </c>
      <c r="AN17" s="42">
        <f t="shared" si="40"/>
        <v>5.5088145617936318E-2</v>
      </c>
      <c r="AO17" s="36">
        <f t="shared" si="41"/>
        <v>0.14418</v>
      </c>
      <c r="AP17" s="34">
        <f t="shared" si="19"/>
        <v>0.13123961431271824</v>
      </c>
      <c r="AQ17" s="35">
        <f t="shared" si="20"/>
        <v>2.4744636399999997</v>
      </c>
      <c r="AR17" s="35">
        <f t="shared" si="20"/>
        <v>0.14846781839999998</v>
      </c>
      <c r="AS17" s="35">
        <f t="shared" si="20"/>
        <v>0.33896762191780822</v>
      </c>
      <c r="AT17" s="42">
        <f t="shared" si="42"/>
        <v>6.0806199601300272E-2</v>
      </c>
      <c r="AU17" s="36">
        <f t="shared" si="43"/>
        <v>0.13542999999999999</v>
      </c>
      <c r="AV17" s="34">
        <f t="shared" si="21"/>
        <v>0.10936634526059853</v>
      </c>
      <c r="AW17" s="35">
        <f t="shared" si="22"/>
        <v>1.8866890900000002</v>
      </c>
      <c r="AX17" s="35">
        <f t="shared" si="22"/>
        <v>0.1132013454</v>
      </c>
      <c r="AY17" s="35">
        <f t="shared" si="22"/>
        <v>0.25845056027397262</v>
      </c>
      <c r="AZ17" s="42">
        <f t="shared" si="44"/>
        <v>7.0056942980467454E-2</v>
      </c>
      <c r="BA17" s="36">
        <f t="shared" si="45"/>
        <v>0.11897000000000001</v>
      </c>
      <c r="BB17" s="34">
        <f t="shared" si="23"/>
        <v>9.3742581651941603E-2</v>
      </c>
      <c r="BC17" s="35">
        <f t="shared" si="24"/>
        <v>1.55058937</v>
      </c>
      <c r="BD17" s="35">
        <f t="shared" si="24"/>
        <v>9.3035362199999999E-2</v>
      </c>
      <c r="BE17" s="35">
        <f t="shared" si="24"/>
        <v>0.21240950273972603</v>
      </c>
      <c r="BF17" s="42">
        <f t="shared" si="46"/>
        <v>0.10759706807483145</v>
      </c>
      <c r="BG17" s="36">
        <f t="shared" si="47"/>
        <v>0.15017</v>
      </c>
      <c r="BH17" s="34">
        <f t="shared" si="25"/>
        <v>8.2024758945448903E-2</v>
      </c>
      <c r="BI17" s="35">
        <f t="shared" si="26"/>
        <v>1.47105288</v>
      </c>
      <c r="BJ17" s="35">
        <f t="shared" si="26"/>
        <v>8.8263172799999998E-2</v>
      </c>
      <c r="BK17" s="35">
        <f t="shared" si="26"/>
        <v>0.20151409315068494</v>
      </c>
      <c r="BL17" s="42">
        <f t="shared" si="48"/>
        <v>0.12078575312669929</v>
      </c>
      <c r="BM17" s="36">
        <f t="shared" si="49"/>
        <v>0.15992999999999999</v>
      </c>
      <c r="BN17" s="34">
        <f t="shared" si="27"/>
        <v>7.2910896840399017E-2</v>
      </c>
      <c r="BO17" s="35">
        <f t="shared" si="28"/>
        <v>0.8330278000000001</v>
      </c>
      <c r="BP17" s="35">
        <f t="shared" si="28"/>
        <v>4.9981668000000007E-2</v>
      </c>
      <c r="BQ17" s="35">
        <f t="shared" si="28"/>
        <v>0.11411339726027399</v>
      </c>
      <c r="BR17" s="42">
        <f t="shared" si="50"/>
        <v>0.16739130434782606</v>
      </c>
      <c r="BS17" s="36">
        <f t="shared" si="51"/>
        <v>0.12550999999999998</v>
      </c>
      <c r="BT17" s="34"/>
      <c r="BU17" s="35"/>
      <c r="BV17" s="35"/>
      <c r="BW17" s="35"/>
      <c r="BX17" s="42"/>
      <c r="BY17" s="36"/>
      <c r="BZ17" s="34">
        <f t="shared" si="31"/>
        <v>4.374653810423941E-2</v>
      </c>
      <c r="CA17" s="35">
        <f t="shared" si="32"/>
        <v>1.9952560100000003</v>
      </c>
      <c r="CB17" s="35">
        <f t="shared" si="32"/>
        <v>0.11971536060000001</v>
      </c>
      <c r="CC17" s="35">
        <f t="shared" si="32"/>
        <v>0.27332274109589044</v>
      </c>
      <c r="CD17" s="42">
        <f t="shared" si="54"/>
        <v>6.7213835882644443E-2</v>
      </c>
      <c r="CE17" s="36">
        <f t="shared" si="55"/>
        <v>0.12070999999999998</v>
      </c>
      <c r="CF17" s="34">
        <f t="shared" si="33"/>
        <v>3.2809903578179561E-2</v>
      </c>
      <c r="CG17" s="35">
        <f t="shared" si="34"/>
        <v>1.8441044600000005</v>
      </c>
      <c r="CH17" s="35">
        <f t="shared" si="34"/>
        <v>0.11064626760000003</v>
      </c>
      <c r="CI17" s="35">
        <f t="shared" si="34"/>
        <v>0.25261704931506856</v>
      </c>
      <c r="CJ17" s="42">
        <f t="shared" si="56"/>
        <v>0.11262395623727303</v>
      </c>
      <c r="CK17" s="36">
        <f t="shared" si="57"/>
        <v>0.18694000000000002</v>
      </c>
      <c r="CL17" s="34">
        <f t="shared" si="35"/>
        <v>2.6247922862543648E-2</v>
      </c>
      <c r="CM17" s="35">
        <f t="shared" si="36"/>
        <v>1.2255218800000001</v>
      </c>
      <c r="CN17" s="35">
        <f t="shared" si="36"/>
        <v>7.3531312799999998E-2</v>
      </c>
      <c r="CO17" s="35">
        <f t="shared" si="36"/>
        <v>0.16787970958904111</v>
      </c>
      <c r="CP17" s="42">
        <f t="shared" si="58"/>
        <v>9.6012981832686639E-2</v>
      </c>
      <c r="CQ17" s="36">
        <f t="shared" si="59"/>
        <v>0.10590999999999999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0.23713795720148326</v>
      </c>
      <c r="Y18" s="35">
        <f t="shared" si="13"/>
        <v>6.9231298400000005</v>
      </c>
      <c r="Z18" s="35">
        <f t="shared" si="13"/>
        <v>0.41538779040000001</v>
      </c>
      <c r="AA18" s="35">
        <f t="shared" si="13"/>
        <v>0.94837395068493158</v>
      </c>
      <c r="AB18" s="42">
        <f t="shared" si="37"/>
        <v>2.4308987970677726E-2</v>
      </c>
      <c r="AC18" s="36">
        <f t="shared" si="14"/>
        <v>0.15148</v>
      </c>
      <c r="AD18" s="34">
        <f t="shared" si="15"/>
        <v>0.1580919714676555</v>
      </c>
      <c r="AE18" s="35">
        <f t="shared" si="16"/>
        <v>4.7005743400000002</v>
      </c>
      <c r="AF18" s="35">
        <f t="shared" si="16"/>
        <v>0.28203446040000002</v>
      </c>
      <c r="AG18" s="35">
        <f t="shared" si="16"/>
        <v>0.64391429315068494</v>
      </c>
      <c r="AH18" s="42">
        <f t="shared" si="38"/>
        <v>2.9553716195455385E-2</v>
      </c>
      <c r="AI18" s="36">
        <f t="shared" si="39"/>
        <v>0.12504000000000001</v>
      </c>
      <c r="AJ18" s="34">
        <f t="shared" si="17"/>
        <v>0.11856897860074163</v>
      </c>
      <c r="AK18" s="35">
        <f t="shared" si="18"/>
        <v>2.9700918500000002</v>
      </c>
      <c r="AL18" s="35">
        <f t="shared" si="18"/>
        <v>0.17820551100000001</v>
      </c>
      <c r="AM18" s="35">
        <f t="shared" si="18"/>
        <v>0.406861897260274</v>
      </c>
      <c r="AN18" s="42">
        <f t="shared" si="40"/>
        <v>4.2590756915480574E-2</v>
      </c>
      <c r="AO18" s="36">
        <f t="shared" si="41"/>
        <v>0.11385999999999999</v>
      </c>
      <c r="AP18" s="34">
        <f t="shared" si="19"/>
        <v>9.4855182880593289E-2</v>
      </c>
      <c r="AQ18" s="35">
        <f t="shared" si="20"/>
        <v>1.9673921300000001</v>
      </c>
      <c r="AR18" s="35">
        <f t="shared" si="20"/>
        <v>0.11804352780000001</v>
      </c>
      <c r="AS18" s="35">
        <f t="shared" si="20"/>
        <v>0.26950577123287672</v>
      </c>
      <c r="AT18" s="42">
        <f t="shared" si="42"/>
        <v>6.0451878497653648E-2</v>
      </c>
      <c r="AU18" s="36">
        <f t="shared" si="43"/>
        <v>0.10705000000000001</v>
      </c>
      <c r="AV18" s="34"/>
      <c r="AW18" s="35"/>
      <c r="AX18" s="35"/>
      <c r="AY18" s="35"/>
      <c r="AZ18" s="42"/>
      <c r="BA18" s="36"/>
      <c r="BB18" s="34"/>
      <c r="BC18" s="35"/>
      <c r="BD18" s="35"/>
      <c r="BE18" s="35"/>
      <c r="BF18" s="42"/>
      <c r="BG18" s="36"/>
      <c r="BH18" s="34"/>
      <c r="BI18" s="35"/>
      <c r="BJ18" s="35"/>
      <c r="BK18" s="35"/>
      <c r="BL18" s="42"/>
      <c r="BM18" s="36"/>
      <c r="BN18" s="34"/>
      <c r="BO18" s="35"/>
      <c r="BP18" s="35"/>
      <c r="BQ18" s="35"/>
      <c r="BR18" s="42"/>
      <c r="BS18" s="36"/>
      <c r="BT18" s="34"/>
      <c r="BU18" s="35"/>
      <c r="BV18" s="35"/>
      <c r="BW18" s="35"/>
      <c r="BX18" s="42"/>
      <c r="BY18" s="36"/>
      <c r="BZ18" s="34">
        <f t="shared" si="31"/>
        <v>3.1618394293531096E-2</v>
      </c>
      <c r="CA18" s="35">
        <f t="shared" si="32"/>
        <v>1.3219677900000004</v>
      </c>
      <c r="CB18" s="35">
        <f t="shared" si="32"/>
        <v>7.9318067400000025E-2</v>
      </c>
      <c r="CC18" s="35">
        <f t="shared" si="32"/>
        <v>0.18109147808219184</v>
      </c>
      <c r="CD18" s="42">
        <f t="shared" si="54"/>
        <v>9.2277437410180754E-2</v>
      </c>
      <c r="CE18" s="36">
        <f t="shared" si="55"/>
        <v>0.10979999999999999</v>
      </c>
      <c r="CF18" s="34">
        <f t="shared" si="33"/>
        <v>2.3713795720148322E-2</v>
      </c>
      <c r="CG18" s="35">
        <f t="shared" si="34"/>
        <v>1.27760556</v>
      </c>
      <c r="CH18" s="35">
        <f t="shared" si="34"/>
        <v>7.6656333600000001E-2</v>
      </c>
      <c r="CI18" s="35">
        <f t="shared" si="34"/>
        <v>0.17501446027397261</v>
      </c>
      <c r="CJ18" s="42">
        <f t="shared" si="56"/>
        <v>7.4533027235729951E-2</v>
      </c>
      <c r="CK18" s="36">
        <f t="shared" si="57"/>
        <v>8.5710000000000008E-2</v>
      </c>
      <c r="CL18" s="34"/>
      <c r="CM18" s="35"/>
      <c r="CN18" s="35"/>
      <c r="CO18" s="35"/>
      <c r="CP18" s="42"/>
      <c r="CQ18" s="36"/>
    </row>
    <row r="19" spans="2:95" ht="15" thickTop="1" x14ac:dyDescent="0.3">
      <c r="B19">
        <v>1</v>
      </c>
      <c r="C19">
        <v>-975.9</v>
      </c>
      <c r="D19">
        <v>50455.6</v>
      </c>
      <c r="E19">
        <v>3386.4</v>
      </c>
      <c r="F19">
        <f t="shared" ref="F19:F29" si="60">D19/10000</f>
        <v>5.04556</v>
      </c>
      <c r="G19">
        <f t="shared" ref="G19:G29" si="61">C19/10000</f>
        <v>-9.7589999999999996E-2</v>
      </c>
      <c r="H19">
        <f t="shared" ref="H19:H29" si="62">F19-G19</f>
        <v>5.1431500000000003</v>
      </c>
      <c r="I19">
        <f>E19/10000</f>
        <v>0.33864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0.47192667271442057</v>
      </c>
      <c r="P19" s="2">
        <v>3</v>
      </c>
      <c r="Q19" s="8">
        <f>H19</f>
        <v>5.1431500000000003</v>
      </c>
      <c r="R19" s="8">
        <f>I19</f>
        <v>0.33864</v>
      </c>
      <c r="S19" s="8">
        <f>Q19/10^6*$Z$4*$Z$3/P19*10^12</f>
        <v>5.7140396500000001</v>
      </c>
      <c r="T19" s="8">
        <f>S19*0.06</f>
        <v>0.34284237899999997</v>
      </c>
      <c r="U19" s="8">
        <f>S19/$Z$1</f>
        <v>0.78274515753424656</v>
      </c>
      <c r="V19" s="12">
        <f t="shared" ref="V19:V29" si="63">O19</f>
        <v>0.47192667271442057</v>
      </c>
      <c r="W19" s="19"/>
      <c r="X19" s="34">
        <f t="shared" si="12"/>
        <v>0.16414513043562737</v>
      </c>
      <c r="Y19" s="35">
        <f t="shared" si="13"/>
        <v>4.8733626150000013</v>
      </c>
      <c r="Z19" s="35">
        <f t="shared" si="13"/>
        <v>0.29240175690000009</v>
      </c>
      <c r="AA19" s="35">
        <f t="shared" si="13"/>
        <v>0.66758391986301391</v>
      </c>
      <c r="AB19" s="42">
        <f t="shared" si="37"/>
        <v>2.6392550721366748E-2</v>
      </c>
      <c r="AC19" s="36">
        <f t="shared" si="14"/>
        <v>0.15436</v>
      </c>
      <c r="AD19" s="34">
        <f t="shared" si="15"/>
        <v>0.10943008695708491</v>
      </c>
      <c r="AE19" s="35">
        <f t="shared" si="16"/>
        <v>2.7220027724999998</v>
      </c>
      <c r="AF19" s="35">
        <f t="shared" si="16"/>
        <v>0.16332016634999999</v>
      </c>
      <c r="AG19" s="35">
        <f t="shared" si="16"/>
        <v>0.37287709212328762</v>
      </c>
      <c r="AH19" s="42">
        <f t="shared" si="38"/>
        <v>8.3897353010502856E-2</v>
      </c>
      <c r="AI19" s="36">
        <f t="shared" si="39"/>
        <v>0.27406999999999998</v>
      </c>
      <c r="AJ19" s="34">
        <f t="shared" si="17"/>
        <v>8.2072565217813684E-2</v>
      </c>
      <c r="AK19" s="35">
        <f t="shared" si="18"/>
        <v>0.29957420625000003</v>
      </c>
      <c r="AL19" s="35">
        <f t="shared" si="18"/>
        <v>1.7974452375000002E-2</v>
      </c>
      <c r="AM19" s="35">
        <f t="shared" si="18"/>
        <v>4.1037562500000006E-2</v>
      </c>
      <c r="AN19" s="42">
        <f t="shared" si="40"/>
        <v>1.1990821222446284</v>
      </c>
      <c r="AO19" s="36">
        <f t="shared" si="41"/>
        <v>0.43109999999999998</v>
      </c>
      <c r="AP19" s="34"/>
      <c r="AQ19" s="35"/>
      <c r="AR19" s="35"/>
      <c r="AS19" s="35"/>
      <c r="AT19" s="42"/>
      <c r="AU19" s="36"/>
      <c r="AV19" s="34"/>
      <c r="AW19" s="35"/>
      <c r="AX19" s="35"/>
      <c r="AY19" s="35"/>
      <c r="AZ19" s="42"/>
      <c r="BA19" s="36"/>
      <c r="BB19" s="34"/>
      <c r="BC19" s="35"/>
      <c r="BD19" s="35"/>
      <c r="BE19" s="35"/>
      <c r="BF19" s="42"/>
      <c r="BG19" s="36"/>
      <c r="BH19" s="34"/>
      <c r="BI19" s="35"/>
      <c r="BJ19" s="35"/>
      <c r="BK19" s="35"/>
      <c r="BL19" s="42"/>
      <c r="BM19" s="36"/>
      <c r="BN19" s="34"/>
      <c r="BO19" s="35"/>
      <c r="BP19" s="35"/>
      <c r="BQ19" s="35"/>
      <c r="BR19" s="42"/>
      <c r="BS19" s="36"/>
      <c r="BT19" s="34"/>
      <c r="BU19" s="35"/>
      <c r="BV19" s="35"/>
      <c r="BW19" s="35"/>
      <c r="BX19" s="42"/>
      <c r="BY19" s="36"/>
      <c r="BZ19" s="34"/>
      <c r="CA19" s="35"/>
      <c r="CB19" s="35"/>
      <c r="CC19" s="35"/>
      <c r="CD19" s="42"/>
      <c r="CE19" s="36"/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-315.7</v>
      </c>
      <c r="D20">
        <v>53096.2</v>
      </c>
      <c r="E20">
        <v>3205.9</v>
      </c>
      <c r="F20">
        <f t="shared" si="60"/>
        <v>5.3096199999999998</v>
      </c>
      <c r="G20">
        <f t="shared" si="61"/>
        <v>-3.1570000000000001E-2</v>
      </c>
      <c r="H20">
        <f t="shared" si="62"/>
        <v>5.3411900000000001</v>
      </c>
      <c r="I20">
        <f t="shared" ref="I20:I29" si="64">E20/10000</f>
        <v>0.32058999999999999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0.41861704240441577</v>
      </c>
      <c r="P20" s="4">
        <v>3</v>
      </c>
      <c r="Q20" s="5">
        <f t="shared" ref="Q20:R29" si="67">H20</f>
        <v>5.3411900000000001</v>
      </c>
      <c r="R20" s="5">
        <f t="shared" si="67"/>
        <v>0.32058999999999999</v>
      </c>
      <c r="S20" s="5">
        <f t="shared" ref="S20:S29" si="68">Q20/10^6*$Z$4*$Z$3/P20*10^12</f>
        <v>5.9340620900000012</v>
      </c>
      <c r="T20" s="5">
        <f t="shared" ref="T20:T29" si="69">S20*0.06</f>
        <v>0.35604372540000007</v>
      </c>
      <c r="U20" s="5">
        <f t="shared" ref="U20:U29" si="70">S20/$Z$1</f>
        <v>0.81288521780821932</v>
      </c>
      <c r="V20" s="5">
        <f t="shared" si="63"/>
        <v>0.41861704240441577</v>
      </c>
      <c r="W20" s="19"/>
      <c r="X20" s="34">
        <f t="shared" si="12"/>
        <v>0.11866316280036333</v>
      </c>
      <c r="Y20" s="35">
        <f t="shared" si="13"/>
        <v>0.80308634999999995</v>
      </c>
      <c r="Z20" s="35">
        <f t="shared" si="13"/>
        <v>4.8185180999999994E-2</v>
      </c>
      <c r="AA20" s="35">
        <f t="shared" si="13"/>
        <v>0.11001182876712329</v>
      </c>
      <c r="AB20" s="42">
        <f t="shared" si="37"/>
        <v>0.67387424776924676</v>
      </c>
      <c r="AC20" s="36">
        <f t="shared" si="14"/>
        <v>0.64948000000000006</v>
      </c>
      <c r="AD20" s="34"/>
      <c r="AE20" s="35"/>
      <c r="AF20" s="35"/>
      <c r="AG20" s="35"/>
      <c r="AH20" s="42"/>
      <c r="AI20" s="36"/>
      <c r="AJ20" s="34"/>
      <c r="AK20" s="35"/>
      <c r="AL20" s="35"/>
      <c r="AM20" s="35"/>
      <c r="AN20" s="42"/>
      <c r="AO20" s="36"/>
      <c r="AP20" s="34"/>
      <c r="AQ20" s="35"/>
      <c r="AR20" s="35"/>
      <c r="AS20" s="35"/>
      <c r="AT20" s="42"/>
      <c r="AU20" s="36"/>
      <c r="AV20" s="34"/>
      <c r="AW20" s="35"/>
      <c r="AX20" s="35"/>
      <c r="AY20" s="35"/>
      <c r="AZ20" s="42"/>
      <c r="BA20" s="36"/>
      <c r="BB20" s="34"/>
      <c r="BC20" s="35"/>
      <c r="BD20" s="35"/>
      <c r="BE20" s="35"/>
      <c r="BF20" s="42"/>
      <c r="BG20" s="36"/>
      <c r="BH20" s="34"/>
      <c r="BI20" s="35"/>
      <c r="BJ20" s="35"/>
      <c r="BK20" s="35"/>
      <c r="BL20" s="42"/>
      <c r="BM20" s="36"/>
      <c r="BN20" s="34"/>
      <c r="BO20" s="35"/>
      <c r="BP20" s="35"/>
      <c r="BQ20" s="35"/>
      <c r="BR20" s="42"/>
      <c r="BS20" s="36"/>
      <c r="BT20" s="34"/>
      <c r="BU20" s="35"/>
      <c r="BV20" s="35"/>
      <c r="BW20" s="35"/>
      <c r="BX20" s="42"/>
      <c r="BY20" s="36"/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706.1</v>
      </c>
      <c r="D21">
        <v>56370.5</v>
      </c>
      <c r="E21">
        <v>2769.9</v>
      </c>
      <c r="F21">
        <f t="shared" si="60"/>
        <v>5.6370500000000003</v>
      </c>
      <c r="G21">
        <f t="shared" si="61"/>
        <v>7.0610000000000006E-2</v>
      </c>
      <c r="H21">
        <f t="shared" si="62"/>
        <v>5.5664400000000001</v>
      </c>
      <c r="I21">
        <f t="shared" si="64"/>
        <v>0.27699000000000001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0.36113829224159549</v>
      </c>
      <c r="P21" s="4">
        <v>3</v>
      </c>
      <c r="Q21" s="5">
        <f t="shared" si="67"/>
        <v>5.5664400000000001</v>
      </c>
      <c r="R21" s="5">
        <f t="shared" si="67"/>
        <v>0.27699000000000001</v>
      </c>
      <c r="S21" s="5">
        <f t="shared" si="68"/>
        <v>6.1843148399999999</v>
      </c>
      <c r="T21" s="5">
        <f t="shared" si="69"/>
        <v>0.37105889039999995</v>
      </c>
      <c r="U21" s="5">
        <f t="shared" si="70"/>
        <v>0.84716641643835622</v>
      </c>
      <c r="V21" s="5">
        <f t="shared" si="63"/>
        <v>0.36113829224159549</v>
      </c>
      <c r="W21" s="19"/>
      <c r="X21" s="34"/>
      <c r="Y21" s="35"/>
      <c r="Z21" s="35"/>
      <c r="AA21" s="35"/>
      <c r="AB21" s="42"/>
      <c r="AC21" s="36"/>
      <c r="AD21" s="34"/>
      <c r="AE21" s="35"/>
      <c r="AF21" s="35"/>
      <c r="AG21" s="35"/>
      <c r="AH21" s="42"/>
      <c r="AI21" s="36"/>
      <c r="AJ21" s="34"/>
      <c r="AK21" s="35"/>
      <c r="AL21" s="35"/>
      <c r="AM21" s="35"/>
      <c r="AN21" s="42"/>
      <c r="AO21" s="36"/>
      <c r="AP21" s="34"/>
      <c r="AQ21" s="35"/>
      <c r="AR21" s="35"/>
      <c r="AS21" s="35"/>
      <c r="AT21" s="42"/>
      <c r="AU21" s="36"/>
      <c r="AV21" s="34"/>
      <c r="AW21" s="35"/>
      <c r="AX21" s="35"/>
      <c r="AY21" s="35"/>
      <c r="AZ21" s="42"/>
      <c r="BA21" s="36"/>
      <c r="BB21" s="34"/>
      <c r="BC21" s="35"/>
      <c r="BD21" s="35"/>
      <c r="BE21" s="35"/>
      <c r="BF21" s="42"/>
      <c r="BG21" s="36"/>
      <c r="BH21" s="34"/>
      <c r="BI21" s="35"/>
      <c r="BJ21" s="35"/>
      <c r="BK21" s="35"/>
      <c r="BL21" s="42"/>
      <c r="BM21" s="36"/>
      <c r="BN21" s="34"/>
      <c r="BO21" s="35"/>
      <c r="BP21" s="35"/>
      <c r="BQ21" s="35"/>
      <c r="BR21" s="42"/>
      <c r="BS21" s="36"/>
      <c r="BT21" s="34"/>
      <c r="BU21" s="35"/>
      <c r="BV21" s="35"/>
      <c r="BW21" s="35"/>
      <c r="BX21" s="42"/>
      <c r="BY21" s="36"/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307.5</v>
      </c>
      <c r="D22">
        <v>39141.300000000003</v>
      </c>
      <c r="E22">
        <v>1518.8</v>
      </c>
      <c r="F22">
        <f t="shared" si="60"/>
        <v>3.9141300000000001</v>
      </c>
      <c r="G22">
        <f t="shared" si="61"/>
        <v>3.075E-2</v>
      </c>
      <c r="H22">
        <f t="shared" si="62"/>
        <v>3.8833800000000003</v>
      </c>
      <c r="I22">
        <f t="shared" si="64"/>
        <v>0.15187999999999999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0.21873269052119707</v>
      </c>
      <c r="P22" s="4">
        <v>3</v>
      </c>
      <c r="Q22" s="5">
        <f t="shared" si="67"/>
        <v>3.8833800000000003</v>
      </c>
      <c r="R22" s="5">
        <f t="shared" si="67"/>
        <v>0.15187999999999999</v>
      </c>
      <c r="S22" s="5">
        <f t="shared" si="68"/>
        <v>4.3144351800000003</v>
      </c>
      <c r="T22" s="5">
        <f t="shared" si="69"/>
        <v>0.25886611079999999</v>
      </c>
      <c r="U22" s="5">
        <f t="shared" si="70"/>
        <v>0.59101851780821923</v>
      </c>
      <c r="V22" s="5">
        <f t="shared" si="63"/>
        <v>0.21873269052119707</v>
      </c>
      <c r="W22" s="19"/>
      <c r="X22" s="34"/>
      <c r="Y22" s="35"/>
      <c r="Z22" s="35"/>
      <c r="AA22" s="35"/>
      <c r="AB22" s="42"/>
      <c r="AC22" s="36"/>
      <c r="AD22" s="34"/>
      <c r="AE22" s="35"/>
      <c r="AF22" s="35"/>
      <c r="AG22" s="35"/>
      <c r="AH22" s="42"/>
      <c r="AI22" s="36"/>
      <c r="AJ22" s="34"/>
      <c r="AK22" s="35"/>
      <c r="AL22" s="35"/>
      <c r="AM22" s="35"/>
      <c r="AN22" s="42"/>
      <c r="AO22" s="36"/>
      <c r="AP22" s="34"/>
      <c r="AQ22" s="35"/>
      <c r="AR22" s="35"/>
      <c r="AS22" s="35"/>
      <c r="AT22" s="42"/>
      <c r="AU22" s="36"/>
      <c r="AV22" s="34"/>
      <c r="AW22" s="35"/>
      <c r="AX22" s="35"/>
      <c r="AY22" s="35"/>
      <c r="AZ22" s="42"/>
      <c r="BA22" s="36"/>
      <c r="BB22" s="34"/>
      <c r="BC22" s="35"/>
      <c r="BD22" s="35"/>
      <c r="BE22" s="35"/>
      <c r="BF22" s="42"/>
      <c r="BG22" s="36"/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-3506.6</v>
      </c>
      <c r="D23">
        <v>38802.800000000003</v>
      </c>
      <c r="E23">
        <v>1250.4000000000001</v>
      </c>
      <c r="F23">
        <f t="shared" si="60"/>
        <v>3.8802800000000004</v>
      </c>
      <c r="G23">
        <f t="shared" si="61"/>
        <v>-0.35065999999999997</v>
      </c>
      <c r="H23">
        <f t="shared" si="62"/>
        <v>4.2309400000000004</v>
      </c>
      <c r="I23">
        <f t="shared" si="64"/>
        <v>0.12504000000000001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0.1580919714676555</v>
      </c>
      <c r="P23" s="4">
        <v>3</v>
      </c>
      <c r="Q23" s="5">
        <f t="shared" si="67"/>
        <v>4.2309400000000004</v>
      </c>
      <c r="R23" s="5">
        <f t="shared" si="67"/>
        <v>0.12504000000000001</v>
      </c>
      <c r="S23" s="5">
        <f t="shared" si="68"/>
        <v>4.7005743400000002</v>
      </c>
      <c r="T23" s="5">
        <f t="shared" si="69"/>
        <v>0.28203446040000002</v>
      </c>
      <c r="U23" s="5">
        <f t="shared" si="70"/>
        <v>0.64391429315068494</v>
      </c>
      <c r="V23" s="5">
        <f t="shared" si="63"/>
        <v>0.1580919714676555</v>
      </c>
      <c r="W23" s="19"/>
      <c r="X23" s="34"/>
      <c r="Y23" s="35"/>
      <c r="Z23" s="35"/>
      <c r="AA23" s="35"/>
      <c r="AB23" s="42"/>
      <c r="AC23" s="36"/>
      <c r="AD23" s="34"/>
      <c r="AE23" s="35"/>
      <c r="AF23" s="35"/>
      <c r="AG23" s="35"/>
      <c r="AH23" s="42"/>
      <c r="AI23" s="36"/>
      <c r="AJ23" s="34"/>
      <c r="AK23" s="35"/>
      <c r="AL23" s="35"/>
      <c r="AM23" s="35"/>
      <c r="AN23" s="42"/>
      <c r="AO23" s="36"/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-2686.2</v>
      </c>
      <c r="D24">
        <v>29981.1</v>
      </c>
      <c r="E24">
        <v>2740.7</v>
      </c>
      <c r="F24">
        <f t="shared" si="60"/>
        <v>2.9981100000000001</v>
      </c>
      <c r="G24">
        <f t="shared" si="61"/>
        <v>-0.26861999999999997</v>
      </c>
      <c r="H24">
        <f t="shared" si="62"/>
        <v>3.2667299999999999</v>
      </c>
      <c r="I24">
        <f t="shared" si="64"/>
        <v>0.27406999999999998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0.10943008695708491</v>
      </c>
      <c r="P24" s="4">
        <v>4</v>
      </c>
      <c r="Q24" s="5">
        <f t="shared" si="67"/>
        <v>3.2667299999999999</v>
      </c>
      <c r="R24" s="5">
        <f t="shared" si="67"/>
        <v>0.27406999999999998</v>
      </c>
      <c r="S24" s="5">
        <f t="shared" si="68"/>
        <v>2.7220027724999998</v>
      </c>
      <c r="T24" s="5">
        <f t="shared" si="69"/>
        <v>0.16332016634999999</v>
      </c>
      <c r="U24" s="5">
        <f t="shared" si="70"/>
        <v>0.37287709212328762</v>
      </c>
      <c r="V24" s="5">
        <f t="shared" si="63"/>
        <v>0.10943008695708491</v>
      </c>
      <c r="W24" s="19"/>
      <c r="X24" s="37"/>
      <c r="Y24" s="38"/>
      <c r="Z24" s="38"/>
      <c r="AA24" s="38"/>
      <c r="AB24" s="43"/>
      <c r="AC24" s="39"/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0</v>
      </c>
      <c r="D25">
        <v>0</v>
      </c>
      <c r="E25">
        <v>0</v>
      </c>
      <c r="F25">
        <f t="shared" si="60"/>
        <v>0</v>
      </c>
      <c r="G25">
        <f t="shared" si="61"/>
        <v>0</v>
      </c>
      <c r="H25">
        <f t="shared" si="62"/>
        <v>0</v>
      </c>
      <c r="I25">
        <f t="shared" si="64"/>
        <v>0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7.9108775200242218E-2</v>
      </c>
      <c r="P25" s="4">
        <v>4</v>
      </c>
      <c r="Q25" s="5">
        <f t="shared" si="67"/>
        <v>0</v>
      </c>
      <c r="R25" s="5">
        <f t="shared" si="67"/>
        <v>0</v>
      </c>
      <c r="S25" s="5">
        <f t="shared" si="68"/>
        <v>0</v>
      </c>
      <c r="T25" s="5">
        <f t="shared" si="69"/>
        <v>0</v>
      </c>
      <c r="U25" s="5">
        <f t="shared" si="70"/>
        <v>0</v>
      </c>
      <c r="V25" s="5">
        <f t="shared" si="63"/>
        <v>7.9108775200242218E-2</v>
      </c>
      <c r="W25" s="19"/>
      <c r="X25" s="20"/>
      <c r="Y25" s="21"/>
      <c r="Z25" s="18"/>
    </row>
    <row r="26" spans="2:95" x14ac:dyDescent="0.3">
      <c r="B26">
        <v>8</v>
      </c>
      <c r="C26">
        <v>0</v>
      </c>
      <c r="D26">
        <v>0</v>
      </c>
      <c r="E26">
        <v>0</v>
      </c>
      <c r="F26">
        <f t="shared" si="60"/>
        <v>0</v>
      </c>
      <c r="G26">
        <f t="shared" si="61"/>
        <v>0</v>
      </c>
      <c r="H26">
        <f t="shared" si="62"/>
        <v>0</v>
      </c>
      <c r="I26">
        <f t="shared" si="64"/>
        <v>0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6.6341851411621883E-2</v>
      </c>
      <c r="P26" s="4">
        <v>5</v>
      </c>
      <c r="Q26" s="5">
        <f t="shared" si="67"/>
        <v>0</v>
      </c>
      <c r="R26" s="5">
        <f t="shared" si="67"/>
        <v>0</v>
      </c>
      <c r="S26" s="5">
        <f t="shared" si="68"/>
        <v>0</v>
      </c>
      <c r="T26" s="5">
        <f t="shared" si="69"/>
        <v>0</v>
      </c>
      <c r="U26" s="5">
        <f t="shared" si="70"/>
        <v>0</v>
      </c>
      <c r="V26" s="5">
        <f t="shared" si="63"/>
        <v>6.6341851411621883E-2</v>
      </c>
      <c r="W26" s="19"/>
      <c r="X26" s="20"/>
      <c r="Y26" s="21"/>
      <c r="Z26" s="18"/>
    </row>
    <row r="27" spans="2:95" x14ac:dyDescent="0.3">
      <c r="B27">
        <v>9</v>
      </c>
      <c r="C27">
        <v>0</v>
      </c>
      <c r="D27">
        <v>0</v>
      </c>
      <c r="E27">
        <v>0</v>
      </c>
      <c r="F27">
        <f t="shared" si="60"/>
        <v>0</v>
      </c>
      <c r="G27">
        <f t="shared" si="61"/>
        <v>0</v>
      </c>
      <c r="H27">
        <f t="shared" si="62"/>
        <v>0</v>
      </c>
      <c r="I27">
        <f t="shared" si="64"/>
        <v>0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5.3466814863302285E-2</v>
      </c>
      <c r="P27" s="4">
        <v>8</v>
      </c>
      <c r="Q27" s="5">
        <f t="shared" si="67"/>
        <v>0</v>
      </c>
      <c r="R27" s="5">
        <f t="shared" si="67"/>
        <v>0</v>
      </c>
      <c r="S27" s="5">
        <f t="shared" si="68"/>
        <v>0</v>
      </c>
      <c r="T27" s="5">
        <f t="shared" si="69"/>
        <v>0</v>
      </c>
      <c r="U27" s="5">
        <f t="shared" si="70"/>
        <v>0</v>
      </c>
      <c r="V27" s="5">
        <f t="shared" si="63"/>
        <v>5.3466814863302285E-2</v>
      </c>
      <c r="W27" s="19"/>
      <c r="X27" s="20"/>
      <c r="Y27" s="21"/>
      <c r="Z27" s="17"/>
    </row>
    <row r="28" spans="2:95" x14ac:dyDescent="0.3">
      <c r="B28">
        <v>10</v>
      </c>
      <c r="C28">
        <v>0</v>
      </c>
      <c r="D28">
        <v>0</v>
      </c>
      <c r="E28">
        <v>0</v>
      </c>
      <c r="F28">
        <f t="shared" si="60"/>
        <v>0</v>
      </c>
      <c r="G28">
        <f t="shared" si="61"/>
        <v>0</v>
      </c>
      <c r="H28">
        <f t="shared" si="62"/>
        <v>0</v>
      </c>
      <c r="I28">
        <f t="shared" si="64"/>
        <v>0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3.8288565122085935E-2</v>
      </c>
      <c r="P28" s="4">
        <v>14</v>
      </c>
      <c r="Q28" s="5">
        <f t="shared" si="67"/>
        <v>0</v>
      </c>
      <c r="R28" s="5">
        <f t="shared" si="67"/>
        <v>0</v>
      </c>
      <c r="S28" s="5">
        <f t="shared" si="68"/>
        <v>0</v>
      </c>
      <c r="T28" s="5">
        <f t="shared" si="69"/>
        <v>0</v>
      </c>
      <c r="U28" s="5">
        <f t="shared" si="70"/>
        <v>0</v>
      </c>
      <c r="V28" s="5">
        <f t="shared" si="63"/>
        <v>3.8288565122085935E-2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2.4691454067525247E-2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2.4691454067525247E-2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507.1</v>
      </c>
      <c r="D33">
        <v>43078</v>
      </c>
      <c r="E33">
        <v>2872.2</v>
      </c>
      <c r="F33">
        <f t="shared" ref="F33:F43" si="72">D33/10000</f>
        <v>4.3078000000000003</v>
      </c>
      <c r="G33">
        <f t="shared" ref="G33:G43" si="73">C33/10000</f>
        <v>5.0710000000000005E-2</v>
      </c>
      <c r="H33">
        <f t="shared" ref="H33:H43" si="74">F33-G33</f>
        <v>4.2570900000000007</v>
      </c>
      <c r="I33">
        <f>E33/10000</f>
        <v>0.28721999999999998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0.3539450045358154</v>
      </c>
      <c r="P33" s="2">
        <v>3</v>
      </c>
      <c r="Q33" s="8">
        <f>H33</f>
        <v>4.2570900000000007</v>
      </c>
      <c r="R33" s="8">
        <f>I33</f>
        <v>0.28721999999999998</v>
      </c>
      <c r="S33" s="8">
        <f>Q33/10^6*$Z$4*$Z$3/P33*10^12</f>
        <v>4.7296269900000008</v>
      </c>
      <c r="T33" s="8">
        <f>S33*0.06</f>
        <v>0.28377761940000001</v>
      </c>
      <c r="U33" s="8">
        <f>S33/$Z$1</f>
        <v>0.64789410821917826</v>
      </c>
      <c r="V33" s="12">
        <f t="shared" ref="V33:V43" si="75">O33</f>
        <v>0.3539450045358154</v>
      </c>
    </row>
    <row r="34" spans="2:22" x14ac:dyDescent="0.3">
      <c r="B34">
        <v>2</v>
      </c>
      <c r="C34">
        <v>2272.6999999999998</v>
      </c>
      <c r="D34">
        <v>43947.199999999997</v>
      </c>
      <c r="E34">
        <v>3166</v>
      </c>
      <c r="F34">
        <f t="shared" si="72"/>
        <v>4.3947199999999995</v>
      </c>
      <c r="G34">
        <f t="shared" si="73"/>
        <v>0.22726999999999997</v>
      </c>
      <c r="H34">
        <f t="shared" si="74"/>
        <v>4.1674499999999997</v>
      </c>
      <c r="I34">
        <f t="shared" ref="I34:I43" si="76">E34/10000</f>
        <v>0.31659999999999999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0.31396278180331183</v>
      </c>
      <c r="P34" s="4">
        <v>3</v>
      </c>
      <c r="Q34" s="5">
        <f t="shared" ref="Q34:R43" si="79">H34</f>
        <v>4.1674499999999997</v>
      </c>
      <c r="R34" s="5">
        <f t="shared" si="79"/>
        <v>0.31659999999999999</v>
      </c>
      <c r="S34" s="5">
        <f t="shared" ref="S34:S43" si="80">Q34/10^6*$Z$4*$Z$3/P34*10^12</f>
        <v>4.6300369499999992</v>
      </c>
      <c r="T34" s="5">
        <f t="shared" ref="T34:T43" si="81">S34*0.06</f>
        <v>0.27780221699999996</v>
      </c>
      <c r="U34" s="5">
        <f t="shared" ref="U34:U43" si="82">S34/$Z$1</f>
        <v>0.63425163698630127</v>
      </c>
      <c r="V34" s="5">
        <f t="shared" si="75"/>
        <v>0.31396278180331183</v>
      </c>
    </row>
    <row r="35" spans="2:22" x14ac:dyDescent="0.3">
      <c r="B35">
        <v>3</v>
      </c>
      <c r="C35">
        <v>3941.5</v>
      </c>
      <c r="D35">
        <v>41008</v>
      </c>
      <c r="E35">
        <v>2707.1</v>
      </c>
      <c r="F35">
        <f t="shared" si="72"/>
        <v>4.1007999999999996</v>
      </c>
      <c r="G35">
        <f t="shared" si="73"/>
        <v>0.39415</v>
      </c>
      <c r="H35">
        <f t="shared" si="74"/>
        <v>3.7066499999999998</v>
      </c>
      <c r="I35">
        <f t="shared" si="76"/>
        <v>0.27071000000000001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0.27085371918119666</v>
      </c>
      <c r="P35" s="4">
        <v>3</v>
      </c>
      <c r="Q35" s="5">
        <f t="shared" si="79"/>
        <v>3.7066499999999998</v>
      </c>
      <c r="R35" s="5">
        <f t="shared" si="79"/>
        <v>0.27071000000000001</v>
      </c>
      <c r="S35" s="5">
        <f t="shared" si="80"/>
        <v>4.1180881500000002</v>
      </c>
      <c r="T35" s="5">
        <f t="shared" si="81"/>
        <v>0.24708528900000001</v>
      </c>
      <c r="U35" s="5">
        <f t="shared" si="82"/>
        <v>0.56412166438356171</v>
      </c>
      <c r="V35" s="5">
        <f t="shared" si="75"/>
        <v>0.27085371918119666</v>
      </c>
    </row>
    <row r="36" spans="2:22" x14ac:dyDescent="0.3">
      <c r="B36">
        <v>4</v>
      </c>
      <c r="C36">
        <v>1670</v>
      </c>
      <c r="D36">
        <v>27842.6</v>
      </c>
      <c r="E36">
        <v>1441.8</v>
      </c>
      <c r="F36">
        <f t="shared" si="72"/>
        <v>2.7842599999999997</v>
      </c>
      <c r="G36">
        <f t="shared" si="73"/>
        <v>0.16700000000000001</v>
      </c>
      <c r="H36">
        <f t="shared" si="74"/>
        <v>2.6172599999999999</v>
      </c>
      <c r="I36">
        <f t="shared" si="76"/>
        <v>0.14418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0.16404951789089781</v>
      </c>
      <c r="P36" s="4">
        <v>3</v>
      </c>
      <c r="Q36" s="5">
        <f t="shared" si="79"/>
        <v>2.6172599999999999</v>
      </c>
      <c r="R36" s="5">
        <f t="shared" si="79"/>
        <v>0.14418</v>
      </c>
      <c r="S36" s="5">
        <f t="shared" si="80"/>
        <v>2.9077758600000001</v>
      </c>
      <c r="T36" s="5">
        <f t="shared" si="81"/>
        <v>0.17446655159999999</v>
      </c>
      <c r="U36" s="5">
        <f t="shared" si="82"/>
        <v>0.39832546027397264</v>
      </c>
      <c r="V36" s="5">
        <f t="shared" si="75"/>
        <v>0.16404951789089781</v>
      </c>
    </row>
    <row r="37" spans="2:22" x14ac:dyDescent="0.3">
      <c r="B37">
        <v>5</v>
      </c>
      <c r="C37">
        <v>-1079.3</v>
      </c>
      <c r="D37">
        <v>25654.2</v>
      </c>
      <c r="E37">
        <v>1138.5999999999999</v>
      </c>
      <c r="F37">
        <f t="shared" si="72"/>
        <v>2.56542</v>
      </c>
      <c r="G37">
        <f t="shared" si="73"/>
        <v>-0.10793</v>
      </c>
      <c r="H37">
        <f t="shared" si="74"/>
        <v>2.6733500000000001</v>
      </c>
      <c r="I37">
        <f t="shared" si="76"/>
        <v>0.11385999999999999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0.11856897860074163</v>
      </c>
      <c r="P37" s="4">
        <v>3</v>
      </c>
      <c r="Q37" s="5">
        <f t="shared" si="79"/>
        <v>2.6733500000000001</v>
      </c>
      <c r="R37" s="5">
        <f t="shared" si="79"/>
        <v>0.11385999999999999</v>
      </c>
      <c r="S37" s="5">
        <f t="shared" si="80"/>
        <v>2.9700918500000002</v>
      </c>
      <c r="T37" s="5">
        <f t="shared" si="81"/>
        <v>0.17820551100000001</v>
      </c>
      <c r="U37" s="5">
        <f t="shared" si="82"/>
        <v>0.406861897260274</v>
      </c>
      <c r="V37" s="5">
        <f t="shared" si="75"/>
        <v>0.11856897860074163</v>
      </c>
    </row>
    <row r="38" spans="2:22" x14ac:dyDescent="0.3">
      <c r="B38">
        <v>6</v>
      </c>
      <c r="C38">
        <v>-2498.9</v>
      </c>
      <c r="D38">
        <v>1096.3499999999999</v>
      </c>
      <c r="E38">
        <v>4311</v>
      </c>
      <c r="F38">
        <f t="shared" si="72"/>
        <v>0.109635</v>
      </c>
      <c r="G38">
        <f t="shared" si="73"/>
        <v>-0.24989</v>
      </c>
      <c r="H38">
        <f t="shared" si="74"/>
        <v>0.35952499999999998</v>
      </c>
      <c r="I38">
        <f t="shared" si="76"/>
        <v>0.43109999999999998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8.2072565217813684E-2</v>
      </c>
      <c r="P38" s="4">
        <v>4</v>
      </c>
      <c r="Q38" s="5">
        <f t="shared" si="79"/>
        <v>0.35952499999999998</v>
      </c>
      <c r="R38" s="5">
        <f t="shared" si="79"/>
        <v>0.43109999999999998</v>
      </c>
      <c r="S38" s="5">
        <f t="shared" si="80"/>
        <v>0.29957420625000003</v>
      </c>
      <c r="T38" s="5">
        <f t="shared" si="81"/>
        <v>1.7974452375000002E-2</v>
      </c>
      <c r="U38" s="5">
        <f t="shared" si="82"/>
        <v>4.1037562500000006E-2</v>
      </c>
      <c r="V38" s="5">
        <f t="shared" si="75"/>
        <v>8.2072565217813684E-2</v>
      </c>
    </row>
    <row r="39" spans="2:22" x14ac:dyDescent="0.3">
      <c r="B39">
        <v>7</v>
      </c>
      <c r="C39">
        <v>0</v>
      </c>
      <c r="D39">
        <v>0</v>
      </c>
      <c r="E39">
        <v>0</v>
      </c>
      <c r="F39">
        <f t="shared" si="72"/>
        <v>0</v>
      </c>
      <c r="G39">
        <f t="shared" si="73"/>
        <v>0</v>
      </c>
      <c r="H39">
        <f t="shared" si="74"/>
        <v>0</v>
      </c>
      <c r="I39">
        <f t="shared" si="76"/>
        <v>0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5.9331581400181667E-2</v>
      </c>
      <c r="P39" s="4">
        <v>4</v>
      </c>
      <c r="Q39" s="5">
        <f t="shared" si="79"/>
        <v>0</v>
      </c>
      <c r="R39" s="5">
        <f t="shared" si="79"/>
        <v>0</v>
      </c>
      <c r="S39" s="5">
        <f t="shared" si="80"/>
        <v>0</v>
      </c>
      <c r="T39" s="5">
        <f t="shared" si="81"/>
        <v>0</v>
      </c>
      <c r="U39" s="5">
        <f t="shared" si="82"/>
        <v>0</v>
      </c>
      <c r="V39" s="5">
        <f t="shared" si="75"/>
        <v>5.9331581400181667E-2</v>
      </c>
    </row>
    <row r="40" spans="2:22" x14ac:dyDescent="0.3">
      <c r="B40">
        <v>8</v>
      </c>
      <c r="C40">
        <v>0</v>
      </c>
      <c r="D40">
        <v>0</v>
      </c>
      <c r="E40">
        <v>0</v>
      </c>
      <c r="F40">
        <f t="shared" si="72"/>
        <v>0</v>
      </c>
      <c r="G40">
        <f t="shared" si="73"/>
        <v>0</v>
      </c>
      <c r="H40">
        <f t="shared" si="74"/>
        <v>0</v>
      </c>
      <c r="I40">
        <f t="shared" si="76"/>
        <v>0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4.9756388558716405E-2</v>
      </c>
      <c r="P40" s="4">
        <v>5</v>
      </c>
      <c r="Q40" s="5">
        <f t="shared" si="79"/>
        <v>0</v>
      </c>
      <c r="R40" s="5">
        <f t="shared" si="79"/>
        <v>0</v>
      </c>
      <c r="S40" s="5">
        <f t="shared" si="80"/>
        <v>0</v>
      </c>
      <c r="T40" s="5">
        <f t="shared" si="81"/>
        <v>0</v>
      </c>
      <c r="U40" s="5">
        <f t="shared" si="82"/>
        <v>0</v>
      </c>
      <c r="V40" s="5">
        <f t="shared" si="75"/>
        <v>4.9756388558716405E-2</v>
      </c>
    </row>
    <row r="41" spans="2:22" x14ac:dyDescent="0.3">
      <c r="B41">
        <v>9</v>
      </c>
      <c r="C41">
        <v>0</v>
      </c>
      <c r="D41">
        <v>0</v>
      </c>
      <c r="E41">
        <v>0</v>
      </c>
      <c r="F41">
        <f t="shared" si="72"/>
        <v>0</v>
      </c>
      <c r="G41">
        <f t="shared" si="73"/>
        <v>0</v>
      </c>
      <c r="H41">
        <f t="shared" si="74"/>
        <v>0</v>
      </c>
      <c r="I41">
        <f t="shared" si="76"/>
        <v>0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4.0100111147476712E-2</v>
      </c>
      <c r="P41" s="4">
        <v>8</v>
      </c>
      <c r="Q41" s="5">
        <f t="shared" si="79"/>
        <v>0</v>
      </c>
      <c r="R41" s="5">
        <f t="shared" si="79"/>
        <v>0</v>
      </c>
      <c r="S41" s="5">
        <f t="shared" si="80"/>
        <v>0</v>
      </c>
      <c r="T41" s="5">
        <f t="shared" si="81"/>
        <v>0</v>
      </c>
      <c r="U41" s="5">
        <f t="shared" si="82"/>
        <v>0</v>
      </c>
      <c r="V41" s="5">
        <f t="shared" si="75"/>
        <v>4.0100111147476712E-2</v>
      </c>
    </row>
    <row r="42" spans="2:22" x14ac:dyDescent="0.3">
      <c r="B42">
        <v>10</v>
      </c>
      <c r="C42">
        <v>0</v>
      </c>
      <c r="D42">
        <v>0</v>
      </c>
      <c r="E42">
        <v>0</v>
      </c>
      <c r="F42">
        <f t="shared" si="72"/>
        <v>0</v>
      </c>
      <c r="G42">
        <f t="shared" si="73"/>
        <v>0</v>
      </c>
      <c r="H42">
        <f t="shared" si="74"/>
        <v>0</v>
      </c>
      <c r="I42">
        <f t="shared" si="76"/>
        <v>0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2.8716423841564451E-2</v>
      </c>
      <c r="P42" s="4">
        <v>14</v>
      </c>
      <c r="Q42" s="5">
        <f t="shared" si="79"/>
        <v>0</v>
      </c>
      <c r="R42" s="5">
        <f t="shared" si="79"/>
        <v>0</v>
      </c>
      <c r="S42" s="5">
        <f t="shared" si="80"/>
        <v>0</v>
      </c>
      <c r="T42" s="5">
        <f t="shared" si="81"/>
        <v>0</v>
      </c>
      <c r="U42" s="5">
        <f t="shared" si="82"/>
        <v>0</v>
      </c>
      <c r="V42" s="5">
        <f t="shared" si="75"/>
        <v>2.8716423841564451E-2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1.8518590550643938E-2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1.8518590550643938E-2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3364</v>
      </c>
      <c r="D47">
        <v>40212.199999999997</v>
      </c>
      <c r="E47">
        <v>3838.5</v>
      </c>
      <c r="F47">
        <f t="shared" ref="F47:F57" si="84">D47/10000</f>
        <v>4.0212199999999996</v>
      </c>
      <c r="G47">
        <f t="shared" ref="G47:G57" si="85">C47/10000</f>
        <v>0.33639999999999998</v>
      </c>
      <c r="H47">
        <f t="shared" ref="H47:H57" si="86">F47-G47</f>
        <v>3.6848199999999998</v>
      </c>
      <c r="I47">
        <f>E47/10000</f>
        <v>0.38385000000000002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0.28315600362865234</v>
      </c>
      <c r="P47" s="2">
        <v>3</v>
      </c>
      <c r="Q47" s="8">
        <f>H47</f>
        <v>3.6848199999999998</v>
      </c>
      <c r="R47" s="8">
        <f>I47</f>
        <v>0.38385000000000002</v>
      </c>
      <c r="S47" s="8">
        <f>Q47/10^6*$Z$4*$Z$3/P47*10^12</f>
        <v>4.0938350199999993</v>
      </c>
      <c r="T47" s="8">
        <f>S47*0.06</f>
        <v>0.24563010119999995</v>
      </c>
      <c r="U47" s="8">
        <f>S47/$Z$1</f>
        <v>0.56079931780821912</v>
      </c>
      <c r="V47" s="12">
        <f t="shared" ref="V47:V57" si="87">O47</f>
        <v>0.28315600362865234</v>
      </c>
    </row>
    <row r="48" spans="2:22" x14ac:dyDescent="0.3">
      <c r="B48">
        <v>2</v>
      </c>
      <c r="C48">
        <v>6291.1</v>
      </c>
      <c r="D48">
        <v>42108.1</v>
      </c>
      <c r="E48">
        <v>3074.5</v>
      </c>
      <c r="F48">
        <f t="shared" si="84"/>
        <v>4.2108099999999995</v>
      </c>
      <c r="G48">
        <f t="shared" si="85"/>
        <v>0.62911000000000006</v>
      </c>
      <c r="H48">
        <f t="shared" si="86"/>
        <v>3.5816999999999997</v>
      </c>
      <c r="I48">
        <f t="shared" ref="I48:I57" si="88">E48/10000</f>
        <v>0.30745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0.25117022544264944</v>
      </c>
      <c r="P48" s="4">
        <v>3</v>
      </c>
      <c r="Q48" s="5">
        <f t="shared" ref="Q48:R57" si="91">H48</f>
        <v>3.5816999999999997</v>
      </c>
      <c r="R48" s="5">
        <f t="shared" si="91"/>
        <v>0.30745</v>
      </c>
      <c r="S48" s="5">
        <f t="shared" ref="S48:S57" si="92">Q48/10^6*$Z$4*$Z$3/P48*10^12</f>
        <v>3.9792687</v>
      </c>
      <c r="T48" s="5">
        <f t="shared" ref="T48:T57" si="93">S48*0.06</f>
        <v>0.23875612199999999</v>
      </c>
      <c r="U48" s="5">
        <f t="shared" ref="U48:U57" si="94">S48/$Z$1</f>
        <v>0.54510530136986302</v>
      </c>
      <c r="V48" s="5">
        <f t="shared" si="87"/>
        <v>0.25117022544264944</v>
      </c>
    </row>
    <row r="49" spans="2:22" x14ac:dyDescent="0.3">
      <c r="B49">
        <v>3</v>
      </c>
      <c r="C49">
        <v>3322.2</v>
      </c>
      <c r="D49">
        <v>34260.800000000003</v>
      </c>
      <c r="E49">
        <v>2552.6999999999998</v>
      </c>
      <c r="F49">
        <f t="shared" si="84"/>
        <v>3.4260800000000002</v>
      </c>
      <c r="G49">
        <f t="shared" si="85"/>
        <v>0.33221999999999996</v>
      </c>
      <c r="H49">
        <f t="shared" si="86"/>
        <v>3.0938600000000003</v>
      </c>
      <c r="I49">
        <f t="shared" si="88"/>
        <v>0.25527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0.21668297534495731</v>
      </c>
      <c r="P49" s="4">
        <v>3</v>
      </c>
      <c r="Q49" s="5">
        <f t="shared" si="91"/>
        <v>3.0938600000000003</v>
      </c>
      <c r="R49" s="5">
        <f t="shared" si="91"/>
        <v>0.25527</v>
      </c>
      <c r="S49" s="5">
        <f t="shared" si="92"/>
        <v>3.4372784600000004</v>
      </c>
      <c r="T49" s="5">
        <f t="shared" si="93"/>
        <v>0.20623670760000001</v>
      </c>
      <c r="U49" s="5">
        <f t="shared" si="94"/>
        <v>0.4708600630136987</v>
      </c>
      <c r="V49" s="5">
        <f t="shared" si="87"/>
        <v>0.21668297534495731</v>
      </c>
    </row>
    <row r="50" spans="2:22" x14ac:dyDescent="0.3">
      <c r="B50">
        <v>4</v>
      </c>
      <c r="C50">
        <v>-525.79999999999995</v>
      </c>
      <c r="D50">
        <v>21746.6</v>
      </c>
      <c r="E50">
        <v>1354.3</v>
      </c>
      <c r="F50">
        <f t="shared" si="84"/>
        <v>2.1746599999999998</v>
      </c>
      <c r="G50">
        <f t="shared" si="85"/>
        <v>-5.2579999999999995E-2</v>
      </c>
      <c r="H50">
        <f t="shared" si="86"/>
        <v>2.2272399999999997</v>
      </c>
      <c r="I50">
        <f t="shared" si="88"/>
        <v>0.13542999999999999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0.13123961431271824</v>
      </c>
      <c r="P50" s="4">
        <v>3</v>
      </c>
      <c r="Q50" s="5">
        <f t="shared" si="91"/>
        <v>2.2272399999999997</v>
      </c>
      <c r="R50" s="5">
        <f t="shared" si="91"/>
        <v>0.13542999999999999</v>
      </c>
      <c r="S50" s="5">
        <f t="shared" si="92"/>
        <v>2.4744636399999997</v>
      </c>
      <c r="T50" s="5">
        <f t="shared" si="93"/>
        <v>0.14846781839999998</v>
      </c>
      <c r="U50" s="5">
        <f t="shared" si="94"/>
        <v>0.33896762191780822</v>
      </c>
      <c r="V50" s="5">
        <f t="shared" si="87"/>
        <v>0.13123961431271824</v>
      </c>
    </row>
    <row r="51" spans="2:22" x14ac:dyDescent="0.3">
      <c r="B51">
        <v>5</v>
      </c>
      <c r="C51">
        <v>-1274.7</v>
      </c>
      <c r="D51">
        <v>16433.599999999999</v>
      </c>
      <c r="E51">
        <v>1070.5</v>
      </c>
      <c r="F51">
        <f t="shared" si="84"/>
        <v>1.6433599999999999</v>
      </c>
      <c r="G51">
        <f t="shared" si="85"/>
        <v>-0.12747</v>
      </c>
      <c r="H51">
        <f t="shared" si="86"/>
        <v>1.7708299999999999</v>
      </c>
      <c r="I51">
        <f t="shared" si="88"/>
        <v>0.10705000000000001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9.4855182880593289E-2</v>
      </c>
      <c r="P51" s="4">
        <v>3</v>
      </c>
      <c r="Q51" s="5">
        <f t="shared" si="91"/>
        <v>1.7708299999999999</v>
      </c>
      <c r="R51" s="5">
        <f t="shared" si="91"/>
        <v>0.10705000000000001</v>
      </c>
      <c r="S51" s="5">
        <f t="shared" si="92"/>
        <v>1.9673921300000001</v>
      </c>
      <c r="T51" s="5">
        <f t="shared" si="93"/>
        <v>0.11804352780000001</v>
      </c>
      <c r="U51" s="5">
        <f t="shared" si="94"/>
        <v>0.26950577123287672</v>
      </c>
      <c r="V51" s="5">
        <f t="shared" si="87"/>
        <v>9.4855182880593289E-2</v>
      </c>
    </row>
    <row r="52" spans="2:22" x14ac:dyDescent="0.3">
      <c r="B52">
        <v>6</v>
      </c>
      <c r="C52">
        <v>0</v>
      </c>
      <c r="D52">
        <v>0</v>
      </c>
      <c r="E52">
        <v>0</v>
      </c>
      <c r="F52">
        <f t="shared" si="84"/>
        <v>0</v>
      </c>
      <c r="G52">
        <f t="shared" si="85"/>
        <v>0</v>
      </c>
      <c r="H52">
        <f t="shared" si="86"/>
        <v>0</v>
      </c>
      <c r="I52">
        <f t="shared" si="88"/>
        <v>0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6.5658052174250942E-2</v>
      </c>
      <c r="P52" s="4">
        <v>4</v>
      </c>
      <c r="Q52" s="5">
        <f t="shared" si="91"/>
        <v>0</v>
      </c>
      <c r="R52" s="5">
        <f t="shared" si="91"/>
        <v>0</v>
      </c>
      <c r="S52" s="5">
        <f t="shared" si="92"/>
        <v>0</v>
      </c>
      <c r="T52" s="5">
        <f t="shared" si="93"/>
        <v>0</v>
      </c>
      <c r="U52" s="5">
        <f t="shared" si="94"/>
        <v>0</v>
      </c>
      <c r="V52" s="5">
        <f t="shared" si="87"/>
        <v>6.5658052174250942E-2</v>
      </c>
    </row>
    <row r="53" spans="2:22" x14ac:dyDescent="0.3">
      <c r="B53">
        <v>7</v>
      </c>
      <c r="C53">
        <v>0</v>
      </c>
      <c r="D53">
        <v>0</v>
      </c>
      <c r="E53">
        <v>0</v>
      </c>
      <c r="F53">
        <f t="shared" si="84"/>
        <v>0</v>
      </c>
      <c r="G53">
        <f t="shared" si="85"/>
        <v>0</v>
      </c>
      <c r="H53">
        <f t="shared" si="86"/>
        <v>0</v>
      </c>
      <c r="I53">
        <f t="shared" si="88"/>
        <v>0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4.7465265120145331E-2</v>
      </c>
      <c r="P53" s="4">
        <v>4</v>
      </c>
      <c r="Q53" s="5">
        <f t="shared" si="91"/>
        <v>0</v>
      </c>
      <c r="R53" s="5">
        <f t="shared" si="91"/>
        <v>0</v>
      </c>
      <c r="S53" s="5">
        <f t="shared" si="92"/>
        <v>0</v>
      </c>
      <c r="T53" s="5">
        <f t="shared" si="93"/>
        <v>0</v>
      </c>
      <c r="U53" s="5">
        <f t="shared" si="94"/>
        <v>0</v>
      </c>
      <c r="V53" s="5">
        <f t="shared" si="87"/>
        <v>4.7465265120145331E-2</v>
      </c>
    </row>
    <row r="54" spans="2:22" x14ac:dyDescent="0.3">
      <c r="B54">
        <v>8</v>
      </c>
      <c r="C54">
        <v>0</v>
      </c>
      <c r="D54">
        <v>0</v>
      </c>
      <c r="E54">
        <v>0</v>
      </c>
      <c r="F54">
        <f t="shared" si="84"/>
        <v>0</v>
      </c>
      <c r="G54">
        <f t="shared" si="85"/>
        <v>0</v>
      </c>
      <c r="H54">
        <f t="shared" si="86"/>
        <v>0</v>
      </c>
      <c r="I54">
        <f t="shared" si="88"/>
        <v>0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3.9805110846973128E-2</v>
      </c>
      <c r="P54" s="4">
        <v>5</v>
      </c>
      <c r="Q54" s="5">
        <f t="shared" si="91"/>
        <v>0</v>
      </c>
      <c r="R54" s="5">
        <f t="shared" si="91"/>
        <v>0</v>
      </c>
      <c r="S54" s="5">
        <f t="shared" si="92"/>
        <v>0</v>
      </c>
      <c r="T54" s="5">
        <f t="shared" si="93"/>
        <v>0</v>
      </c>
      <c r="U54" s="5">
        <f t="shared" si="94"/>
        <v>0</v>
      </c>
      <c r="V54" s="5">
        <f t="shared" si="87"/>
        <v>3.9805110846973128E-2</v>
      </c>
    </row>
    <row r="55" spans="2:22" x14ac:dyDescent="0.3">
      <c r="B55">
        <v>9</v>
      </c>
      <c r="C55">
        <v>0</v>
      </c>
      <c r="D55">
        <v>0</v>
      </c>
      <c r="E55">
        <v>0</v>
      </c>
      <c r="F55">
        <f t="shared" si="84"/>
        <v>0</v>
      </c>
      <c r="G55">
        <f t="shared" si="85"/>
        <v>0</v>
      </c>
      <c r="H55">
        <f t="shared" si="86"/>
        <v>0</v>
      </c>
      <c r="I55">
        <f t="shared" si="88"/>
        <v>0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3.2080088917981371E-2</v>
      </c>
      <c r="P55" s="4">
        <v>8</v>
      </c>
      <c r="Q55" s="5">
        <f t="shared" si="91"/>
        <v>0</v>
      </c>
      <c r="R55" s="5">
        <f t="shared" si="91"/>
        <v>0</v>
      </c>
      <c r="S55" s="5">
        <f t="shared" si="92"/>
        <v>0</v>
      </c>
      <c r="T55" s="5">
        <f t="shared" si="93"/>
        <v>0</v>
      </c>
      <c r="U55" s="5">
        <f t="shared" si="94"/>
        <v>0</v>
      </c>
      <c r="V55" s="5">
        <f t="shared" si="87"/>
        <v>3.2080088917981371E-2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84"/>
        <v>0</v>
      </c>
      <c r="G56">
        <f t="shared" si="85"/>
        <v>0</v>
      </c>
      <c r="H56">
        <f t="shared" si="86"/>
        <v>0</v>
      </c>
      <c r="I56">
        <f t="shared" si="88"/>
        <v>0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2.2973139073251565E-2</v>
      </c>
      <c r="P56" s="4">
        <v>14</v>
      </c>
      <c r="Q56" s="5">
        <f t="shared" si="91"/>
        <v>0</v>
      </c>
      <c r="R56" s="5">
        <f t="shared" si="91"/>
        <v>0</v>
      </c>
      <c r="S56" s="5">
        <f t="shared" si="92"/>
        <v>0</v>
      </c>
      <c r="T56" s="5">
        <f t="shared" si="93"/>
        <v>0</v>
      </c>
      <c r="U56" s="5">
        <f t="shared" si="94"/>
        <v>0</v>
      </c>
      <c r="V56" s="5">
        <f t="shared" si="87"/>
        <v>2.2973139073251565E-2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1.4814872440515148E-2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1.4814872440515148E-2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429.5</v>
      </c>
      <c r="D61">
        <v>34226</v>
      </c>
      <c r="E61">
        <v>4557.3</v>
      </c>
      <c r="F61">
        <f t="shared" ref="F61:F71" si="96">D61/10000</f>
        <v>3.4226000000000001</v>
      </c>
      <c r="G61">
        <f t="shared" ref="G61:G71" si="97">C61/10000</f>
        <v>4.2950000000000002E-2</v>
      </c>
      <c r="H61">
        <f t="shared" ref="H61:H71" si="98">F61-G61</f>
        <v>3.3796500000000003</v>
      </c>
      <c r="I61">
        <f>E61/10000</f>
        <v>0.45573000000000002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0.23596333635721028</v>
      </c>
      <c r="P61" s="2">
        <v>3</v>
      </c>
      <c r="Q61" s="8">
        <f>H61</f>
        <v>3.3796500000000003</v>
      </c>
      <c r="R61" s="8">
        <f>I61</f>
        <v>0.45573000000000002</v>
      </c>
      <c r="S61" s="8">
        <f>Q61/10^6*$Z$4*$Z$3/P61*10^12</f>
        <v>3.7547911500000009</v>
      </c>
      <c r="T61" s="8">
        <f>S61*0.06</f>
        <v>0.22528746900000005</v>
      </c>
      <c r="U61" s="8">
        <f>S61/$Z$1</f>
        <v>0.51435495205479465</v>
      </c>
      <c r="V61" s="12">
        <f t="shared" ref="V61:V71" si="99">O61</f>
        <v>0.23596333635721028</v>
      </c>
    </row>
    <row r="62" spans="2:22" x14ac:dyDescent="0.3">
      <c r="B62">
        <v>2</v>
      </c>
      <c r="C62">
        <v>4665.1000000000004</v>
      </c>
      <c r="D62">
        <v>35147.5</v>
      </c>
      <c r="E62">
        <v>3131.4</v>
      </c>
      <c r="F62">
        <f t="shared" si="96"/>
        <v>3.5147499999999998</v>
      </c>
      <c r="G62">
        <f t="shared" si="97"/>
        <v>0.46651000000000004</v>
      </c>
      <c r="H62">
        <f t="shared" si="98"/>
        <v>3.0482399999999998</v>
      </c>
      <c r="I62">
        <f t="shared" ref="I62:I71" si="100">E62/10000</f>
        <v>0.31314000000000003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0.20930852120220789</v>
      </c>
      <c r="P62" s="4">
        <v>3</v>
      </c>
      <c r="Q62" s="5">
        <f t="shared" ref="Q62:R71" si="103">H62</f>
        <v>3.0482399999999998</v>
      </c>
      <c r="R62" s="5">
        <f t="shared" si="103"/>
        <v>0.31314000000000003</v>
      </c>
      <c r="S62" s="5">
        <f t="shared" ref="S62:S71" si="104">Q62/10^6*$Z$4*$Z$3/P62*10^12</f>
        <v>3.3865946399999998</v>
      </c>
      <c r="T62" s="5">
        <f t="shared" ref="T62:T71" si="105">S62*0.06</f>
        <v>0.20319567839999997</v>
      </c>
      <c r="U62" s="5">
        <f t="shared" ref="U62:U71" si="106">S62/$Z$1</f>
        <v>0.46391707397260273</v>
      </c>
      <c r="V62" s="5">
        <f t="shared" si="99"/>
        <v>0.20930852120220789</v>
      </c>
    </row>
    <row r="63" spans="2:22" x14ac:dyDescent="0.3">
      <c r="B63">
        <v>3</v>
      </c>
      <c r="C63">
        <v>1794.8</v>
      </c>
      <c r="D63">
        <v>31533.1</v>
      </c>
      <c r="E63">
        <v>2161.4</v>
      </c>
      <c r="F63">
        <f t="shared" si="96"/>
        <v>3.1533099999999998</v>
      </c>
      <c r="G63">
        <f t="shared" si="97"/>
        <v>0.17948</v>
      </c>
      <c r="H63">
        <f t="shared" si="98"/>
        <v>2.97383</v>
      </c>
      <c r="I63">
        <f t="shared" si="100"/>
        <v>0.21614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0.18056914612079775</v>
      </c>
      <c r="P63" s="4">
        <v>3</v>
      </c>
      <c r="Q63" s="5">
        <f t="shared" si="103"/>
        <v>2.97383</v>
      </c>
      <c r="R63" s="5">
        <f t="shared" si="103"/>
        <v>0.21614</v>
      </c>
      <c r="S63" s="5">
        <f t="shared" si="104"/>
        <v>3.3039251299999997</v>
      </c>
      <c r="T63" s="5">
        <f t="shared" si="105"/>
        <v>0.19823550779999996</v>
      </c>
      <c r="U63" s="5">
        <f t="shared" si="106"/>
        <v>0.45259248356164378</v>
      </c>
      <c r="V63" s="5">
        <f t="shared" si="99"/>
        <v>0.18056914612079775</v>
      </c>
    </row>
    <row r="64" spans="2:22" x14ac:dyDescent="0.3">
      <c r="B64">
        <v>4</v>
      </c>
      <c r="C64">
        <v>3297.1</v>
      </c>
      <c r="D64">
        <v>20279</v>
      </c>
      <c r="E64">
        <v>1189.7</v>
      </c>
      <c r="F64">
        <f t="shared" si="96"/>
        <v>2.0278999999999998</v>
      </c>
      <c r="G64">
        <f t="shared" si="97"/>
        <v>0.32971</v>
      </c>
      <c r="H64">
        <f t="shared" si="98"/>
        <v>1.6981899999999999</v>
      </c>
      <c r="I64">
        <f t="shared" si="100"/>
        <v>0.11897000000000001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0.10936634526059853</v>
      </c>
      <c r="P64" s="4">
        <v>3</v>
      </c>
      <c r="Q64" s="5">
        <f t="shared" si="103"/>
        <v>1.6981899999999999</v>
      </c>
      <c r="R64" s="5">
        <f t="shared" si="103"/>
        <v>0.11897000000000001</v>
      </c>
      <c r="S64" s="5">
        <f t="shared" si="104"/>
        <v>1.8866890900000002</v>
      </c>
      <c r="T64" s="5">
        <f t="shared" si="105"/>
        <v>0.1132013454</v>
      </c>
      <c r="U64" s="5">
        <f t="shared" si="106"/>
        <v>0.25845056027397262</v>
      </c>
      <c r="V64" s="5">
        <f t="shared" si="99"/>
        <v>0.10936634526059853</v>
      </c>
    </row>
    <row r="65" spans="2:22" x14ac:dyDescent="0.3">
      <c r="B65">
        <v>5</v>
      </c>
      <c r="C65">
        <v>0</v>
      </c>
      <c r="D65">
        <v>0</v>
      </c>
      <c r="E65">
        <v>0</v>
      </c>
      <c r="F65">
        <f t="shared" si="96"/>
        <v>0</v>
      </c>
      <c r="G65">
        <f t="shared" si="97"/>
        <v>0</v>
      </c>
      <c r="H65">
        <f t="shared" si="98"/>
        <v>0</v>
      </c>
      <c r="I65">
        <f t="shared" si="100"/>
        <v>0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7.9045985733827748E-2</v>
      </c>
      <c r="P65" s="4">
        <v>3</v>
      </c>
      <c r="Q65" s="5">
        <f t="shared" si="103"/>
        <v>0</v>
      </c>
      <c r="R65" s="5">
        <f t="shared" si="103"/>
        <v>0</v>
      </c>
      <c r="S65" s="5">
        <f t="shared" si="104"/>
        <v>0</v>
      </c>
      <c r="T65" s="5">
        <f t="shared" si="105"/>
        <v>0</v>
      </c>
      <c r="U65" s="5">
        <f t="shared" si="106"/>
        <v>0</v>
      </c>
      <c r="V65" s="5">
        <f t="shared" si="99"/>
        <v>7.9045985733827748E-2</v>
      </c>
    </row>
    <row r="66" spans="2:22" x14ac:dyDescent="0.3">
      <c r="B66">
        <v>6</v>
      </c>
      <c r="C66">
        <v>0</v>
      </c>
      <c r="D66">
        <v>0</v>
      </c>
      <c r="E66">
        <v>0</v>
      </c>
      <c r="F66">
        <f t="shared" si="96"/>
        <v>0</v>
      </c>
      <c r="G66">
        <f t="shared" si="97"/>
        <v>0</v>
      </c>
      <c r="H66">
        <f t="shared" si="98"/>
        <v>0</v>
      </c>
      <c r="I66">
        <f t="shared" si="100"/>
        <v>0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5.4715043478542454E-2</v>
      </c>
      <c r="P66" s="4">
        <v>4</v>
      </c>
      <c r="Q66" s="5">
        <f t="shared" si="103"/>
        <v>0</v>
      </c>
      <c r="R66" s="5">
        <f t="shared" si="103"/>
        <v>0</v>
      </c>
      <c r="S66" s="5">
        <f t="shared" si="104"/>
        <v>0</v>
      </c>
      <c r="T66" s="5">
        <f t="shared" si="105"/>
        <v>0</v>
      </c>
      <c r="U66" s="5">
        <f t="shared" si="106"/>
        <v>0</v>
      </c>
      <c r="V66" s="5">
        <f t="shared" si="99"/>
        <v>5.4715043478542454E-2</v>
      </c>
    </row>
    <row r="67" spans="2:22" x14ac:dyDescent="0.3">
      <c r="B67">
        <v>7</v>
      </c>
      <c r="C67">
        <v>0</v>
      </c>
      <c r="D67">
        <v>0</v>
      </c>
      <c r="E67">
        <v>0</v>
      </c>
      <c r="F67">
        <f t="shared" si="96"/>
        <v>0</v>
      </c>
      <c r="G67">
        <f t="shared" si="97"/>
        <v>0</v>
      </c>
      <c r="H67">
        <f t="shared" si="98"/>
        <v>0</v>
      </c>
      <c r="I67">
        <f t="shared" si="100"/>
        <v>0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3.9554387600121109E-2</v>
      </c>
      <c r="P67" s="4">
        <v>4</v>
      </c>
      <c r="Q67" s="5">
        <f t="shared" si="103"/>
        <v>0</v>
      </c>
      <c r="R67" s="5">
        <f t="shared" si="103"/>
        <v>0</v>
      </c>
      <c r="S67" s="5">
        <f t="shared" si="104"/>
        <v>0</v>
      </c>
      <c r="T67" s="5">
        <f t="shared" si="105"/>
        <v>0</v>
      </c>
      <c r="U67" s="5">
        <f t="shared" si="106"/>
        <v>0</v>
      </c>
      <c r="V67" s="5">
        <f t="shared" si="99"/>
        <v>3.9554387600121109E-2</v>
      </c>
    </row>
    <row r="68" spans="2:22" x14ac:dyDescent="0.3">
      <c r="B68">
        <v>8</v>
      </c>
      <c r="C68">
        <v>0</v>
      </c>
      <c r="D68">
        <v>0</v>
      </c>
      <c r="E68">
        <v>0</v>
      </c>
      <c r="F68">
        <f t="shared" si="96"/>
        <v>0</v>
      </c>
      <c r="G68">
        <f t="shared" si="97"/>
        <v>0</v>
      </c>
      <c r="H68">
        <f t="shared" si="98"/>
        <v>0</v>
      </c>
      <c r="I68">
        <f t="shared" si="100"/>
        <v>0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3.3170925705810941E-2</v>
      </c>
      <c r="P68" s="4">
        <v>5</v>
      </c>
      <c r="Q68" s="5">
        <f t="shared" si="103"/>
        <v>0</v>
      </c>
      <c r="R68" s="5">
        <f t="shared" si="103"/>
        <v>0</v>
      </c>
      <c r="S68" s="5">
        <f t="shared" si="104"/>
        <v>0</v>
      </c>
      <c r="T68" s="5">
        <f t="shared" si="105"/>
        <v>0</v>
      </c>
      <c r="U68" s="5">
        <f t="shared" si="106"/>
        <v>0</v>
      </c>
      <c r="V68" s="5">
        <f t="shared" si="99"/>
        <v>3.3170925705810941E-2</v>
      </c>
    </row>
    <row r="69" spans="2:22" x14ac:dyDescent="0.3">
      <c r="B69">
        <v>9</v>
      </c>
      <c r="C69">
        <v>0</v>
      </c>
      <c r="D69">
        <v>0</v>
      </c>
      <c r="E69">
        <v>0</v>
      </c>
      <c r="F69">
        <f t="shared" si="96"/>
        <v>0</v>
      </c>
      <c r="G69">
        <f t="shared" si="97"/>
        <v>0</v>
      </c>
      <c r="H69">
        <f t="shared" si="98"/>
        <v>0</v>
      </c>
      <c r="I69">
        <f t="shared" si="100"/>
        <v>0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2.6733407431651143E-2</v>
      </c>
      <c r="P69" s="4">
        <v>8</v>
      </c>
      <c r="Q69" s="5">
        <f t="shared" si="103"/>
        <v>0</v>
      </c>
      <c r="R69" s="5">
        <f t="shared" si="103"/>
        <v>0</v>
      </c>
      <c r="S69" s="5">
        <f t="shared" si="104"/>
        <v>0</v>
      </c>
      <c r="T69" s="5">
        <f t="shared" si="105"/>
        <v>0</v>
      </c>
      <c r="U69" s="5">
        <f t="shared" si="106"/>
        <v>0</v>
      </c>
      <c r="V69" s="5">
        <f t="shared" si="99"/>
        <v>2.6733407431651143E-2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96"/>
        <v>0</v>
      </c>
      <c r="G70">
        <f t="shared" si="97"/>
        <v>0</v>
      </c>
      <c r="H70">
        <f t="shared" si="98"/>
        <v>0</v>
      </c>
      <c r="I70">
        <f t="shared" si="100"/>
        <v>0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1.9144282561042968E-2</v>
      </c>
      <c r="P70" s="4">
        <v>14</v>
      </c>
      <c r="Q70" s="5">
        <f t="shared" si="103"/>
        <v>0</v>
      </c>
      <c r="R70" s="5">
        <f t="shared" si="103"/>
        <v>0</v>
      </c>
      <c r="S70" s="5">
        <f t="shared" si="104"/>
        <v>0</v>
      </c>
      <c r="T70" s="5">
        <f t="shared" si="105"/>
        <v>0</v>
      </c>
      <c r="U70" s="5">
        <f t="shared" si="106"/>
        <v>0</v>
      </c>
      <c r="V70" s="5">
        <f t="shared" si="99"/>
        <v>1.9144282561042968E-2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1.2345727033762624E-2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1.2345727033762624E-2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-1126.4000000000001</v>
      </c>
      <c r="D75">
        <v>31976.3</v>
      </c>
      <c r="E75">
        <v>3491.5</v>
      </c>
      <c r="F75">
        <f t="shared" ref="F75:F85" si="108">D75/10000</f>
        <v>3.1976299999999998</v>
      </c>
      <c r="G75">
        <f t="shared" ref="G75:G85" si="109">C75/10000</f>
        <v>-0.11264</v>
      </c>
      <c r="H75">
        <f t="shared" ref="H75:H85" si="110">F75-G75</f>
        <v>3.3102699999999996</v>
      </c>
      <c r="I75">
        <f>E75/10000</f>
        <v>0.34915000000000002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0.20225428830618022</v>
      </c>
      <c r="P75" s="2">
        <v>3</v>
      </c>
      <c r="Q75" s="8">
        <f>H75</f>
        <v>3.3102699999999996</v>
      </c>
      <c r="R75" s="8">
        <f>I75</f>
        <v>0.34915000000000002</v>
      </c>
      <c r="S75" s="8">
        <f>Q75/10^6*$Z$4*$Z$3/P75*10^12</f>
        <v>3.6777099699999996</v>
      </c>
      <c r="T75" s="8">
        <f>S75*0.06</f>
        <v>0.22066259819999998</v>
      </c>
      <c r="U75" s="8">
        <f>S75/$Z$1</f>
        <v>0.50379588630136984</v>
      </c>
      <c r="V75" s="12">
        <f t="shared" ref="V75:V85" si="111">O75</f>
        <v>0.20225428830618022</v>
      </c>
    </row>
    <row r="76" spans="2:22" x14ac:dyDescent="0.3">
      <c r="B76">
        <v>2</v>
      </c>
      <c r="C76">
        <v>1358.9</v>
      </c>
      <c r="D76">
        <v>30785.9</v>
      </c>
      <c r="E76">
        <v>2713.5</v>
      </c>
      <c r="F76">
        <f t="shared" si="108"/>
        <v>3.0785900000000002</v>
      </c>
      <c r="G76">
        <f t="shared" si="109"/>
        <v>0.13589000000000001</v>
      </c>
      <c r="H76">
        <f t="shared" si="110"/>
        <v>2.9427000000000003</v>
      </c>
      <c r="I76">
        <f t="shared" ref="I76:I85" si="112">E76/10000</f>
        <v>0.27134999999999998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0.17940730388760676</v>
      </c>
      <c r="P76" s="4">
        <v>3</v>
      </c>
      <c r="Q76" s="5">
        <f t="shared" ref="Q76:R85" si="115">H76</f>
        <v>2.9427000000000003</v>
      </c>
      <c r="R76" s="5">
        <f t="shared" si="115"/>
        <v>0.27134999999999998</v>
      </c>
      <c r="S76" s="5">
        <f t="shared" ref="S76:S85" si="116">Q76/10^6*$Z$4*$Z$3/P76*10^12</f>
        <v>3.2693397000000002</v>
      </c>
      <c r="T76" s="5">
        <f t="shared" ref="T76:T85" si="117">S76*0.06</f>
        <v>0.19616038199999999</v>
      </c>
      <c r="U76" s="5">
        <f t="shared" ref="U76:U85" si="118">S76/$Z$1</f>
        <v>0.44785475342465758</v>
      </c>
      <c r="V76" s="5">
        <f t="shared" si="111"/>
        <v>0.17940730388760676</v>
      </c>
    </row>
    <row r="77" spans="2:22" x14ac:dyDescent="0.3">
      <c r="B77">
        <v>3</v>
      </c>
      <c r="C77">
        <v>-386.1</v>
      </c>
      <c r="D77">
        <v>27417.3</v>
      </c>
      <c r="E77">
        <v>2450</v>
      </c>
      <c r="F77">
        <f t="shared" si="108"/>
        <v>2.74173</v>
      </c>
      <c r="G77">
        <f t="shared" si="109"/>
        <v>-3.8610000000000005E-2</v>
      </c>
      <c r="H77">
        <f t="shared" si="110"/>
        <v>2.7803399999999998</v>
      </c>
      <c r="I77">
        <f t="shared" si="112"/>
        <v>0.245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0.15477355381782668</v>
      </c>
      <c r="P77" s="4">
        <v>3</v>
      </c>
      <c r="Q77" s="5">
        <f t="shared" si="115"/>
        <v>2.7803399999999998</v>
      </c>
      <c r="R77" s="5">
        <f t="shared" si="115"/>
        <v>0.245</v>
      </c>
      <c r="S77" s="5">
        <f t="shared" si="116"/>
        <v>3.0889577400000001</v>
      </c>
      <c r="T77" s="5">
        <f t="shared" si="117"/>
        <v>0.18533746440000001</v>
      </c>
      <c r="U77" s="5">
        <f t="shared" si="118"/>
        <v>0.42314489589041099</v>
      </c>
      <c r="V77" s="5">
        <f t="shared" si="111"/>
        <v>0.15477355381782668</v>
      </c>
    </row>
    <row r="78" spans="2:22" x14ac:dyDescent="0.3">
      <c r="B78">
        <v>4</v>
      </c>
      <c r="C78">
        <v>1165</v>
      </c>
      <c r="D78">
        <v>15121.7</v>
      </c>
      <c r="E78">
        <v>1501.7</v>
      </c>
      <c r="F78">
        <f t="shared" si="108"/>
        <v>1.51217</v>
      </c>
      <c r="G78">
        <f t="shared" si="109"/>
        <v>0.11650000000000001</v>
      </c>
      <c r="H78">
        <f t="shared" si="110"/>
        <v>1.39567</v>
      </c>
      <c r="I78">
        <f t="shared" si="112"/>
        <v>0.15017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9.3742581651941603E-2</v>
      </c>
      <c r="P78" s="4">
        <v>3</v>
      </c>
      <c r="Q78" s="5">
        <f t="shared" si="115"/>
        <v>1.39567</v>
      </c>
      <c r="R78" s="5">
        <f t="shared" si="115"/>
        <v>0.15017</v>
      </c>
      <c r="S78" s="5">
        <f t="shared" si="116"/>
        <v>1.55058937</v>
      </c>
      <c r="T78" s="5">
        <f t="shared" si="117"/>
        <v>9.3035362199999999E-2</v>
      </c>
      <c r="U78" s="5">
        <f t="shared" si="118"/>
        <v>0.21240950273972603</v>
      </c>
      <c r="V78" s="5">
        <f t="shared" si="111"/>
        <v>9.3742581651941603E-2</v>
      </c>
    </row>
    <row r="79" spans="2:22" x14ac:dyDescent="0.3">
      <c r="B79">
        <v>5</v>
      </c>
      <c r="C79">
        <v>0</v>
      </c>
      <c r="D79">
        <v>0</v>
      </c>
      <c r="E79">
        <v>0</v>
      </c>
      <c r="F79">
        <f t="shared" si="108"/>
        <v>0</v>
      </c>
      <c r="G79">
        <f t="shared" si="109"/>
        <v>0</v>
      </c>
      <c r="H79">
        <f t="shared" si="110"/>
        <v>0</v>
      </c>
      <c r="I79">
        <f t="shared" si="112"/>
        <v>0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6.7753702057566645E-2</v>
      </c>
      <c r="P79" s="4">
        <v>3</v>
      </c>
      <c r="Q79" s="5">
        <f t="shared" si="115"/>
        <v>0</v>
      </c>
      <c r="R79" s="5">
        <f t="shared" si="115"/>
        <v>0</v>
      </c>
      <c r="S79" s="5">
        <f t="shared" si="116"/>
        <v>0</v>
      </c>
      <c r="T79" s="5">
        <f t="shared" si="117"/>
        <v>0</v>
      </c>
      <c r="U79" s="5">
        <f t="shared" si="118"/>
        <v>0</v>
      </c>
      <c r="V79" s="5">
        <f t="shared" si="111"/>
        <v>6.7753702057566645E-2</v>
      </c>
    </row>
    <row r="80" spans="2:22" x14ac:dyDescent="0.3">
      <c r="B80">
        <v>6</v>
      </c>
      <c r="C80">
        <v>0</v>
      </c>
      <c r="D80">
        <v>0</v>
      </c>
      <c r="E80">
        <v>0</v>
      </c>
      <c r="F80">
        <f t="shared" si="108"/>
        <v>0</v>
      </c>
      <c r="G80">
        <f t="shared" si="109"/>
        <v>0</v>
      </c>
      <c r="H80">
        <f t="shared" si="110"/>
        <v>0</v>
      </c>
      <c r="I80">
        <f t="shared" si="112"/>
        <v>0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4.6898608695893532E-2</v>
      </c>
      <c r="P80" s="4">
        <v>4</v>
      </c>
      <c r="Q80" s="5">
        <f t="shared" si="115"/>
        <v>0</v>
      </c>
      <c r="R80" s="5">
        <f t="shared" si="115"/>
        <v>0</v>
      </c>
      <c r="S80" s="5">
        <f t="shared" si="116"/>
        <v>0</v>
      </c>
      <c r="T80" s="5">
        <f t="shared" si="117"/>
        <v>0</v>
      </c>
      <c r="U80" s="5">
        <f t="shared" si="118"/>
        <v>0</v>
      </c>
      <c r="V80" s="5">
        <f t="shared" si="111"/>
        <v>4.6898608695893532E-2</v>
      </c>
    </row>
    <row r="81" spans="2:22" x14ac:dyDescent="0.3">
      <c r="B81">
        <v>7</v>
      </c>
      <c r="C81">
        <v>0</v>
      </c>
      <c r="D81">
        <v>0</v>
      </c>
      <c r="E81">
        <v>0</v>
      </c>
      <c r="F81">
        <f t="shared" si="108"/>
        <v>0</v>
      </c>
      <c r="G81">
        <f t="shared" si="109"/>
        <v>0</v>
      </c>
      <c r="H81">
        <f t="shared" si="110"/>
        <v>0</v>
      </c>
      <c r="I81">
        <f t="shared" si="112"/>
        <v>0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3.3903760800103808E-2</v>
      </c>
      <c r="P81" s="4">
        <v>4</v>
      </c>
      <c r="Q81" s="5">
        <f t="shared" si="115"/>
        <v>0</v>
      </c>
      <c r="R81" s="5">
        <f t="shared" si="115"/>
        <v>0</v>
      </c>
      <c r="S81" s="5">
        <f t="shared" si="116"/>
        <v>0</v>
      </c>
      <c r="T81" s="5">
        <f t="shared" si="117"/>
        <v>0</v>
      </c>
      <c r="U81" s="5">
        <f t="shared" si="118"/>
        <v>0</v>
      </c>
      <c r="V81" s="5">
        <f t="shared" si="111"/>
        <v>3.3903760800103808E-2</v>
      </c>
    </row>
    <row r="82" spans="2:22" x14ac:dyDescent="0.3">
      <c r="B82">
        <v>8</v>
      </c>
      <c r="C82">
        <v>0</v>
      </c>
      <c r="D82">
        <v>0</v>
      </c>
      <c r="E82">
        <v>0</v>
      </c>
      <c r="F82">
        <f t="shared" si="108"/>
        <v>0</v>
      </c>
      <c r="G82">
        <f t="shared" si="109"/>
        <v>0</v>
      </c>
      <c r="H82">
        <f t="shared" si="110"/>
        <v>0</v>
      </c>
      <c r="I82">
        <f t="shared" si="112"/>
        <v>0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2.843222203355223E-2</v>
      </c>
      <c r="P82" s="4">
        <v>5</v>
      </c>
      <c r="Q82" s="5">
        <f t="shared" si="115"/>
        <v>0</v>
      </c>
      <c r="R82" s="5">
        <f t="shared" si="115"/>
        <v>0</v>
      </c>
      <c r="S82" s="5">
        <f t="shared" si="116"/>
        <v>0</v>
      </c>
      <c r="T82" s="5">
        <f t="shared" si="117"/>
        <v>0</v>
      </c>
      <c r="U82" s="5">
        <f t="shared" si="118"/>
        <v>0</v>
      </c>
      <c r="V82" s="5">
        <f t="shared" si="111"/>
        <v>2.843222203355223E-2</v>
      </c>
    </row>
    <row r="83" spans="2:22" x14ac:dyDescent="0.3">
      <c r="B83">
        <v>9</v>
      </c>
      <c r="C83">
        <v>0</v>
      </c>
      <c r="D83">
        <v>0</v>
      </c>
      <c r="E83">
        <v>0</v>
      </c>
      <c r="F83">
        <f t="shared" si="108"/>
        <v>0</v>
      </c>
      <c r="G83">
        <f t="shared" si="109"/>
        <v>0</v>
      </c>
      <c r="H83">
        <f t="shared" si="110"/>
        <v>0</v>
      </c>
      <c r="I83">
        <f t="shared" si="112"/>
        <v>0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2.2914349227129548E-2</v>
      </c>
      <c r="P83" s="4">
        <v>8</v>
      </c>
      <c r="Q83" s="5">
        <f t="shared" si="115"/>
        <v>0</v>
      </c>
      <c r="R83" s="5">
        <f t="shared" si="115"/>
        <v>0</v>
      </c>
      <c r="S83" s="5">
        <f t="shared" si="116"/>
        <v>0</v>
      </c>
      <c r="T83" s="5">
        <f t="shared" si="117"/>
        <v>0</v>
      </c>
      <c r="U83" s="5">
        <f t="shared" si="118"/>
        <v>0</v>
      </c>
      <c r="V83" s="5">
        <f t="shared" si="111"/>
        <v>2.2914349227129548E-2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08"/>
        <v>0</v>
      </c>
      <c r="G84">
        <f t="shared" si="109"/>
        <v>0</v>
      </c>
      <c r="H84">
        <f t="shared" si="110"/>
        <v>0</v>
      </c>
      <c r="I84">
        <f t="shared" si="112"/>
        <v>0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1.6409385052322544E-2</v>
      </c>
      <c r="P84" s="4">
        <v>14</v>
      </c>
      <c r="Q84" s="5">
        <f t="shared" si="115"/>
        <v>0</v>
      </c>
      <c r="R84" s="5">
        <f t="shared" si="115"/>
        <v>0</v>
      </c>
      <c r="S84" s="5">
        <f t="shared" si="116"/>
        <v>0</v>
      </c>
      <c r="T84" s="5">
        <f t="shared" si="117"/>
        <v>0</v>
      </c>
      <c r="U84" s="5">
        <f t="shared" si="118"/>
        <v>0</v>
      </c>
      <c r="V84" s="5">
        <f t="shared" si="111"/>
        <v>1.6409385052322544E-2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1.0582051743225107E-2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1.0582051743225107E-2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-325</v>
      </c>
      <c r="D89">
        <v>32579</v>
      </c>
      <c r="E89">
        <v>3126.4</v>
      </c>
      <c r="F89">
        <f t="shared" ref="F89:F99" si="120">D89/10000</f>
        <v>3.2578999999999998</v>
      </c>
      <c r="G89">
        <f t="shared" ref="G89:G99" si="121">C89/10000</f>
        <v>-3.2500000000000001E-2</v>
      </c>
      <c r="H89">
        <f t="shared" ref="H89:H99" si="122">F89-G89</f>
        <v>3.2904</v>
      </c>
      <c r="I89">
        <f>E89/10000</f>
        <v>0.31264000000000003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0.1769725022679077</v>
      </c>
      <c r="P89" s="2">
        <v>3</v>
      </c>
      <c r="Q89" s="8">
        <f>H89</f>
        <v>3.2904</v>
      </c>
      <c r="R89" s="8">
        <f>I89</f>
        <v>0.31264000000000003</v>
      </c>
      <c r="S89" s="8">
        <f>Q89/10^6*$Z$4*$Z$3/P89*10^12</f>
        <v>3.6556343999999994</v>
      </c>
      <c r="T89" s="8">
        <f>S89*0.06</f>
        <v>0.21933806399999994</v>
      </c>
      <c r="U89" s="8">
        <f>S89/$Z$1</f>
        <v>0.50077183561643823</v>
      </c>
      <c r="V89" s="12">
        <f t="shared" ref="V89:V99" si="123">O89</f>
        <v>0.1769725022679077</v>
      </c>
    </row>
    <row r="90" spans="2:22" x14ac:dyDescent="0.3">
      <c r="B90">
        <v>2</v>
      </c>
      <c r="C90">
        <v>835.6</v>
      </c>
      <c r="D90">
        <v>30359.9</v>
      </c>
      <c r="E90">
        <v>3893.8</v>
      </c>
      <c r="F90">
        <f t="shared" si="120"/>
        <v>3.03599</v>
      </c>
      <c r="G90">
        <f t="shared" si="121"/>
        <v>8.3559999999999995E-2</v>
      </c>
      <c r="H90">
        <f t="shared" si="122"/>
        <v>2.9524300000000001</v>
      </c>
      <c r="I90">
        <f t="shared" ref="I90:I99" si="124">E90/10000</f>
        <v>0.38938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0.15698139090165592</v>
      </c>
      <c r="P90" s="4">
        <v>3</v>
      </c>
      <c r="Q90" s="5">
        <f t="shared" ref="Q90:R99" si="127">H90</f>
        <v>2.9524300000000001</v>
      </c>
      <c r="R90" s="5">
        <f t="shared" si="127"/>
        <v>0.38938</v>
      </c>
      <c r="S90" s="5">
        <f t="shared" ref="S90:S99" si="128">Q90/10^6*$Z$4*$Z$3/P90*10^12</f>
        <v>3.2801497300000002</v>
      </c>
      <c r="T90" s="5">
        <f t="shared" ref="T90:T99" si="129">S90*0.06</f>
        <v>0.1968089838</v>
      </c>
      <c r="U90" s="5">
        <f t="shared" ref="U90:U99" si="130">S90/$Z$1</f>
        <v>0.44933557945205482</v>
      </c>
      <c r="V90" s="5">
        <f t="shared" si="123"/>
        <v>0.15698139090165592</v>
      </c>
    </row>
    <row r="91" spans="2:22" x14ac:dyDescent="0.3">
      <c r="B91">
        <v>3</v>
      </c>
      <c r="C91">
        <v>-17.3</v>
      </c>
      <c r="D91">
        <v>26193.9</v>
      </c>
      <c r="E91">
        <v>2363.8000000000002</v>
      </c>
      <c r="F91">
        <f t="shared" si="120"/>
        <v>2.6193900000000001</v>
      </c>
      <c r="G91">
        <f t="shared" si="121"/>
        <v>-1.73E-3</v>
      </c>
      <c r="H91">
        <f t="shared" si="122"/>
        <v>2.6211199999999999</v>
      </c>
      <c r="I91">
        <f t="shared" si="124"/>
        <v>0.23638000000000001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0.13542685959059833</v>
      </c>
      <c r="P91" s="4">
        <v>3</v>
      </c>
      <c r="Q91" s="5">
        <f t="shared" si="127"/>
        <v>2.6211199999999999</v>
      </c>
      <c r="R91" s="5">
        <f t="shared" si="127"/>
        <v>0.23638000000000001</v>
      </c>
      <c r="S91" s="5">
        <f t="shared" si="128"/>
        <v>2.9120643199999998</v>
      </c>
      <c r="T91" s="5">
        <f t="shared" si="129"/>
        <v>0.17472385919999997</v>
      </c>
      <c r="U91" s="5">
        <f t="shared" si="130"/>
        <v>0.39891292054794519</v>
      </c>
      <c r="V91" s="5">
        <f t="shared" si="123"/>
        <v>0.13542685959059833</v>
      </c>
    </row>
    <row r="92" spans="2:22" x14ac:dyDescent="0.3">
      <c r="B92">
        <v>4</v>
      </c>
      <c r="C92">
        <v>-429.4</v>
      </c>
      <c r="D92">
        <v>12811.4</v>
      </c>
      <c r="E92">
        <v>1599.3</v>
      </c>
      <c r="F92">
        <f t="shared" si="120"/>
        <v>1.2811399999999999</v>
      </c>
      <c r="G92">
        <f t="shared" si="121"/>
        <v>-4.2939999999999999E-2</v>
      </c>
      <c r="H92">
        <f t="shared" si="122"/>
        <v>1.3240799999999999</v>
      </c>
      <c r="I92">
        <f t="shared" si="124"/>
        <v>0.15992999999999999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8.2024758945448903E-2</v>
      </c>
      <c r="P92" s="4">
        <v>3</v>
      </c>
      <c r="Q92" s="5">
        <f t="shared" si="127"/>
        <v>1.3240799999999999</v>
      </c>
      <c r="R92" s="5">
        <f t="shared" si="127"/>
        <v>0.15992999999999999</v>
      </c>
      <c r="S92" s="5">
        <f t="shared" si="128"/>
        <v>1.47105288</v>
      </c>
      <c r="T92" s="5">
        <f t="shared" si="129"/>
        <v>8.8263172799999998E-2</v>
      </c>
      <c r="U92" s="5">
        <f t="shared" si="130"/>
        <v>0.20151409315068494</v>
      </c>
      <c r="V92" s="5">
        <f t="shared" si="123"/>
        <v>8.2024758945448903E-2</v>
      </c>
    </row>
    <row r="93" spans="2:22" x14ac:dyDescent="0.3">
      <c r="B93">
        <v>5</v>
      </c>
      <c r="C93">
        <v>0</v>
      </c>
      <c r="D93">
        <v>0</v>
      </c>
      <c r="E93">
        <v>0</v>
      </c>
      <c r="F93">
        <f t="shared" si="120"/>
        <v>0</v>
      </c>
      <c r="G93">
        <f t="shared" si="121"/>
        <v>0</v>
      </c>
      <c r="H93">
        <f t="shared" si="122"/>
        <v>0</v>
      </c>
      <c r="I93">
        <f t="shared" si="124"/>
        <v>0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5.9284489300370814E-2</v>
      </c>
      <c r="P93" s="4">
        <v>3</v>
      </c>
      <c r="Q93" s="5">
        <f t="shared" si="127"/>
        <v>0</v>
      </c>
      <c r="R93" s="5">
        <f t="shared" si="127"/>
        <v>0</v>
      </c>
      <c r="S93" s="5">
        <f t="shared" si="128"/>
        <v>0</v>
      </c>
      <c r="T93" s="5">
        <f t="shared" si="129"/>
        <v>0</v>
      </c>
      <c r="U93" s="5">
        <f t="shared" si="130"/>
        <v>0</v>
      </c>
      <c r="V93" s="5">
        <f t="shared" si="123"/>
        <v>5.9284489300370814E-2</v>
      </c>
    </row>
    <row r="94" spans="2:22" x14ac:dyDescent="0.3">
      <c r="B94">
        <v>6</v>
      </c>
      <c r="C94">
        <v>0</v>
      </c>
      <c r="D94">
        <v>0</v>
      </c>
      <c r="E94">
        <v>0</v>
      </c>
      <c r="F94">
        <f t="shared" si="120"/>
        <v>0</v>
      </c>
      <c r="G94">
        <f t="shared" si="121"/>
        <v>0</v>
      </c>
      <c r="H94">
        <f t="shared" si="122"/>
        <v>0</v>
      </c>
      <c r="I94">
        <f t="shared" si="124"/>
        <v>0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4.1036282608906842E-2</v>
      </c>
      <c r="P94" s="4">
        <v>4</v>
      </c>
      <c r="Q94" s="5">
        <f t="shared" si="127"/>
        <v>0</v>
      </c>
      <c r="R94" s="5">
        <f t="shared" si="127"/>
        <v>0</v>
      </c>
      <c r="S94" s="5">
        <f t="shared" si="128"/>
        <v>0</v>
      </c>
      <c r="T94" s="5">
        <f t="shared" si="129"/>
        <v>0</v>
      </c>
      <c r="U94" s="5">
        <f t="shared" si="130"/>
        <v>0</v>
      </c>
      <c r="V94" s="5">
        <f t="shared" si="123"/>
        <v>4.1036282608906842E-2</v>
      </c>
    </row>
    <row r="95" spans="2:22" x14ac:dyDescent="0.3">
      <c r="B95">
        <v>7</v>
      </c>
      <c r="C95">
        <v>0</v>
      </c>
      <c r="D95">
        <v>0</v>
      </c>
      <c r="E95">
        <v>0</v>
      </c>
      <c r="F95">
        <f t="shared" si="120"/>
        <v>0</v>
      </c>
      <c r="G95">
        <f t="shared" si="121"/>
        <v>0</v>
      </c>
      <c r="H95">
        <f t="shared" si="122"/>
        <v>0</v>
      </c>
      <c r="I95">
        <f t="shared" si="124"/>
        <v>0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2.9665790700090833E-2</v>
      </c>
      <c r="P95" s="4">
        <v>4</v>
      </c>
      <c r="Q95" s="5">
        <f t="shared" si="127"/>
        <v>0</v>
      </c>
      <c r="R95" s="5">
        <f t="shared" si="127"/>
        <v>0</v>
      </c>
      <c r="S95" s="5">
        <f t="shared" si="128"/>
        <v>0</v>
      </c>
      <c r="T95" s="5">
        <f t="shared" si="129"/>
        <v>0</v>
      </c>
      <c r="U95" s="5">
        <f t="shared" si="130"/>
        <v>0</v>
      </c>
      <c r="V95" s="5">
        <f t="shared" si="123"/>
        <v>2.9665790700090833E-2</v>
      </c>
    </row>
    <row r="96" spans="2:22" x14ac:dyDescent="0.3">
      <c r="B96">
        <v>8</v>
      </c>
      <c r="C96">
        <v>0</v>
      </c>
      <c r="D96">
        <v>0</v>
      </c>
      <c r="E96">
        <v>0</v>
      </c>
      <c r="F96">
        <f t="shared" si="120"/>
        <v>0</v>
      </c>
      <c r="G96">
        <f t="shared" si="121"/>
        <v>0</v>
      </c>
      <c r="H96">
        <f t="shared" si="122"/>
        <v>0</v>
      </c>
      <c r="I96">
        <f t="shared" si="124"/>
        <v>0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2.4878194279358203E-2</v>
      </c>
      <c r="P96" s="4">
        <v>5</v>
      </c>
      <c r="Q96" s="5">
        <f t="shared" si="127"/>
        <v>0</v>
      </c>
      <c r="R96" s="5">
        <f t="shared" si="127"/>
        <v>0</v>
      </c>
      <c r="S96" s="5">
        <f t="shared" si="128"/>
        <v>0</v>
      </c>
      <c r="T96" s="5">
        <f t="shared" si="129"/>
        <v>0</v>
      </c>
      <c r="U96" s="5">
        <f t="shared" si="130"/>
        <v>0</v>
      </c>
      <c r="V96" s="5">
        <f t="shared" si="123"/>
        <v>2.4878194279358203E-2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20"/>
        <v>0</v>
      </c>
      <c r="G97">
        <f t="shared" si="121"/>
        <v>0</v>
      </c>
      <c r="H97">
        <f t="shared" si="122"/>
        <v>0</v>
      </c>
      <c r="I97">
        <f t="shared" si="124"/>
        <v>0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2.0050055573738356E-2</v>
      </c>
      <c r="P97" s="4">
        <v>8</v>
      </c>
      <c r="Q97" s="5">
        <f t="shared" si="127"/>
        <v>0</v>
      </c>
      <c r="R97" s="5">
        <f t="shared" si="127"/>
        <v>0</v>
      </c>
      <c r="S97" s="5">
        <f t="shared" si="128"/>
        <v>0</v>
      </c>
      <c r="T97" s="5">
        <f t="shared" si="129"/>
        <v>0</v>
      </c>
      <c r="U97" s="5">
        <f t="shared" si="130"/>
        <v>0</v>
      </c>
      <c r="V97" s="5">
        <f t="shared" si="123"/>
        <v>2.0050055573738356E-2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1.4358211920782226E-2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1.4358211920782226E-2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9.2592952753219691E-3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9.2592952753219691E-3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-2261.6999999999998</v>
      </c>
      <c r="D103">
        <v>29226.7</v>
      </c>
      <c r="E103">
        <v>3283.2</v>
      </c>
      <c r="F103">
        <f t="shared" ref="F103:F113" si="132">D103/10000</f>
        <v>2.9226700000000001</v>
      </c>
      <c r="G103">
        <f t="shared" ref="G103:G113" si="133">C103/10000</f>
        <v>-0.22616999999999998</v>
      </c>
      <c r="H103">
        <f t="shared" ref="H103:H113" si="134">F103-G103</f>
        <v>3.1488399999999999</v>
      </c>
      <c r="I103">
        <f>E103/10000</f>
        <v>0.32832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0.15730889090480685</v>
      </c>
      <c r="P103" s="2">
        <v>3</v>
      </c>
      <c r="Q103" s="8">
        <f>H103</f>
        <v>3.1488399999999999</v>
      </c>
      <c r="R103" s="8">
        <f>I103</f>
        <v>0.32832</v>
      </c>
      <c r="S103" s="8">
        <f>Q103/10^6*$Z$4*$Z$3/P103*10^12</f>
        <v>3.4983612399999999</v>
      </c>
      <c r="T103" s="8">
        <f>S103*0.06</f>
        <v>0.20990167439999999</v>
      </c>
      <c r="U103" s="8">
        <f>S103/$Z$1</f>
        <v>0.47922756712328768</v>
      </c>
      <c r="V103" s="12">
        <f t="shared" ref="V103:V113" si="135">O103</f>
        <v>0.15730889090480685</v>
      </c>
    </row>
    <row r="104" spans="2:22" x14ac:dyDescent="0.3">
      <c r="B104">
        <v>2</v>
      </c>
      <c r="C104">
        <v>-1303.0999999999999</v>
      </c>
      <c r="D104">
        <v>25809.9</v>
      </c>
      <c r="E104">
        <v>3553.5</v>
      </c>
      <c r="F104">
        <f t="shared" si="132"/>
        <v>2.5809900000000003</v>
      </c>
      <c r="G104">
        <f t="shared" si="133"/>
        <v>-0.13030999999999998</v>
      </c>
      <c r="H104">
        <f t="shared" si="134"/>
        <v>2.7113000000000005</v>
      </c>
      <c r="I104">
        <f t="shared" ref="I104:I113" si="136">E104/10000</f>
        <v>0.35535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0.13953901413480524</v>
      </c>
      <c r="P104" s="4">
        <v>3</v>
      </c>
      <c r="Q104" s="5">
        <f t="shared" ref="Q104:R113" si="139">H104</f>
        <v>2.7113000000000005</v>
      </c>
      <c r="R104" s="5">
        <f t="shared" si="139"/>
        <v>0.35535</v>
      </c>
      <c r="S104" s="5">
        <f t="shared" ref="S104:S113" si="140">Q104/10^6*$Z$4*$Z$3/P104*10^12</f>
        <v>3.0122543000000008</v>
      </c>
      <c r="T104" s="5">
        <f t="shared" ref="T104:T113" si="141">S104*0.06</f>
        <v>0.18073525800000004</v>
      </c>
      <c r="U104" s="5">
        <f t="shared" ref="U104:U113" si="142">S104/$Z$1</f>
        <v>0.41263757534246587</v>
      </c>
      <c r="V104" s="5">
        <f t="shared" si="135"/>
        <v>0.13953901413480524</v>
      </c>
    </row>
    <row r="105" spans="2:22" x14ac:dyDescent="0.3">
      <c r="B105">
        <v>3</v>
      </c>
      <c r="C105">
        <v>-3687.3</v>
      </c>
      <c r="D105">
        <v>21891.4</v>
      </c>
      <c r="E105">
        <v>2428.6999999999998</v>
      </c>
      <c r="F105">
        <f t="shared" si="132"/>
        <v>2.1891400000000001</v>
      </c>
      <c r="G105">
        <f t="shared" si="133"/>
        <v>-0.36873</v>
      </c>
      <c r="H105">
        <f t="shared" si="134"/>
        <v>2.5578700000000003</v>
      </c>
      <c r="I105">
        <f t="shared" si="136"/>
        <v>0.24286999999999997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0.12037943074719851</v>
      </c>
      <c r="P105" s="4">
        <v>3</v>
      </c>
      <c r="Q105" s="5">
        <f t="shared" si="139"/>
        <v>2.5578700000000003</v>
      </c>
      <c r="R105" s="5">
        <f t="shared" si="139"/>
        <v>0.24286999999999997</v>
      </c>
      <c r="S105" s="5">
        <f t="shared" si="140"/>
        <v>2.8417935700000005</v>
      </c>
      <c r="T105" s="5">
        <f t="shared" si="141"/>
        <v>0.17050761420000002</v>
      </c>
      <c r="U105" s="5">
        <f t="shared" si="142"/>
        <v>0.38928679041095898</v>
      </c>
      <c r="V105" s="5">
        <f t="shared" si="135"/>
        <v>0.12037943074719851</v>
      </c>
    </row>
    <row r="106" spans="2:22" x14ac:dyDescent="0.3">
      <c r="B106">
        <v>4</v>
      </c>
      <c r="C106">
        <v>-3113.4</v>
      </c>
      <c r="D106">
        <v>4384.6000000000004</v>
      </c>
      <c r="E106">
        <v>1255.0999999999999</v>
      </c>
      <c r="F106">
        <f t="shared" si="132"/>
        <v>0.43846000000000002</v>
      </c>
      <c r="G106">
        <f t="shared" si="133"/>
        <v>-0.31134000000000001</v>
      </c>
      <c r="H106">
        <f t="shared" si="134"/>
        <v>0.74980000000000002</v>
      </c>
      <c r="I106">
        <f t="shared" si="136"/>
        <v>0.12550999999999998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7.2910896840399017E-2</v>
      </c>
      <c r="P106" s="4">
        <v>3</v>
      </c>
      <c r="Q106" s="5">
        <f t="shared" si="139"/>
        <v>0.74980000000000002</v>
      </c>
      <c r="R106" s="5">
        <f t="shared" si="139"/>
        <v>0.12550999999999998</v>
      </c>
      <c r="S106" s="5">
        <f t="shared" si="140"/>
        <v>0.8330278000000001</v>
      </c>
      <c r="T106" s="5">
        <f t="shared" si="141"/>
        <v>4.9981668000000007E-2</v>
      </c>
      <c r="U106" s="5">
        <f t="shared" si="142"/>
        <v>0.11411339726027399</v>
      </c>
      <c r="V106" s="5">
        <f t="shared" si="135"/>
        <v>7.2910896840399017E-2</v>
      </c>
    </row>
    <row r="107" spans="2:22" x14ac:dyDescent="0.3">
      <c r="B107">
        <v>5</v>
      </c>
      <c r="C107">
        <v>0</v>
      </c>
      <c r="D107">
        <v>0</v>
      </c>
      <c r="E107">
        <v>0</v>
      </c>
      <c r="F107">
        <f t="shared" si="132"/>
        <v>0</v>
      </c>
      <c r="G107">
        <f t="shared" si="133"/>
        <v>0</v>
      </c>
      <c r="H107">
        <f t="shared" si="134"/>
        <v>0</v>
      </c>
      <c r="I107">
        <f t="shared" si="136"/>
        <v>0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5.269732382255183E-2</v>
      </c>
      <c r="P107" s="4">
        <v>3</v>
      </c>
      <c r="Q107" s="5">
        <f t="shared" si="139"/>
        <v>0</v>
      </c>
      <c r="R107" s="5">
        <f t="shared" si="139"/>
        <v>0</v>
      </c>
      <c r="S107" s="5">
        <f t="shared" si="140"/>
        <v>0</v>
      </c>
      <c r="T107" s="5">
        <f t="shared" si="141"/>
        <v>0</v>
      </c>
      <c r="U107" s="5">
        <f t="shared" si="142"/>
        <v>0</v>
      </c>
      <c r="V107" s="5">
        <f t="shared" si="135"/>
        <v>5.269732382255183E-2</v>
      </c>
    </row>
    <row r="108" spans="2:22" x14ac:dyDescent="0.3">
      <c r="B108">
        <v>6</v>
      </c>
      <c r="C108">
        <v>0</v>
      </c>
      <c r="D108">
        <v>0</v>
      </c>
      <c r="E108">
        <v>0</v>
      </c>
      <c r="F108">
        <f t="shared" si="132"/>
        <v>0</v>
      </c>
      <c r="G108">
        <f t="shared" si="133"/>
        <v>0</v>
      </c>
      <c r="H108">
        <f t="shared" si="134"/>
        <v>0</v>
      </c>
      <c r="I108">
        <f t="shared" si="136"/>
        <v>0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3.6476695652361633E-2</v>
      </c>
      <c r="P108" s="4">
        <v>4</v>
      </c>
      <c r="Q108" s="5">
        <f t="shared" si="139"/>
        <v>0</v>
      </c>
      <c r="R108" s="5">
        <f t="shared" si="139"/>
        <v>0</v>
      </c>
      <c r="S108" s="5">
        <f t="shared" si="140"/>
        <v>0</v>
      </c>
      <c r="T108" s="5">
        <f t="shared" si="141"/>
        <v>0</v>
      </c>
      <c r="U108" s="5">
        <f t="shared" si="142"/>
        <v>0</v>
      </c>
      <c r="V108" s="5">
        <f t="shared" si="135"/>
        <v>3.6476695652361633E-2</v>
      </c>
    </row>
    <row r="109" spans="2:22" x14ac:dyDescent="0.3">
      <c r="B109">
        <v>7</v>
      </c>
      <c r="C109">
        <v>0</v>
      </c>
      <c r="D109">
        <v>0</v>
      </c>
      <c r="E109">
        <v>0</v>
      </c>
      <c r="F109">
        <f t="shared" si="132"/>
        <v>0</v>
      </c>
      <c r="G109">
        <f t="shared" si="133"/>
        <v>0</v>
      </c>
      <c r="H109">
        <f t="shared" si="134"/>
        <v>0</v>
      </c>
      <c r="I109">
        <f t="shared" si="136"/>
        <v>0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2.6369591733414074E-2</v>
      </c>
      <c r="P109" s="4">
        <v>4</v>
      </c>
      <c r="Q109" s="5">
        <f t="shared" si="139"/>
        <v>0</v>
      </c>
      <c r="R109" s="5">
        <f t="shared" si="139"/>
        <v>0</v>
      </c>
      <c r="S109" s="5">
        <f t="shared" si="140"/>
        <v>0</v>
      </c>
      <c r="T109" s="5">
        <f t="shared" si="141"/>
        <v>0</v>
      </c>
      <c r="U109" s="5">
        <f t="shared" si="142"/>
        <v>0</v>
      </c>
      <c r="V109" s="5">
        <f t="shared" si="135"/>
        <v>2.6369591733414074E-2</v>
      </c>
    </row>
    <row r="110" spans="2:22" x14ac:dyDescent="0.3">
      <c r="B110">
        <v>8</v>
      </c>
      <c r="C110">
        <v>0</v>
      </c>
      <c r="D110">
        <v>0</v>
      </c>
      <c r="E110">
        <v>0</v>
      </c>
      <c r="F110">
        <f t="shared" si="132"/>
        <v>0</v>
      </c>
      <c r="G110">
        <f t="shared" si="133"/>
        <v>0</v>
      </c>
      <c r="H110">
        <f t="shared" si="134"/>
        <v>0</v>
      </c>
      <c r="I110">
        <f t="shared" si="136"/>
        <v>0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2.2113950470540624E-2</v>
      </c>
      <c r="P110" s="4">
        <v>5</v>
      </c>
      <c r="Q110" s="5">
        <f t="shared" si="139"/>
        <v>0</v>
      </c>
      <c r="R110" s="5">
        <f t="shared" si="139"/>
        <v>0</v>
      </c>
      <c r="S110" s="5">
        <f t="shared" si="140"/>
        <v>0</v>
      </c>
      <c r="T110" s="5">
        <f t="shared" si="141"/>
        <v>0</v>
      </c>
      <c r="U110" s="5">
        <f t="shared" si="142"/>
        <v>0</v>
      </c>
      <c r="V110" s="5">
        <f t="shared" si="135"/>
        <v>2.2113950470540624E-2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32"/>
        <v>0</v>
      </c>
      <c r="G111">
        <f t="shared" si="133"/>
        <v>0</v>
      </c>
      <c r="H111">
        <f t="shared" si="134"/>
        <v>0</v>
      </c>
      <c r="I111">
        <f t="shared" si="136"/>
        <v>0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1.7822271621100762E-2</v>
      </c>
      <c r="P111" s="4">
        <v>8</v>
      </c>
      <c r="Q111" s="5">
        <f t="shared" si="139"/>
        <v>0</v>
      </c>
      <c r="R111" s="5">
        <f t="shared" si="139"/>
        <v>0</v>
      </c>
      <c r="S111" s="5">
        <f t="shared" si="140"/>
        <v>0</v>
      </c>
      <c r="T111" s="5">
        <f t="shared" si="141"/>
        <v>0</v>
      </c>
      <c r="U111" s="5">
        <f t="shared" si="142"/>
        <v>0</v>
      </c>
      <c r="V111" s="5">
        <f t="shared" si="135"/>
        <v>1.7822271621100762E-2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1.2762855040695312E-2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1.2762855040695312E-2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8.230484689175083E-3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8.230484689175083E-3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-7792.7</v>
      </c>
      <c r="D117">
        <v>25315.5</v>
      </c>
      <c r="E117">
        <v>3298.3</v>
      </c>
      <c r="F117">
        <f t="shared" ref="F117:F127" si="144">D117/10000</f>
        <v>2.5315500000000002</v>
      </c>
      <c r="G117">
        <f t="shared" ref="G117:G127" si="145">C117/10000</f>
        <v>-0.77927000000000002</v>
      </c>
      <c r="H117">
        <f t="shared" ref="H117:H127" si="146">F117-G117</f>
        <v>3.3108200000000001</v>
      </c>
      <c r="I117">
        <f>E117/10000</f>
        <v>0.32983000000000001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0.14157800181432617</v>
      </c>
      <c r="P117" s="2">
        <v>3</v>
      </c>
      <c r="Q117" s="8">
        <f>H117</f>
        <v>3.3108200000000001</v>
      </c>
      <c r="R117" s="8">
        <f>I117</f>
        <v>0.32983000000000001</v>
      </c>
      <c r="S117" s="8">
        <f>Q117/10^6*$Z$4*$Z$3/P117*10^12</f>
        <v>3.6783210200000007</v>
      </c>
      <c r="T117" s="8">
        <f>S117*0.06</f>
        <v>0.22069926120000002</v>
      </c>
      <c r="U117" s="8">
        <f>S117/$Z$1</f>
        <v>0.50387959178082198</v>
      </c>
      <c r="V117" s="12">
        <f t="shared" ref="V117:V127" si="147">O117</f>
        <v>0.14157800181432617</v>
      </c>
    </row>
    <row r="118" spans="2:22" x14ac:dyDescent="0.3">
      <c r="B118">
        <v>2</v>
      </c>
      <c r="C118">
        <v>-4354.8999999999996</v>
      </c>
      <c r="D118">
        <v>24077.9</v>
      </c>
      <c r="E118">
        <v>3381.8</v>
      </c>
      <c r="F118">
        <f t="shared" si="144"/>
        <v>2.4077900000000003</v>
      </c>
      <c r="G118">
        <f t="shared" si="145"/>
        <v>-0.43548999999999999</v>
      </c>
      <c r="H118">
        <f t="shared" si="146"/>
        <v>2.8432800000000005</v>
      </c>
      <c r="I118">
        <f t="shared" ref="I118:I127" si="148">E118/10000</f>
        <v>0.33818000000000004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0.12558511272132472</v>
      </c>
      <c r="P118" s="4">
        <v>3</v>
      </c>
      <c r="Q118" s="5">
        <f t="shared" ref="Q118:R127" si="151">H118</f>
        <v>2.8432800000000005</v>
      </c>
      <c r="R118" s="5">
        <f t="shared" si="151"/>
        <v>0.33818000000000004</v>
      </c>
      <c r="S118" s="5">
        <f t="shared" ref="S118:S127" si="152">Q118/10^6*$Z$4*$Z$3/P118*10^12</f>
        <v>3.1588840800000009</v>
      </c>
      <c r="T118" s="5">
        <f t="shared" ref="T118:T127" si="153">S118*0.06</f>
        <v>0.18953304480000005</v>
      </c>
      <c r="U118" s="5">
        <f t="shared" ref="U118:U127" si="154">S118/$Z$1</f>
        <v>0.43272384657534257</v>
      </c>
      <c r="V118" s="5">
        <f t="shared" si="147"/>
        <v>0.12558511272132472</v>
      </c>
    </row>
    <row r="119" spans="2:22" x14ac:dyDescent="0.3">
      <c r="B119">
        <v>3</v>
      </c>
      <c r="C119">
        <v>-4028.9</v>
      </c>
      <c r="D119">
        <v>21147.9</v>
      </c>
      <c r="E119">
        <v>2586.1999999999998</v>
      </c>
      <c r="F119">
        <f t="shared" si="144"/>
        <v>2.1147900000000002</v>
      </c>
      <c r="G119">
        <f t="shared" si="145"/>
        <v>-0.40289000000000003</v>
      </c>
      <c r="H119">
        <f t="shared" si="146"/>
        <v>2.5176800000000004</v>
      </c>
      <c r="I119">
        <f t="shared" si="148"/>
        <v>0.25861999999999996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0.10834148767247866</v>
      </c>
      <c r="P119" s="4">
        <v>3</v>
      </c>
      <c r="Q119" s="5">
        <f t="shared" si="151"/>
        <v>2.5176800000000004</v>
      </c>
      <c r="R119" s="5">
        <f t="shared" si="151"/>
        <v>0.25861999999999996</v>
      </c>
      <c r="S119" s="5">
        <f t="shared" si="152"/>
        <v>2.7971424800000002</v>
      </c>
      <c r="T119" s="5">
        <f t="shared" si="153"/>
        <v>0.1678285488</v>
      </c>
      <c r="U119" s="5">
        <f t="shared" si="154"/>
        <v>0.38317020273972607</v>
      </c>
      <c r="V119" s="5">
        <f t="shared" si="147"/>
        <v>0.10834148767247866</v>
      </c>
    </row>
    <row r="120" spans="2:22" x14ac:dyDescent="0.3">
      <c r="B120">
        <v>4</v>
      </c>
      <c r="C120">
        <v>0</v>
      </c>
      <c r="D120">
        <v>0</v>
      </c>
      <c r="E120">
        <v>0</v>
      </c>
      <c r="F120">
        <f t="shared" si="144"/>
        <v>0</v>
      </c>
      <c r="G120">
        <f t="shared" si="145"/>
        <v>0</v>
      </c>
      <c r="H120">
        <f t="shared" si="146"/>
        <v>0</v>
      </c>
      <c r="I120">
        <f t="shared" si="148"/>
        <v>0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6.5619807156359122E-2</v>
      </c>
      <c r="P120" s="4">
        <v>3</v>
      </c>
      <c r="Q120" s="5">
        <f t="shared" si="151"/>
        <v>0</v>
      </c>
      <c r="R120" s="5">
        <f t="shared" si="151"/>
        <v>0</v>
      </c>
      <c r="S120" s="5">
        <f t="shared" si="152"/>
        <v>0</v>
      </c>
      <c r="T120" s="5">
        <f t="shared" si="153"/>
        <v>0</v>
      </c>
      <c r="U120" s="5">
        <f t="shared" si="154"/>
        <v>0</v>
      </c>
      <c r="V120" s="5">
        <f t="shared" si="147"/>
        <v>6.5619807156359122E-2</v>
      </c>
    </row>
    <row r="121" spans="2:22" x14ac:dyDescent="0.3">
      <c r="B121">
        <v>5</v>
      </c>
      <c r="C121">
        <v>0</v>
      </c>
      <c r="D121">
        <v>0</v>
      </c>
      <c r="E121">
        <v>0</v>
      </c>
      <c r="F121">
        <f t="shared" si="144"/>
        <v>0</v>
      </c>
      <c r="G121">
        <f t="shared" si="145"/>
        <v>0</v>
      </c>
      <c r="H121">
        <f t="shared" si="146"/>
        <v>0</v>
      </c>
      <c r="I121">
        <f t="shared" si="148"/>
        <v>0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4.7427591440296644E-2</v>
      </c>
      <c r="P121" s="4">
        <v>3</v>
      </c>
      <c r="Q121" s="5">
        <f t="shared" si="151"/>
        <v>0</v>
      </c>
      <c r="R121" s="5">
        <f t="shared" si="151"/>
        <v>0</v>
      </c>
      <c r="S121" s="5">
        <f t="shared" si="152"/>
        <v>0</v>
      </c>
      <c r="T121" s="5">
        <f t="shared" si="153"/>
        <v>0</v>
      </c>
      <c r="U121" s="5">
        <f t="shared" si="154"/>
        <v>0</v>
      </c>
      <c r="V121" s="5">
        <f t="shared" si="147"/>
        <v>4.7427591440296644E-2</v>
      </c>
    </row>
    <row r="122" spans="2:22" x14ac:dyDescent="0.3">
      <c r="B122">
        <v>6</v>
      </c>
      <c r="C122">
        <v>0</v>
      </c>
      <c r="D122">
        <v>0</v>
      </c>
      <c r="E122">
        <v>0</v>
      </c>
      <c r="F122">
        <f t="shared" si="144"/>
        <v>0</v>
      </c>
      <c r="G122">
        <f t="shared" si="145"/>
        <v>0</v>
      </c>
      <c r="H122">
        <f t="shared" si="146"/>
        <v>0</v>
      </c>
      <c r="I122">
        <f t="shared" si="148"/>
        <v>0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3.2829026087125471E-2</v>
      </c>
      <c r="P122" s="4">
        <v>4</v>
      </c>
      <c r="Q122" s="5">
        <f t="shared" si="151"/>
        <v>0</v>
      </c>
      <c r="R122" s="5">
        <f t="shared" si="151"/>
        <v>0</v>
      </c>
      <c r="S122" s="5">
        <f t="shared" si="152"/>
        <v>0</v>
      </c>
      <c r="T122" s="5">
        <f t="shared" si="153"/>
        <v>0</v>
      </c>
      <c r="U122" s="5">
        <f t="shared" si="154"/>
        <v>0</v>
      </c>
      <c r="V122" s="5">
        <f t="shared" si="147"/>
        <v>3.2829026087125471E-2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44"/>
        <v>0</v>
      </c>
      <c r="G123">
        <f t="shared" si="145"/>
        <v>0</v>
      </c>
      <c r="H123">
        <f t="shared" si="146"/>
        <v>0</v>
      </c>
      <c r="I123">
        <f t="shared" si="148"/>
        <v>0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2.3732632560072665E-2</v>
      </c>
      <c r="P123" s="4">
        <v>4</v>
      </c>
      <c r="Q123" s="5">
        <f t="shared" si="151"/>
        <v>0</v>
      </c>
      <c r="R123" s="5">
        <f t="shared" si="151"/>
        <v>0</v>
      </c>
      <c r="S123" s="5">
        <f t="shared" si="152"/>
        <v>0</v>
      </c>
      <c r="T123" s="5">
        <f t="shared" si="153"/>
        <v>0</v>
      </c>
      <c r="U123" s="5">
        <f t="shared" si="154"/>
        <v>0</v>
      </c>
      <c r="V123" s="5">
        <f t="shared" si="147"/>
        <v>2.3732632560072665E-2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44"/>
        <v>0</v>
      </c>
      <c r="G124">
        <f t="shared" si="145"/>
        <v>0</v>
      </c>
      <c r="H124">
        <f t="shared" si="146"/>
        <v>0</v>
      </c>
      <c r="I124">
        <f t="shared" si="148"/>
        <v>0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1.9902555423486564E-2</v>
      </c>
      <c r="P124" s="4">
        <v>5</v>
      </c>
      <c r="Q124" s="5">
        <f t="shared" si="151"/>
        <v>0</v>
      </c>
      <c r="R124" s="5">
        <f t="shared" si="151"/>
        <v>0</v>
      </c>
      <c r="S124" s="5">
        <f t="shared" si="152"/>
        <v>0</v>
      </c>
      <c r="T124" s="5">
        <f t="shared" si="153"/>
        <v>0</v>
      </c>
      <c r="U124" s="5">
        <f t="shared" si="154"/>
        <v>0</v>
      </c>
      <c r="V124" s="5">
        <f t="shared" si="147"/>
        <v>1.9902555423486564E-2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44"/>
        <v>0</v>
      </c>
      <c r="G125">
        <f t="shared" si="145"/>
        <v>0</v>
      </c>
      <c r="H125">
        <f t="shared" si="146"/>
        <v>0</v>
      </c>
      <c r="I125">
        <f t="shared" si="148"/>
        <v>0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1.6040044458990686E-2</v>
      </c>
      <c r="P125" s="4">
        <v>8</v>
      </c>
      <c r="Q125" s="5">
        <f t="shared" si="151"/>
        <v>0</v>
      </c>
      <c r="R125" s="5">
        <f t="shared" si="151"/>
        <v>0</v>
      </c>
      <c r="S125" s="5">
        <f t="shared" si="152"/>
        <v>0</v>
      </c>
      <c r="T125" s="5">
        <f t="shared" si="153"/>
        <v>0</v>
      </c>
      <c r="U125" s="5">
        <f t="shared" si="154"/>
        <v>0</v>
      </c>
      <c r="V125" s="5">
        <f t="shared" si="147"/>
        <v>1.6040044458990686E-2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1.1486569536625782E-2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1.1486569536625782E-2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7.4074362202575742E-3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7.4074362202575742E-3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-5631.8</v>
      </c>
      <c r="D131">
        <v>28556.6</v>
      </c>
      <c r="E131">
        <v>4664.3</v>
      </c>
      <c r="F131">
        <f t="shared" ref="F131:F141" si="156">D131/10000</f>
        <v>2.8556599999999999</v>
      </c>
      <c r="G131">
        <f t="shared" ref="G131:G141" si="157">C131/10000</f>
        <v>-0.56318000000000001</v>
      </c>
      <c r="H131">
        <f t="shared" ref="H131:H141" si="158">F131-G131</f>
        <v>3.4188399999999999</v>
      </c>
      <c r="I131">
        <f>E131/10000</f>
        <v>0.46643000000000001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9.4385334542884114E-2</v>
      </c>
      <c r="P131" s="2">
        <v>3</v>
      </c>
      <c r="Q131" s="8">
        <f>H131</f>
        <v>3.4188399999999999</v>
      </c>
      <c r="R131" s="8">
        <f>I131</f>
        <v>0.46643000000000001</v>
      </c>
      <c r="S131" s="8">
        <f>Q131/10^6*$Z$4*$Z$3/P131*10^12</f>
        <v>3.79833124</v>
      </c>
      <c r="T131" s="8">
        <f>S131*0.06</f>
        <v>0.22789987439999998</v>
      </c>
      <c r="U131" s="8">
        <f>S131/$Z$1</f>
        <v>0.52031934794520551</v>
      </c>
      <c r="V131" s="12">
        <f t="shared" ref="V131:V141" si="159">O131</f>
        <v>9.4385334542884114E-2</v>
      </c>
    </row>
    <row r="132" spans="2:22" x14ac:dyDescent="0.3">
      <c r="B132">
        <v>2</v>
      </c>
      <c r="C132">
        <v>-673.8</v>
      </c>
      <c r="D132">
        <v>23646.6</v>
      </c>
      <c r="E132">
        <v>3812.5</v>
      </c>
      <c r="F132">
        <f t="shared" si="156"/>
        <v>2.3646599999999998</v>
      </c>
      <c r="G132">
        <f t="shared" si="157"/>
        <v>-6.7379999999999995E-2</v>
      </c>
      <c r="H132">
        <f t="shared" si="158"/>
        <v>2.4320399999999998</v>
      </c>
      <c r="I132">
        <f t="shared" ref="I132:I141" si="160">E132/10000</f>
        <v>0.38124999999999998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8.3723408480883152E-2</v>
      </c>
      <c r="P132" s="4">
        <v>3</v>
      </c>
      <c r="Q132" s="5">
        <f t="shared" ref="Q132:R141" si="163">H132</f>
        <v>2.4320399999999998</v>
      </c>
      <c r="R132" s="5">
        <f t="shared" si="163"/>
        <v>0.38124999999999998</v>
      </c>
      <c r="S132" s="5">
        <f t="shared" ref="S132:S141" si="164">Q132/10^6*$Z$4*$Z$3/P132*10^12</f>
        <v>2.7019964399999998</v>
      </c>
      <c r="T132" s="5">
        <f t="shared" ref="T132:T141" si="165">S132*0.06</f>
        <v>0.16211978639999999</v>
      </c>
      <c r="U132" s="5">
        <f t="shared" ref="U132:U141" si="166">S132/$Z$1</f>
        <v>0.37013649863013698</v>
      </c>
      <c r="V132" s="5">
        <f t="shared" si="159"/>
        <v>8.3723408480883152E-2</v>
      </c>
    </row>
    <row r="133" spans="2:22" x14ac:dyDescent="0.3">
      <c r="B133">
        <v>3</v>
      </c>
      <c r="C133">
        <v>-3382</v>
      </c>
      <c r="D133">
        <v>20370.3</v>
      </c>
      <c r="E133">
        <v>6059.9</v>
      </c>
      <c r="F133">
        <f t="shared" si="156"/>
        <v>2.0370300000000001</v>
      </c>
      <c r="G133">
        <f t="shared" si="157"/>
        <v>-0.3382</v>
      </c>
      <c r="H133">
        <f t="shared" si="158"/>
        <v>2.3752300000000002</v>
      </c>
      <c r="I133">
        <f t="shared" si="160"/>
        <v>0.60598999999999992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7.2227658448319104E-2</v>
      </c>
      <c r="P133" s="4">
        <v>3</v>
      </c>
      <c r="Q133" s="5">
        <f t="shared" si="163"/>
        <v>2.3752300000000002</v>
      </c>
      <c r="R133" s="5">
        <f t="shared" si="163"/>
        <v>0.60598999999999992</v>
      </c>
      <c r="S133" s="5">
        <f t="shared" si="164"/>
        <v>2.6388805300000002</v>
      </c>
      <c r="T133" s="5">
        <f t="shared" si="165"/>
        <v>0.15833283180000002</v>
      </c>
      <c r="U133" s="5">
        <f t="shared" si="166"/>
        <v>0.36149048356164387</v>
      </c>
      <c r="V133" s="5">
        <f t="shared" si="159"/>
        <v>7.2227658448319104E-2</v>
      </c>
    </row>
    <row r="134" spans="2:22" x14ac:dyDescent="0.3">
      <c r="B134">
        <v>4</v>
      </c>
      <c r="C134">
        <v>-2498</v>
      </c>
      <c r="D134">
        <v>15461.1</v>
      </c>
      <c r="E134">
        <v>1207.0999999999999</v>
      </c>
      <c r="F134">
        <f t="shared" si="156"/>
        <v>1.5461100000000001</v>
      </c>
      <c r="G134">
        <f t="shared" si="157"/>
        <v>-0.24979999999999999</v>
      </c>
      <c r="H134">
        <f t="shared" si="158"/>
        <v>1.7959100000000001</v>
      </c>
      <c r="I134">
        <f t="shared" si="160"/>
        <v>0.12070999999999998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4.374653810423941E-2</v>
      </c>
      <c r="P134" s="4">
        <v>3</v>
      </c>
      <c r="Q134" s="5">
        <f t="shared" si="163"/>
        <v>1.7959100000000001</v>
      </c>
      <c r="R134" s="5">
        <f t="shared" si="163"/>
        <v>0.12070999999999998</v>
      </c>
      <c r="S134" s="5">
        <f t="shared" si="164"/>
        <v>1.9952560100000003</v>
      </c>
      <c r="T134" s="5">
        <f t="shared" si="165"/>
        <v>0.11971536060000001</v>
      </c>
      <c r="U134" s="5">
        <f t="shared" si="166"/>
        <v>0.27332274109589044</v>
      </c>
      <c r="V134" s="5">
        <f t="shared" si="159"/>
        <v>4.374653810423941E-2</v>
      </c>
    </row>
    <row r="135" spans="2:22" x14ac:dyDescent="0.3">
      <c r="B135">
        <v>5</v>
      </c>
      <c r="C135">
        <v>-2604.9</v>
      </c>
      <c r="D135">
        <v>9294</v>
      </c>
      <c r="E135">
        <v>1098</v>
      </c>
      <c r="F135">
        <f t="shared" si="156"/>
        <v>0.9294</v>
      </c>
      <c r="G135">
        <f t="shared" si="157"/>
        <v>-0.26049</v>
      </c>
      <c r="H135">
        <f t="shared" si="158"/>
        <v>1.1898900000000001</v>
      </c>
      <c r="I135">
        <f t="shared" si="160"/>
        <v>0.10979999999999999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3.1618394293531096E-2</v>
      </c>
      <c r="P135" s="4">
        <v>3</v>
      </c>
      <c r="Q135" s="5">
        <f t="shared" si="163"/>
        <v>1.1898900000000001</v>
      </c>
      <c r="R135" s="5">
        <f t="shared" si="163"/>
        <v>0.10979999999999999</v>
      </c>
      <c r="S135" s="5">
        <f t="shared" si="164"/>
        <v>1.3219677900000004</v>
      </c>
      <c r="T135" s="5">
        <f t="shared" si="165"/>
        <v>7.9318067400000025E-2</v>
      </c>
      <c r="U135" s="5">
        <f t="shared" si="166"/>
        <v>0.18109147808219184</v>
      </c>
      <c r="V135" s="5">
        <f t="shared" si="159"/>
        <v>3.1618394293531096E-2</v>
      </c>
    </row>
    <row r="136" spans="2:22" x14ac:dyDescent="0.3">
      <c r="B136">
        <v>6</v>
      </c>
      <c r="C136">
        <v>0</v>
      </c>
      <c r="D136">
        <v>0</v>
      </c>
      <c r="E136">
        <v>0</v>
      </c>
      <c r="F136">
        <f t="shared" si="156"/>
        <v>0</v>
      </c>
      <c r="G136">
        <f t="shared" si="157"/>
        <v>0</v>
      </c>
      <c r="H136">
        <f t="shared" si="158"/>
        <v>0</v>
      </c>
      <c r="I136">
        <f t="shared" si="160"/>
        <v>0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2.1886017391416983E-2</v>
      </c>
      <c r="P136" s="4">
        <v>4</v>
      </c>
      <c r="Q136" s="5">
        <f t="shared" si="163"/>
        <v>0</v>
      </c>
      <c r="R136" s="5">
        <f t="shared" si="163"/>
        <v>0</v>
      </c>
      <c r="S136" s="5">
        <f t="shared" si="164"/>
        <v>0</v>
      </c>
      <c r="T136" s="5">
        <f t="shared" si="165"/>
        <v>0</v>
      </c>
      <c r="U136" s="5">
        <f t="shared" si="166"/>
        <v>0</v>
      </c>
      <c r="V136" s="5">
        <f t="shared" si="159"/>
        <v>2.1886017391416983E-2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1.5821755040048444E-2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1.5821755040048444E-2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1.3268370282324376E-2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1.3268370282324376E-2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1.0693362972660459E-2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1.0693362972660459E-2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7.657713024417187E-3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7.657713024417187E-3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4.9382908135050503E-3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4.9382908135050503E-3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-112.2</v>
      </c>
      <c r="D145">
        <v>26843.3</v>
      </c>
      <c r="E145">
        <v>4352.3</v>
      </c>
      <c r="F145">
        <f t="shared" ref="F145:F155" si="168">D145/10000</f>
        <v>2.6843300000000001</v>
      </c>
      <c r="G145">
        <f t="shared" ref="G145:G155" si="169">C145/10000</f>
        <v>-1.1220000000000001E-2</v>
      </c>
      <c r="H145">
        <f t="shared" ref="H145:H155" si="170">F145-G145</f>
        <v>2.6955499999999999</v>
      </c>
      <c r="I145">
        <f>E145/10000</f>
        <v>0.43523000000000001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7.0789000907163085E-2</v>
      </c>
      <c r="P145" s="2">
        <v>3</v>
      </c>
      <c r="Q145" s="8">
        <f>H145</f>
        <v>2.6955499999999999</v>
      </c>
      <c r="R145" s="8">
        <f>I145</f>
        <v>0.43523000000000001</v>
      </c>
      <c r="S145" s="8">
        <f>Q145/10^6*$Z$4*$Z$3/P145*10^12</f>
        <v>2.9947560500000003</v>
      </c>
      <c r="T145" s="8">
        <f>S145*0.06</f>
        <v>0.17968536300000001</v>
      </c>
      <c r="U145" s="8">
        <f>S145/$Z$1</f>
        <v>0.4102405547945206</v>
      </c>
      <c r="V145" s="12">
        <f t="shared" ref="V145:V155" si="171">O145</f>
        <v>7.0789000907163085E-2</v>
      </c>
    </row>
    <row r="146" spans="2:22" x14ac:dyDescent="0.3">
      <c r="B146">
        <v>2</v>
      </c>
      <c r="C146">
        <v>4120</v>
      </c>
      <c r="D146">
        <v>25259.3</v>
      </c>
      <c r="E146">
        <v>4193.8999999999996</v>
      </c>
      <c r="F146">
        <f t="shared" si="168"/>
        <v>2.5259299999999998</v>
      </c>
      <c r="G146">
        <f t="shared" si="169"/>
        <v>0.41199999999999998</v>
      </c>
      <c r="H146">
        <f t="shared" si="170"/>
        <v>2.1139299999999999</v>
      </c>
      <c r="I146">
        <f t="shared" ref="I146:I155" si="172">E146/10000</f>
        <v>0.41938999999999999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6.279255636066236E-2</v>
      </c>
      <c r="P146" s="4">
        <v>3</v>
      </c>
      <c r="Q146" s="5">
        <f t="shared" ref="Q146:R155" si="175">H146</f>
        <v>2.1139299999999999</v>
      </c>
      <c r="R146" s="5">
        <f t="shared" si="175"/>
        <v>0.41938999999999999</v>
      </c>
      <c r="S146" s="5">
        <f t="shared" ref="S146:S155" si="176">Q146/10^6*$Z$4*$Z$3/P146*10^12</f>
        <v>2.3485762300000004</v>
      </c>
      <c r="T146" s="5">
        <f t="shared" ref="T146:T155" si="177">S146*0.06</f>
        <v>0.14091457380000003</v>
      </c>
      <c r="U146" s="5">
        <f t="shared" ref="U146:U155" si="178">S146/$Z$1</f>
        <v>0.32172277123287679</v>
      </c>
      <c r="V146" s="5">
        <f t="shared" si="171"/>
        <v>6.279255636066236E-2</v>
      </c>
    </row>
    <row r="147" spans="2:22" x14ac:dyDescent="0.3">
      <c r="B147">
        <v>3</v>
      </c>
      <c r="C147">
        <v>3822.4</v>
      </c>
      <c r="D147">
        <v>19207.2</v>
      </c>
      <c r="E147">
        <v>3219.8</v>
      </c>
      <c r="F147">
        <f t="shared" si="168"/>
        <v>1.92072</v>
      </c>
      <c r="G147">
        <f t="shared" si="169"/>
        <v>0.38224000000000002</v>
      </c>
      <c r="H147">
        <f t="shared" si="170"/>
        <v>1.5384799999999998</v>
      </c>
      <c r="I147">
        <f t="shared" si="172"/>
        <v>0.32198000000000004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5.4170743836239328E-2</v>
      </c>
      <c r="P147" s="4">
        <v>3</v>
      </c>
      <c r="Q147" s="5">
        <f t="shared" si="175"/>
        <v>1.5384799999999998</v>
      </c>
      <c r="R147" s="5">
        <f t="shared" si="175"/>
        <v>0.32198000000000004</v>
      </c>
      <c r="S147" s="5">
        <f t="shared" si="176"/>
        <v>1.7092512799999995</v>
      </c>
      <c r="T147" s="5">
        <f t="shared" si="177"/>
        <v>0.10255507679999996</v>
      </c>
      <c r="U147" s="5">
        <f t="shared" si="178"/>
        <v>0.23414401095890405</v>
      </c>
      <c r="V147" s="5">
        <f t="shared" si="171"/>
        <v>5.4170743836239328E-2</v>
      </c>
    </row>
    <row r="148" spans="2:22" x14ac:dyDescent="0.3">
      <c r="B148">
        <v>4</v>
      </c>
      <c r="C148">
        <v>630.79999999999995</v>
      </c>
      <c r="D148">
        <v>17229.400000000001</v>
      </c>
      <c r="E148">
        <v>1869.4</v>
      </c>
      <c r="F148">
        <f t="shared" si="168"/>
        <v>1.7229400000000001</v>
      </c>
      <c r="G148">
        <f t="shared" si="169"/>
        <v>6.3079999999999997E-2</v>
      </c>
      <c r="H148">
        <f t="shared" si="170"/>
        <v>1.6598600000000001</v>
      </c>
      <c r="I148">
        <f t="shared" si="172"/>
        <v>0.18694000000000002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3.2809903578179561E-2</v>
      </c>
      <c r="P148" s="4">
        <v>3</v>
      </c>
      <c r="Q148" s="5">
        <f t="shared" si="175"/>
        <v>1.6598600000000001</v>
      </c>
      <c r="R148" s="5">
        <f t="shared" si="175"/>
        <v>0.18694000000000002</v>
      </c>
      <c r="S148" s="5">
        <f t="shared" si="176"/>
        <v>1.8441044600000005</v>
      </c>
      <c r="T148" s="5">
        <f t="shared" si="177"/>
        <v>0.11064626760000003</v>
      </c>
      <c r="U148" s="5">
        <f t="shared" si="178"/>
        <v>0.25261704931506856</v>
      </c>
      <c r="V148" s="5">
        <f t="shared" si="171"/>
        <v>3.2809903578179561E-2</v>
      </c>
    </row>
    <row r="149" spans="2:22" x14ac:dyDescent="0.3">
      <c r="B149">
        <v>5</v>
      </c>
      <c r="C149">
        <v>646.5</v>
      </c>
      <c r="D149">
        <v>12146.1</v>
      </c>
      <c r="E149">
        <v>857.1</v>
      </c>
      <c r="F149">
        <f t="shared" si="168"/>
        <v>1.21461</v>
      </c>
      <c r="G149">
        <f t="shared" si="169"/>
        <v>6.4649999999999999E-2</v>
      </c>
      <c r="H149">
        <f t="shared" si="170"/>
        <v>1.1499599999999999</v>
      </c>
      <c r="I149">
        <f t="shared" si="172"/>
        <v>8.5710000000000008E-2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2.3713795720148322E-2</v>
      </c>
      <c r="P149" s="4">
        <v>3</v>
      </c>
      <c r="Q149" s="5">
        <f t="shared" si="175"/>
        <v>1.1499599999999999</v>
      </c>
      <c r="R149" s="5">
        <f t="shared" si="175"/>
        <v>8.5710000000000008E-2</v>
      </c>
      <c r="S149" s="5">
        <f t="shared" si="176"/>
        <v>1.27760556</v>
      </c>
      <c r="T149" s="5">
        <f t="shared" si="177"/>
        <v>7.6656333600000001E-2</v>
      </c>
      <c r="U149" s="5">
        <f t="shared" si="178"/>
        <v>0.17501446027397261</v>
      </c>
      <c r="V149" s="5">
        <f t="shared" si="171"/>
        <v>2.3713795720148322E-2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1.6414513043562735E-2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1.6414513043562735E-2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1.1866316280036333E-2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1.1866316280036333E-2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9.9512777117432821E-3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9.9512777117432821E-3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8.0200222294953428E-3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8.0200222294953428E-3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5.7432847683128911E-3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5.7432847683128911E-3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3.7037181101287871E-3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3.7037181101287871E-3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403.3</v>
      </c>
      <c r="D159">
        <v>20220</v>
      </c>
      <c r="E159">
        <v>6722</v>
      </c>
      <c r="F159">
        <f t="shared" ref="F159:F169" si="180">D159/10000</f>
        <v>2.0219999999999998</v>
      </c>
      <c r="G159">
        <f t="shared" ref="G159:G169" si="181">C159/10000</f>
        <v>4.0329999999999998E-2</v>
      </c>
      <c r="H159">
        <f t="shared" ref="H159:H169" si="182">F159-G159</f>
        <v>1.9816699999999998</v>
      </c>
      <c r="I159">
        <f>E159/10000</f>
        <v>0.67220000000000002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5.6631200725730468E-2</v>
      </c>
      <c r="P159" s="2">
        <v>3</v>
      </c>
      <c r="Q159" s="8">
        <f>H159</f>
        <v>1.9816699999999998</v>
      </c>
      <c r="R159" s="8">
        <f>I159</f>
        <v>0.67220000000000002</v>
      </c>
      <c r="S159" s="8">
        <f>Q159/10^6*$Z$4*$Z$3/P159*10^12</f>
        <v>2.20163537</v>
      </c>
      <c r="T159" s="8">
        <f>S159*0.06</f>
        <v>0.1320981222</v>
      </c>
      <c r="U159" s="8">
        <f>S159/$Z$1</f>
        <v>0.30159388630136985</v>
      </c>
      <c r="V159" s="12">
        <f t="shared" ref="V159:V169" si="183">O159</f>
        <v>5.6631200725730468E-2</v>
      </c>
    </row>
    <row r="160" spans="2:22" x14ac:dyDescent="0.3">
      <c r="B160">
        <v>2</v>
      </c>
      <c r="C160">
        <v>2484.8000000000002</v>
      </c>
      <c r="D160">
        <v>19301.3</v>
      </c>
      <c r="E160">
        <v>5201.1000000000004</v>
      </c>
      <c r="F160">
        <f t="shared" si="180"/>
        <v>1.9301299999999999</v>
      </c>
      <c r="G160">
        <f t="shared" si="181"/>
        <v>0.24848000000000001</v>
      </c>
      <c r="H160">
        <f t="shared" si="182"/>
        <v>1.6816499999999999</v>
      </c>
      <c r="I160">
        <f t="shared" ref="I160:I169" si="184">E160/10000</f>
        <v>0.52011000000000007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5.023404508852989E-2</v>
      </c>
      <c r="P160" s="4">
        <v>3</v>
      </c>
      <c r="Q160" s="5">
        <f t="shared" ref="Q160:R169" si="187">H160</f>
        <v>1.6816499999999999</v>
      </c>
      <c r="R160" s="5">
        <f t="shared" si="187"/>
        <v>0.52011000000000007</v>
      </c>
      <c r="S160" s="5">
        <f t="shared" ref="S160:S169" si="188">Q160/10^6*$Z$4*$Z$3/P160*10^12</f>
        <v>1.8683131499999999</v>
      </c>
      <c r="T160" s="5">
        <f t="shared" ref="T160:T169" si="189">S160*0.06</f>
        <v>0.11209878899999999</v>
      </c>
      <c r="U160" s="5">
        <f t="shared" ref="U160:U169" si="190">S160/$Z$1</f>
        <v>0.25593330821917809</v>
      </c>
      <c r="V160" s="5">
        <f t="shared" si="183"/>
        <v>5.023404508852989E-2</v>
      </c>
    </row>
    <row r="161" spans="2:22" x14ac:dyDescent="0.3">
      <c r="B161">
        <v>3</v>
      </c>
      <c r="C161">
        <v>4512.6000000000004</v>
      </c>
      <c r="D161">
        <v>18115</v>
      </c>
      <c r="E161">
        <v>2986.5</v>
      </c>
      <c r="F161">
        <f t="shared" si="180"/>
        <v>1.8115000000000001</v>
      </c>
      <c r="G161">
        <f t="shared" si="181"/>
        <v>0.45126000000000005</v>
      </c>
      <c r="H161">
        <f t="shared" si="182"/>
        <v>1.3602400000000001</v>
      </c>
      <c r="I161">
        <f t="shared" si="184"/>
        <v>0.29865000000000003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4.3336595068991464E-2</v>
      </c>
      <c r="P161" s="4">
        <v>3</v>
      </c>
      <c r="Q161" s="5">
        <f t="shared" si="187"/>
        <v>1.3602400000000001</v>
      </c>
      <c r="R161" s="5">
        <f t="shared" si="187"/>
        <v>0.29865000000000003</v>
      </c>
      <c r="S161" s="5">
        <f t="shared" si="188"/>
        <v>1.5112266400000005</v>
      </c>
      <c r="T161" s="5">
        <f t="shared" si="189"/>
        <v>9.0673598400000027E-2</v>
      </c>
      <c r="U161" s="5">
        <f t="shared" si="190"/>
        <v>0.20701734794520554</v>
      </c>
      <c r="V161" s="5">
        <f t="shared" si="183"/>
        <v>4.3336595068991464E-2</v>
      </c>
    </row>
    <row r="162" spans="2:22" x14ac:dyDescent="0.3">
      <c r="B162">
        <v>4</v>
      </c>
      <c r="C162">
        <v>3996.8</v>
      </c>
      <c r="D162">
        <v>15027.6</v>
      </c>
      <c r="E162">
        <v>1059.0999999999999</v>
      </c>
      <c r="F162">
        <f t="shared" si="180"/>
        <v>1.5027600000000001</v>
      </c>
      <c r="G162">
        <f t="shared" si="181"/>
        <v>0.39968000000000004</v>
      </c>
      <c r="H162">
        <f t="shared" si="182"/>
        <v>1.1030800000000001</v>
      </c>
      <c r="I162">
        <f t="shared" si="184"/>
        <v>0.10590999999999999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2.6247922862543648E-2</v>
      </c>
      <c r="P162" s="4">
        <v>3</v>
      </c>
      <c r="Q162" s="5">
        <f t="shared" si="187"/>
        <v>1.1030800000000001</v>
      </c>
      <c r="R162" s="5">
        <f t="shared" si="187"/>
        <v>0.10590999999999999</v>
      </c>
      <c r="S162" s="5">
        <f t="shared" si="188"/>
        <v>1.2255218800000001</v>
      </c>
      <c r="T162" s="5">
        <f t="shared" si="189"/>
        <v>7.3531312799999998E-2</v>
      </c>
      <c r="U162" s="5">
        <f t="shared" si="190"/>
        <v>0.16787970958904111</v>
      </c>
      <c r="V162" s="5">
        <f t="shared" si="183"/>
        <v>2.6247922862543648E-2</v>
      </c>
    </row>
    <row r="163" spans="2:22" x14ac:dyDescent="0.3">
      <c r="B163">
        <v>5</v>
      </c>
      <c r="C163">
        <v>0</v>
      </c>
      <c r="D163">
        <v>0</v>
      </c>
      <c r="E163">
        <v>0</v>
      </c>
      <c r="F163">
        <f t="shared" si="180"/>
        <v>0</v>
      </c>
      <c r="G163">
        <f t="shared" si="181"/>
        <v>0</v>
      </c>
      <c r="H163">
        <f t="shared" si="182"/>
        <v>0</v>
      </c>
      <c r="I163">
        <f t="shared" si="184"/>
        <v>0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1.897103657611866E-2</v>
      </c>
      <c r="P163" s="4">
        <v>3</v>
      </c>
      <c r="Q163" s="5">
        <f t="shared" si="187"/>
        <v>0</v>
      </c>
      <c r="R163" s="5">
        <f t="shared" si="187"/>
        <v>0</v>
      </c>
      <c r="S163" s="5">
        <f t="shared" si="188"/>
        <v>0</v>
      </c>
      <c r="T163" s="5">
        <f t="shared" si="189"/>
        <v>0</v>
      </c>
      <c r="U163" s="5">
        <f t="shared" si="190"/>
        <v>0</v>
      </c>
      <c r="V163" s="5">
        <f t="shared" si="183"/>
        <v>1.897103657611866E-2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1.3131610434850189E-2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1.3131610434850189E-2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9.4930530240290665E-3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9.4930530240290665E-3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7.961022169394625E-3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7.961022169394625E-3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6.4160177835962742E-3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6.4160177835962742E-3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4.5946278146503121E-3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4.5946278146503121E-3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2.9629744881030299E-3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2.9629744881030299E-3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Q170"/>
  <sheetViews>
    <sheetView zoomScaleNormal="100"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2392.4</v>
      </c>
      <c r="D5">
        <v>76099</v>
      </c>
      <c r="E5">
        <v>2809</v>
      </c>
      <c r="F5">
        <f t="shared" ref="F5:F15" si="0">D5/10000</f>
        <v>7.6098999999999997</v>
      </c>
      <c r="G5">
        <f t="shared" ref="G5:G15" si="1">C5/10000</f>
        <v>0.23924000000000001</v>
      </c>
      <c r="H5">
        <f t="shared" ref="H5:H15" si="2">F5-G5</f>
        <v>7.37066</v>
      </c>
      <c r="I5">
        <f>E5/10000</f>
        <v>0.28089999999999998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0.61940375793767699</v>
      </c>
      <c r="P5" s="2">
        <v>3</v>
      </c>
      <c r="Q5" s="8">
        <f>H5</f>
        <v>7.37066</v>
      </c>
      <c r="R5" s="8">
        <f>I5</f>
        <v>0.28089999999999998</v>
      </c>
      <c r="S5" s="8">
        <f>Q5/10^6*$Z$4*$Z$3/P5*10^12</f>
        <v>8.1888032600000003</v>
      </c>
      <c r="T5" s="8">
        <f>S5*0.06</f>
        <v>0.49132819560000002</v>
      </c>
      <c r="U5" s="8">
        <f>S5/$Z$1</f>
        <v>1.1217538712328767</v>
      </c>
      <c r="V5" s="12">
        <f t="shared" ref="V5:V15" si="4">O5</f>
        <v>0.61940375793767699</v>
      </c>
    </row>
    <row r="6" spans="2:95" x14ac:dyDescent="0.3">
      <c r="B6">
        <v>2</v>
      </c>
      <c r="C6">
        <v>3361.6</v>
      </c>
      <c r="D6">
        <v>72561</v>
      </c>
      <c r="E6">
        <v>2943.8</v>
      </c>
      <c r="F6">
        <f t="shared" si="0"/>
        <v>7.2561</v>
      </c>
      <c r="G6">
        <f t="shared" si="1"/>
        <v>0.33616000000000001</v>
      </c>
      <c r="H6">
        <f t="shared" si="2"/>
        <v>6.9199400000000004</v>
      </c>
      <c r="I6">
        <f t="shared" ref="I6:I15" si="5">E6/10000</f>
        <v>0.29438000000000003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0.54943486815579567</v>
      </c>
      <c r="P6" s="4">
        <v>3</v>
      </c>
      <c r="Q6" s="5">
        <f t="shared" ref="Q6:R15" si="7">H6</f>
        <v>6.9199400000000004</v>
      </c>
      <c r="R6" s="5">
        <f t="shared" si="7"/>
        <v>0.29438000000000003</v>
      </c>
      <c r="S6" s="5">
        <f t="shared" ref="S6:S15" si="8">Q6/10^6*$Z$4*$Z$3/P6*10^12</f>
        <v>7.6880533400000006</v>
      </c>
      <c r="T6" s="5">
        <f t="shared" ref="T6:T15" si="9">S6*0.06</f>
        <v>0.46128320040000004</v>
      </c>
      <c r="U6" s="5">
        <f t="shared" ref="U6:U15" si="10">S6/$Z$1</f>
        <v>1.053157991780822</v>
      </c>
      <c r="V6" s="5">
        <f t="shared" si="4"/>
        <v>0.54943486815579567</v>
      </c>
    </row>
    <row r="7" spans="2:95" x14ac:dyDescent="0.3">
      <c r="B7">
        <v>3</v>
      </c>
      <c r="C7">
        <v>1549.1</v>
      </c>
      <c r="D7">
        <v>73763.8</v>
      </c>
      <c r="E7">
        <v>2352</v>
      </c>
      <c r="F7">
        <f t="shared" si="0"/>
        <v>7.3763800000000002</v>
      </c>
      <c r="G7">
        <f t="shared" si="1"/>
        <v>0.15490999999999999</v>
      </c>
      <c r="H7">
        <f t="shared" si="2"/>
        <v>7.2214700000000001</v>
      </c>
      <c r="I7">
        <f t="shared" si="5"/>
        <v>0.23519999999999999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0.47399400856709412</v>
      </c>
      <c r="P7" s="4">
        <v>3</v>
      </c>
      <c r="Q7" s="5">
        <f t="shared" si="7"/>
        <v>7.2214700000000001</v>
      </c>
      <c r="R7" s="5">
        <f t="shared" si="7"/>
        <v>0.23519999999999999</v>
      </c>
      <c r="S7" s="5">
        <f t="shared" si="8"/>
        <v>8.023053169999999</v>
      </c>
      <c r="T7" s="5">
        <f t="shared" si="9"/>
        <v>0.48138319019999992</v>
      </c>
      <c r="U7" s="5">
        <f t="shared" si="10"/>
        <v>1.0990483794520547</v>
      </c>
      <c r="V7" s="5">
        <f t="shared" si="4"/>
        <v>0.47399400856709412</v>
      </c>
      <c r="Y7" t="s">
        <v>41</v>
      </c>
      <c r="Z7">
        <v>8</v>
      </c>
    </row>
    <row r="8" spans="2:95" x14ac:dyDescent="0.3">
      <c r="B8">
        <v>4</v>
      </c>
      <c r="C8">
        <v>6677.2</v>
      </c>
      <c r="D8">
        <v>72844.5</v>
      </c>
      <c r="E8">
        <v>1673.9</v>
      </c>
      <c r="F8">
        <f t="shared" si="0"/>
        <v>7.2844499999999996</v>
      </c>
      <c r="G8">
        <f t="shared" si="1"/>
        <v>0.66771999999999998</v>
      </c>
      <c r="H8">
        <f t="shared" si="2"/>
        <v>6.6167299999999996</v>
      </c>
      <c r="I8">
        <f t="shared" si="5"/>
        <v>0.16739000000000001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0.28708665630907115</v>
      </c>
      <c r="P8" s="4">
        <v>3</v>
      </c>
      <c r="Q8" s="5">
        <f t="shared" si="7"/>
        <v>6.6167299999999996</v>
      </c>
      <c r="R8" s="5">
        <f t="shared" si="7"/>
        <v>0.16739000000000001</v>
      </c>
      <c r="S8" s="5">
        <f t="shared" si="8"/>
        <v>7.3511870300000002</v>
      </c>
      <c r="T8" s="5">
        <f t="shared" si="9"/>
        <v>0.44107122179999997</v>
      </c>
      <c r="U8" s="5">
        <f t="shared" si="10"/>
        <v>1.0070119219178082</v>
      </c>
      <c r="V8" s="5">
        <f t="shared" si="4"/>
        <v>0.28708665630907115</v>
      </c>
    </row>
    <row r="9" spans="2:95" x14ac:dyDescent="0.3">
      <c r="B9">
        <v>5</v>
      </c>
      <c r="C9">
        <v>10106.6</v>
      </c>
      <c r="D9">
        <v>69394.8</v>
      </c>
      <c r="E9">
        <v>1885.4</v>
      </c>
      <c r="F9">
        <f t="shared" si="0"/>
        <v>6.9394800000000005</v>
      </c>
      <c r="G9">
        <f t="shared" si="1"/>
        <v>1.0106600000000001</v>
      </c>
      <c r="H9">
        <f t="shared" si="2"/>
        <v>5.92882</v>
      </c>
      <c r="I9">
        <f t="shared" si="5"/>
        <v>0.18854000000000001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0.20749571255129784</v>
      </c>
      <c r="P9" s="4">
        <v>3</v>
      </c>
      <c r="Q9" s="5">
        <f t="shared" si="7"/>
        <v>5.92882</v>
      </c>
      <c r="R9" s="5">
        <f t="shared" si="7"/>
        <v>0.18854000000000001</v>
      </c>
      <c r="S9" s="5">
        <f t="shared" si="8"/>
        <v>6.5869190200000007</v>
      </c>
      <c r="T9" s="5">
        <f t="shared" si="9"/>
        <v>0.39521514120000001</v>
      </c>
      <c r="U9" s="5">
        <f t="shared" si="10"/>
        <v>0.90231767397260287</v>
      </c>
      <c r="V9" s="5">
        <f t="shared" si="4"/>
        <v>0.20749571255129784</v>
      </c>
    </row>
    <row r="10" spans="2:95" ht="15" thickBot="1" x14ac:dyDescent="0.35">
      <c r="B10">
        <v>6</v>
      </c>
      <c r="C10">
        <v>10340.6</v>
      </c>
      <c r="D10">
        <v>67570.7</v>
      </c>
      <c r="E10">
        <v>1902.7</v>
      </c>
      <c r="F10">
        <f t="shared" si="0"/>
        <v>6.7570699999999997</v>
      </c>
      <c r="G10">
        <f t="shared" si="1"/>
        <v>1.03406</v>
      </c>
      <c r="H10">
        <f t="shared" si="2"/>
        <v>5.7230099999999995</v>
      </c>
      <c r="I10">
        <f t="shared" si="5"/>
        <v>0.19026999999999999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0.14362698913117394</v>
      </c>
      <c r="P10" s="4">
        <v>4</v>
      </c>
      <c r="Q10" s="5">
        <f t="shared" si="7"/>
        <v>5.7230099999999995</v>
      </c>
      <c r="R10" s="5">
        <f t="shared" si="7"/>
        <v>0.19026999999999999</v>
      </c>
      <c r="S10" s="5">
        <f t="shared" si="8"/>
        <v>4.7686980824999994</v>
      </c>
      <c r="T10" s="5">
        <f t="shared" si="9"/>
        <v>0.28612188494999996</v>
      </c>
      <c r="U10" s="5">
        <f t="shared" si="10"/>
        <v>0.65324631267123279</v>
      </c>
      <c r="V10" s="5">
        <f t="shared" si="4"/>
        <v>0.14362698913117394</v>
      </c>
    </row>
    <row r="11" spans="2:95" ht="15.6" thickTop="1" thickBot="1" x14ac:dyDescent="0.35">
      <c r="B11">
        <v>7</v>
      </c>
      <c r="C11">
        <v>9948.2000000000007</v>
      </c>
      <c r="D11">
        <v>34767</v>
      </c>
      <c r="E11">
        <v>2622.4</v>
      </c>
      <c r="F11">
        <f t="shared" si="0"/>
        <v>3.4767000000000001</v>
      </c>
      <c r="G11">
        <f t="shared" si="1"/>
        <v>0.99482000000000004</v>
      </c>
      <c r="H11">
        <f t="shared" si="2"/>
        <v>2.4818800000000003</v>
      </c>
      <c r="I11">
        <f t="shared" si="5"/>
        <v>0.26224000000000003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0.10383026745031791</v>
      </c>
      <c r="P11" s="4">
        <v>4</v>
      </c>
      <c r="Q11" s="5">
        <f t="shared" si="7"/>
        <v>2.4818800000000003</v>
      </c>
      <c r="R11" s="5">
        <f t="shared" si="7"/>
        <v>0.26224000000000003</v>
      </c>
      <c r="S11" s="5">
        <f t="shared" si="8"/>
        <v>2.0680265100000002</v>
      </c>
      <c r="T11" s="5">
        <f t="shared" si="9"/>
        <v>0.1240815906</v>
      </c>
      <c r="U11" s="5">
        <f t="shared" si="10"/>
        <v>0.28329130273972608</v>
      </c>
      <c r="V11" s="5">
        <f t="shared" si="4"/>
        <v>0.10383026745031791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8527.5</v>
      </c>
      <c r="D12">
        <v>25314.400000000001</v>
      </c>
      <c r="E12">
        <v>3373.4</v>
      </c>
      <c r="F12">
        <f t="shared" si="0"/>
        <v>2.5314400000000004</v>
      </c>
      <c r="G12">
        <f t="shared" si="1"/>
        <v>0.85275000000000001</v>
      </c>
      <c r="H12">
        <f t="shared" si="2"/>
        <v>1.6786900000000005</v>
      </c>
      <c r="I12">
        <f t="shared" si="5"/>
        <v>0.33734000000000003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8.7073679977753712E-2</v>
      </c>
      <c r="P12" s="4">
        <v>5</v>
      </c>
      <c r="Q12" s="5">
        <f t="shared" si="7"/>
        <v>1.6786900000000005</v>
      </c>
      <c r="R12" s="5">
        <f t="shared" si="7"/>
        <v>0.33734000000000003</v>
      </c>
      <c r="S12" s="5">
        <f t="shared" si="8"/>
        <v>1.1190147540000004</v>
      </c>
      <c r="T12" s="5">
        <f t="shared" si="9"/>
        <v>6.7140885240000017E-2</v>
      </c>
      <c r="U12" s="5">
        <f t="shared" si="10"/>
        <v>0.15328969232876719</v>
      </c>
      <c r="V12" s="5">
        <f t="shared" si="4"/>
        <v>8.7073679977753712E-2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7074.1</v>
      </c>
      <c r="D13">
        <v>13265.7</v>
      </c>
      <c r="E13">
        <v>4217.8999999999996</v>
      </c>
      <c r="F13">
        <f t="shared" si="0"/>
        <v>1.32657</v>
      </c>
      <c r="G13">
        <f t="shared" si="1"/>
        <v>0.70740999999999998</v>
      </c>
      <c r="H13">
        <f t="shared" si="2"/>
        <v>0.61916000000000004</v>
      </c>
      <c r="I13">
        <f t="shared" si="5"/>
        <v>0.42178999999999994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7.0175194508084252E-2</v>
      </c>
      <c r="P13" s="4">
        <v>8</v>
      </c>
      <c r="Q13" s="5">
        <f t="shared" si="7"/>
        <v>0.61916000000000004</v>
      </c>
      <c r="R13" s="5">
        <f t="shared" si="7"/>
        <v>0.42178999999999994</v>
      </c>
      <c r="S13" s="5">
        <f t="shared" si="8"/>
        <v>0.25795753500000002</v>
      </c>
      <c r="T13" s="5">
        <f t="shared" si="9"/>
        <v>1.5477452100000001E-2</v>
      </c>
      <c r="U13" s="5">
        <f t="shared" si="10"/>
        <v>3.5336648630136989E-2</v>
      </c>
      <c r="V13" s="5">
        <f t="shared" si="4"/>
        <v>7.0175194508084252E-2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0</v>
      </c>
      <c r="D14">
        <v>0</v>
      </c>
      <c r="E14">
        <v>0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5"/>
        <v>0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5.0253741722737791E-2</v>
      </c>
      <c r="P14" s="4">
        <v>14</v>
      </c>
      <c r="Q14" s="5">
        <f t="shared" si="7"/>
        <v>0</v>
      </c>
      <c r="R14" s="5">
        <f t="shared" si="7"/>
        <v>0</v>
      </c>
      <c r="S14" s="5">
        <f t="shared" si="8"/>
        <v>0</v>
      </c>
      <c r="T14" s="5">
        <f t="shared" si="9"/>
        <v>0</v>
      </c>
      <c r="U14" s="5">
        <f t="shared" si="10"/>
        <v>0</v>
      </c>
      <c r="V14" s="5">
        <f t="shared" si="4"/>
        <v>5.0253741722737791E-2</v>
      </c>
      <c r="X14" s="31">
        <f t="shared" ref="X14:X22" si="12">O5</f>
        <v>0.61940375793767699</v>
      </c>
      <c r="Y14" s="32">
        <f t="shared" ref="Y14:AA22" si="13">S5</f>
        <v>8.1888032600000003</v>
      </c>
      <c r="Z14" s="32">
        <f t="shared" si="13"/>
        <v>0.49132819560000002</v>
      </c>
      <c r="AA14" s="32">
        <f t="shared" si="13"/>
        <v>1.1217538712328767</v>
      </c>
      <c r="AB14" s="41">
        <f>I5/H5</f>
        <v>3.8110562690451058E-2</v>
      </c>
      <c r="AC14" s="33">
        <f t="shared" ref="AC14:AC22" si="14">R5</f>
        <v>0.28089999999999998</v>
      </c>
      <c r="AD14" s="31">
        <f t="shared" ref="AD14:AD20" si="15">O19</f>
        <v>0.41293583862511801</v>
      </c>
      <c r="AE14" s="32">
        <f t="shared" ref="AE14:AG20" si="16">S19</f>
        <v>5.5139152199999995</v>
      </c>
      <c r="AF14" s="32">
        <f t="shared" si="16"/>
        <v>0.33083491319999997</v>
      </c>
      <c r="AG14" s="32">
        <f t="shared" si="16"/>
        <v>0.75533085205479444</v>
      </c>
      <c r="AH14" s="41">
        <f>I19/H19</f>
        <v>5.8744474130670445E-2</v>
      </c>
      <c r="AI14" s="33">
        <f>R19</f>
        <v>0.29154999999999998</v>
      </c>
      <c r="AJ14" s="31">
        <f t="shared" ref="AJ14:AJ19" si="17">O33</f>
        <v>0.3097018789688385</v>
      </c>
      <c r="AK14" s="32">
        <f t="shared" ref="AK14:AM19" si="18">S33</f>
        <v>4.4782076899999996</v>
      </c>
      <c r="AL14" s="32">
        <f t="shared" si="18"/>
        <v>0.26869246139999997</v>
      </c>
      <c r="AM14" s="32">
        <f t="shared" si="18"/>
        <v>0.61345310821917809</v>
      </c>
      <c r="AN14" s="41">
        <f>I33/H33</f>
        <v>7.0455171318773754E-2</v>
      </c>
      <c r="AO14" s="33">
        <f>R33</f>
        <v>0.28399000000000002</v>
      </c>
      <c r="AP14" s="31">
        <f t="shared" ref="AP14:AP19" si="19">O47</f>
        <v>0.24776150317507079</v>
      </c>
      <c r="AQ14" s="32">
        <f t="shared" ref="AQ14:AS19" si="20">S47</f>
        <v>4.062460380000001</v>
      </c>
      <c r="AR14" s="32">
        <f t="shared" si="20"/>
        <v>0.24374762280000006</v>
      </c>
      <c r="AS14" s="32">
        <f t="shared" si="20"/>
        <v>0.55650142191780838</v>
      </c>
      <c r="AT14" s="41">
        <f>I47/H47</f>
        <v>9.6376942388789522E-2</v>
      </c>
      <c r="AU14" s="33">
        <f>R47</f>
        <v>0.35241</v>
      </c>
      <c r="AV14" s="31">
        <f t="shared" ref="AV14:AV18" si="21">O61</f>
        <v>0.20646791931255901</v>
      </c>
      <c r="AW14" s="32">
        <f t="shared" ref="AW14:AY18" si="22">S61</f>
        <v>3.5686653200000009</v>
      </c>
      <c r="AX14" s="32">
        <f t="shared" si="22"/>
        <v>0.21411991920000004</v>
      </c>
      <c r="AY14" s="32">
        <f t="shared" si="22"/>
        <v>0.48885826301369878</v>
      </c>
      <c r="AZ14" s="41">
        <f>I61/H61</f>
        <v>0.11367570327385028</v>
      </c>
      <c r="BA14" s="33">
        <f>R61</f>
        <v>0.36514000000000002</v>
      </c>
      <c r="BB14" s="31">
        <f t="shared" ref="BB14:BB17" si="23">O75</f>
        <v>0.1769725022679077</v>
      </c>
      <c r="BC14" s="32">
        <f t="shared" ref="BC14:BE17" si="24">S75</f>
        <v>3.1617837899999994</v>
      </c>
      <c r="BD14" s="32">
        <f t="shared" si="24"/>
        <v>0.18970702739999995</v>
      </c>
      <c r="BE14" s="32">
        <f t="shared" si="24"/>
        <v>0.43312106712328763</v>
      </c>
      <c r="BF14" s="41">
        <f>I75/H75</f>
        <v>0.12105879004459062</v>
      </c>
      <c r="BG14" s="33">
        <f>R75</f>
        <v>0.34451999999999999</v>
      </c>
      <c r="BH14" s="31">
        <f t="shared" ref="BH14:BH17" si="25">O89</f>
        <v>0.15485093948441925</v>
      </c>
      <c r="BI14" s="32">
        <f t="shared" ref="BI14:BK17" si="26">S89</f>
        <v>3.0767922899999993</v>
      </c>
      <c r="BJ14" s="32">
        <f t="shared" si="26"/>
        <v>0.18460753739999997</v>
      </c>
      <c r="BK14" s="32">
        <f t="shared" si="26"/>
        <v>0.42147839589041086</v>
      </c>
      <c r="BL14" s="41">
        <f>I89/H89</f>
        <v>0.12550417239897593</v>
      </c>
      <c r="BM14" s="33">
        <f>R89</f>
        <v>0.34756999999999999</v>
      </c>
      <c r="BN14" s="31">
        <f t="shared" ref="BN14:BN16" si="27">O103</f>
        <v>0.13764527954170599</v>
      </c>
      <c r="BO14" s="32">
        <f t="shared" ref="BO14:BQ16" si="28">S103</f>
        <v>2.8776455400000001</v>
      </c>
      <c r="BP14" s="32">
        <f t="shared" si="28"/>
        <v>0.17265873239999999</v>
      </c>
      <c r="BQ14" s="32">
        <f t="shared" si="28"/>
        <v>0.39419801917808223</v>
      </c>
      <c r="BR14" s="41">
        <f>I103/H103</f>
        <v>0.14133212876524051</v>
      </c>
      <c r="BS14" s="33">
        <f>R103</f>
        <v>0.36607000000000001</v>
      </c>
      <c r="BT14" s="31">
        <f t="shared" ref="BT14:BT16" si="29">O117</f>
        <v>0.12388075158753539</v>
      </c>
      <c r="BU14" s="32">
        <f t="shared" ref="BU14:BW16" si="30">S117</f>
        <v>2.8913219499999996</v>
      </c>
      <c r="BV14" s="32">
        <f t="shared" si="30"/>
        <v>0.17347931699999997</v>
      </c>
      <c r="BW14" s="32">
        <f t="shared" si="30"/>
        <v>0.39607149999999997</v>
      </c>
      <c r="BX14" s="41">
        <f>I117/H117</f>
        <v>0.1134008338296605</v>
      </c>
      <c r="BY14" s="33">
        <f>R117</f>
        <v>0.29511999999999999</v>
      </c>
      <c r="BZ14" s="31">
        <f t="shared" ref="BZ14:BZ18" si="31">O131</f>
        <v>8.25871677250236E-2</v>
      </c>
      <c r="CA14" s="32">
        <f t="shared" ref="CA14:CC18" si="32">S131</f>
        <v>3.4465219800000009</v>
      </c>
      <c r="CB14" s="32">
        <f t="shared" si="32"/>
        <v>0.20679131880000004</v>
      </c>
      <c r="CC14" s="32">
        <f t="shared" si="32"/>
        <v>0.47212629863013711</v>
      </c>
      <c r="CD14" s="41">
        <f>I131/H131</f>
        <v>0.1653095565054252</v>
      </c>
      <c r="CE14" s="33">
        <f>R131</f>
        <v>0.51281999999999994</v>
      </c>
      <c r="CF14" s="31">
        <f t="shared" ref="CF14:CF18" si="33">O145</f>
        <v>6.1940375793767696E-2</v>
      </c>
      <c r="CG14" s="32">
        <f t="shared" ref="CG14:CI18" si="34">S145</f>
        <v>2.6077503100000001</v>
      </c>
      <c r="CH14" s="32">
        <f t="shared" si="34"/>
        <v>0.15646501860000001</v>
      </c>
      <c r="CI14" s="32">
        <f t="shared" si="34"/>
        <v>0.35722606986301375</v>
      </c>
      <c r="CJ14" s="41">
        <f>I145/H145</f>
        <v>0.17549345819078821</v>
      </c>
      <c r="CK14" s="33">
        <f>R145</f>
        <v>0.41192000000000001</v>
      </c>
      <c r="CL14" s="31">
        <f t="shared" ref="CL14:CL17" si="35">O159</f>
        <v>4.955230063501416E-2</v>
      </c>
      <c r="CM14" s="32">
        <f t="shared" ref="CM14:CO17" si="36">S159</f>
        <v>2.3420102199999997</v>
      </c>
      <c r="CN14" s="32">
        <f t="shared" si="36"/>
        <v>0.14052061319999998</v>
      </c>
      <c r="CO14" s="32">
        <f t="shared" si="36"/>
        <v>0.32082331780821916</v>
      </c>
      <c r="CP14" s="41">
        <f>I159/H159</f>
        <v>0.21882619709490422</v>
      </c>
      <c r="CQ14" s="33">
        <f>R159</f>
        <v>0.46128999999999998</v>
      </c>
    </row>
    <row r="15" spans="2:95" ht="15" thickBot="1" x14ac:dyDescent="0.35">
      <c r="B15">
        <v>11</v>
      </c>
      <c r="C15">
        <v>0</v>
      </c>
      <c r="D15">
        <v>0</v>
      </c>
      <c r="E15">
        <v>0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5"/>
        <v>0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3.2407533463626889E-2</v>
      </c>
      <c r="P15" s="7">
        <v>21</v>
      </c>
      <c r="Q15" s="6">
        <f t="shared" si="7"/>
        <v>0</v>
      </c>
      <c r="R15" s="6">
        <f t="shared" si="7"/>
        <v>0</v>
      </c>
      <c r="S15" s="6">
        <f t="shared" si="8"/>
        <v>0</v>
      </c>
      <c r="T15" s="6">
        <f t="shared" si="9"/>
        <v>0</v>
      </c>
      <c r="U15" s="6">
        <f t="shared" si="10"/>
        <v>0</v>
      </c>
      <c r="V15" s="6">
        <f t="shared" si="4"/>
        <v>3.2407533463626889E-2</v>
      </c>
      <c r="X15" s="34">
        <f t="shared" si="12"/>
        <v>0.54943486815579567</v>
      </c>
      <c r="Y15" s="35">
        <f t="shared" si="13"/>
        <v>7.6880533400000006</v>
      </c>
      <c r="Z15" s="35">
        <f t="shared" si="13"/>
        <v>0.46128320040000004</v>
      </c>
      <c r="AA15" s="35">
        <f t="shared" si="13"/>
        <v>1.053157991780822</v>
      </c>
      <c r="AB15" s="42">
        <f t="shared" ref="AB15:AB22" si="37">I6/H6</f>
        <v>4.2540831278883924E-2</v>
      </c>
      <c r="AC15" s="36">
        <f t="shared" si="14"/>
        <v>0.29438000000000003</v>
      </c>
      <c r="AD15" s="34">
        <f t="shared" si="15"/>
        <v>0.3662899121038638</v>
      </c>
      <c r="AE15" s="35">
        <f t="shared" si="16"/>
        <v>6.2948815600000012</v>
      </c>
      <c r="AF15" s="35">
        <f t="shared" si="16"/>
        <v>0.37769289360000008</v>
      </c>
      <c r="AG15" s="35">
        <f t="shared" si="16"/>
        <v>0.86231254246575362</v>
      </c>
      <c r="AH15" s="42">
        <f t="shared" ref="AH15:AH20" si="38">I20/H20</f>
        <v>5.2711279288946616E-2</v>
      </c>
      <c r="AI15" s="36">
        <f t="shared" ref="AI15:AI20" si="39">R20</f>
        <v>0.29865999999999998</v>
      </c>
      <c r="AJ15" s="34">
        <f t="shared" si="17"/>
        <v>0.27471743407789784</v>
      </c>
      <c r="AK15" s="35">
        <f t="shared" si="18"/>
        <v>4.6321367400000009</v>
      </c>
      <c r="AL15" s="35">
        <f t="shared" si="18"/>
        <v>0.27792820440000005</v>
      </c>
      <c r="AM15" s="35">
        <f t="shared" si="18"/>
        <v>0.63453927945205491</v>
      </c>
      <c r="AN15" s="42">
        <f t="shared" ref="AN15:AN19" si="40">I34/H34</f>
        <v>5.1890706922438558E-2</v>
      </c>
      <c r="AO15" s="36">
        <f t="shared" ref="AO15:AO19" si="41">R34</f>
        <v>0.21634999999999999</v>
      </c>
      <c r="AP15" s="34">
        <f t="shared" si="19"/>
        <v>0.21977394726231828</v>
      </c>
      <c r="AQ15" s="35">
        <f t="shared" si="20"/>
        <v>3.6723438399999999</v>
      </c>
      <c r="AR15" s="35">
        <f t="shared" si="20"/>
        <v>0.22034063039999999</v>
      </c>
      <c r="AS15" s="35">
        <f t="shared" si="20"/>
        <v>0.50306079999999997</v>
      </c>
      <c r="AT15" s="42">
        <f t="shared" ref="AT15:AT19" si="42">I48/H48</f>
        <v>0.10317234619294256</v>
      </c>
      <c r="AU15" s="36">
        <f t="shared" ref="AU15:AU19" si="43">R48</f>
        <v>0.34103</v>
      </c>
      <c r="AV15" s="34">
        <f t="shared" si="21"/>
        <v>0.1831449560519319</v>
      </c>
      <c r="AW15" s="35">
        <f t="shared" si="22"/>
        <v>3.3909386500000003</v>
      </c>
      <c r="AX15" s="35">
        <f t="shared" si="22"/>
        <v>0.203456319</v>
      </c>
      <c r="AY15" s="35">
        <f t="shared" si="22"/>
        <v>0.46451214383561651</v>
      </c>
      <c r="AZ15" s="42">
        <f t="shared" ref="AZ15:AZ18" si="44">I62/H62</f>
        <v>9.0205265140966204E-2</v>
      </c>
      <c r="BA15" s="36">
        <f t="shared" ref="BA15:BA18" si="45">R62</f>
        <v>0.27532000000000001</v>
      </c>
      <c r="BB15" s="34">
        <f t="shared" si="23"/>
        <v>0.15698139090165592</v>
      </c>
      <c r="BC15" s="35">
        <f t="shared" si="24"/>
        <v>2.8500594099999996</v>
      </c>
      <c r="BD15" s="35">
        <f t="shared" si="24"/>
        <v>0.17100356459999996</v>
      </c>
      <c r="BE15" s="35">
        <f t="shared" si="24"/>
        <v>0.39041909726027391</v>
      </c>
      <c r="BF15" s="42">
        <f t="shared" ref="BF15:BF17" si="46">I76/H76</f>
        <v>0.11551430431409852</v>
      </c>
      <c r="BG15" s="36">
        <f t="shared" ref="BG15:BG17" si="47">R76</f>
        <v>0.29633000000000004</v>
      </c>
      <c r="BH15" s="34">
        <f t="shared" si="25"/>
        <v>0.13735871703894892</v>
      </c>
      <c r="BI15" s="35">
        <f t="shared" si="26"/>
        <v>2.3996600100000003</v>
      </c>
      <c r="BJ15" s="35">
        <f t="shared" si="26"/>
        <v>0.14397960060000001</v>
      </c>
      <c r="BK15" s="35">
        <f t="shared" si="26"/>
        <v>0.32872054931506856</v>
      </c>
      <c r="BL15" s="42">
        <f t="shared" ref="BL15:BL17" si="48">I90/H90</f>
        <v>0.11285192438573829</v>
      </c>
      <c r="BM15" s="36">
        <f t="shared" ref="BM15:BM17" si="49">R90</f>
        <v>0.24374999999999999</v>
      </c>
      <c r="BN15" s="34">
        <f t="shared" si="27"/>
        <v>0.12209663736795459</v>
      </c>
      <c r="BO15" s="35">
        <f t="shared" si="28"/>
        <v>2.3584308000000003</v>
      </c>
      <c r="BP15" s="35">
        <f t="shared" si="28"/>
        <v>0.14150584800000002</v>
      </c>
      <c r="BQ15" s="35">
        <f t="shared" si="28"/>
        <v>0.32307271232876716</v>
      </c>
      <c r="BR15" s="42">
        <f t="shared" ref="BR15:BR16" si="50">I104/H104</f>
        <v>0.14289146410401357</v>
      </c>
      <c r="BS15" s="36">
        <f t="shared" ref="BS15:BS16" si="51">R104</f>
        <v>0.30333000000000004</v>
      </c>
      <c r="BT15" s="34">
        <f t="shared" si="29"/>
        <v>0.10988697363115914</v>
      </c>
      <c r="BU15" s="35">
        <f t="shared" si="30"/>
        <v>2.3426879300000003</v>
      </c>
      <c r="BV15" s="35">
        <f t="shared" si="30"/>
        <v>0.14056127580000002</v>
      </c>
      <c r="BW15" s="35">
        <f t="shared" si="30"/>
        <v>0.32091615479452062</v>
      </c>
      <c r="BX15" s="42">
        <f t="shared" ref="BX15:BX16" si="52">I118/H118</f>
        <v>0.15535679564456542</v>
      </c>
      <c r="BY15" s="36">
        <f t="shared" ref="BY15:BY16" si="53">R118</f>
        <v>0.32758999999999999</v>
      </c>
      <c r="BZ15" s="34">
        <f t="shared" si="31"/>
        <v>7.3257982420772763E-2</v>
      </c>
      <c r="CA15" s="35">
        <f t="shared" si="32"/>
        <v>2.8096745600000004</v>
      </c>
      <c r="CB15" s="35">
        <f t="shared" si="32"/>
        <v>0.1685804736</v>
      </c>
      <c r="CC15" s="35">
        <f t="shared" si="32"/>
        <v>0.38488692602739732</v>
      </c>
      <c r="CD15" s="42">
        <f t="shared" ref="CD15:CD18" si="54">I132/H132</f>
        <v>0.11870492218145007</v>
      </c>
      <c r="CE15" s="36">
        <f t="shared" ref="CE15:CE18" si="55">R132</f>
        <v>0.30020000000000002</v>
      </c>
      <c r="CF15" s="34">
        <f t="shared" si="33"/>
        <v>5.4943486815579569E-2</v>
      </c>
      <c r="CG15" s="35">
        <f t="shared" si="34"/>
        <v>2.0787476600000003</v>
      </c>
      <c r="CH15" s="35">
        <f t="shared" si="34"/>
        <v>0.12472485960000002</v>
      </c>
      <c r="CI15" s="35">
        <f t="shared" si="34"/>
        <v>0.2847599534246576</v>
      </c>
      <c r="CJ15" s="42">
        <f t="shared" ref="CJ15:CJ18" si="56">I146/H146</f>
        <v>0.22204525776832384</v>
      </c>
      <c r="CK15" s="36">
        <f t="shared" ref="CK15:CK18" si="57">R146</f>
        <v>0.41546000000000005</v>
      </c>
      <c r="CL15" s="34">
        <f t="shared" si="35"/>
        <v>4.3954789452463651E-2</v>
      </c>
      <c r="CM15" s="35">
        <f t="shared" si="36"/>
        <v>1.9286293400000001</v>
      </c>
      <c r="CN15" s="35">
        <f t="shared" si="36"/>
        <v>0.11571776039999999</v>
      </c>
      <c r="CO15" s="35">
        <f t="shared" si="36"/>
        <v>0.26419580000000004</v>
      </c>
      <c r="CP15" s="42">
        <f t="shared" ref="CP15:CP17" si="58">I160/H160</f>
        <v>0.22345242347085731</v>
      </c>
      <c r="CQ15" s="36">
        <f t="shared" ref="CQ15:CQ17" si="59">R160</f>
        <v>0.38790000000000002</v>
      </c>
    </row>
    <row r="16" spans="2:95" ht="15" thickTop="1" x14ac:dyDescent="0.3">
      <c r="X16" s="34">
        <f t="shared" si="12"/>
        <v>0.47399400856709412</v>
      </c>
      <c r="Y16" s="35">
        <f t="shared" si="13"/>
        <v>8.023053169999999</v>
      </c>
      <c r="Z16" s="35">
        <f t="shared" si="13"/>
        <v>0.48138319019999992</v>
      </c>
      <c r="AA16" s="35">
        <f t="shared" si="13"/>
        <v>1.0990483794520547</v>
      </c>
      <c r="AB16" s="42">
        <f t="shared" si="37"/>
        <v>3.2569546089646566E-2</v>
      </c>
      <c r="AC16" s="36">
        <f t="shared" si="14"/>
        <v>0.23519999999999999</v>
      </c>
      <c r="AD16" s="34">
        <f t="shared" si="15"/>
        <v>0.31599600571139608</v>
      </c>
      <c r="AE16" s="35">
        <f t="shared" si="16"/>
        <v>5.3112243800000014</v>
      </c>
      <c r="AF16" s="35">
        <f t="shared" si="16"/>
        <v>0.31867346280000008</v>
      </c>
      <c r="AG16" s="35">
        <f t="shared" si="16"/>
        <v>0.72756498356164401</v>
      </c>
      <c r="AH16" s="42">
        <f t="shared" si="38"/>
        <v>3.7418053876307887E-2</v>
      </c>
      <c r="AI16" s="36">
        <f t="shared" si="39"/>
        <v>0.17887999999999998</v>
      </c>
      <c r="AJ16" s="34">
        <f t="shared" si="17"/>
        <v>0.23699700428354706</v>
      </c>
      <c r="AK16" s="35">
        <f t="shared" si="18"/>
        <v>4.1731604199999994</v>
      </c>
      <c r="AL16" s="35">
        <f t="shared" si="18"/>
        <v>0.25038962519999997</v>
      </c>
      <c r="AM16" s="35">
        <f t="shared" si="18"/>
        <v>0.57166581095890401</v>
      </c>
      <c r="AN16" s="42">
        <f t="shared" si="40"/>
        <v>5.5792791689517653E-2</v>
      </c>
      <c r="AO16" s="36">
        <f t="shared" si="41"/>
        <v>0.20956999999999998</v>
      </c>
      <c r="AP16" s="34">
        <f t="shared" si="19"/>
        <v>0.18959760342683765</v>
      </c>
      <c r="AQ16" s="35">
        <f t="shared" si="20"/>
        <v>3.51944802</v>
      </c>
      <c r="AR16" s="35">
        <f t="shared" si="20"/>
        <v>0.21116688119999999</v>
      </c>
      <c r="AS16" s="35">
        <f t="shared" si="20"/>
        <v>0.4821161671232877</v>
      </c>
      <c r="AT16" s="42">
        <f t="shared" si="42"/>
        <v>6.6086456932527737E-2</v>
      </c>
      <c r="AU16" s="36">
        <f t="shared" si="43"/>
        <v>0.20935000000000001</v>
      </c>
      <c r="AV16" s="34">
        <f t="shared" si="21"/>
        <v>0.15799800285569804</v>
      </c>
      <c r="AW16" s="35">
        <f t="shared" si="22"/>
        <v>2.9502716099999997</v>
      </c>
      <c r="AX16" s="35">
        <f t="shared" si="22"/>
        <v>0.17701629659999998</v>
      </c>
      <c r="AY16" s="35">
        <f t="shared" si="22"/>
        <v>0.40414679589041091</v>
      </c>
      <c r="AZ16" s="42">
        <f t="shared" si="44"/>
        <v>7.4780362340943929E-2</v>
      </c>
      <c r="BA16" s="36">
        <f t="shared" si="45"/>
        <v>0.19858000000000001</v>
      </c>
      <c r="BB16" s="34">
        <f t="shared" si="23"/>
        <v>0.13542685959059833</v>
      </c>
      <c r="BC16" s="35">
        <f t="shared" si="24"/>
        <v>2.5547667200000004</v>
      </c>
      <c r="BD16" s="35">
        <f t="shared" si="24"/>
        <v>0.15328600320000002</v>
      </c>
      <c r="BE16" s="35">
        <f t="shared" si="24"/>
        <v>0.34996804383561647</v>
      </c>
      <c r="BF16" s="42">
        <f t="shared" si="46"/>
        <v>8.6491963540217084E-2</v>
      </c>
      <c r="BG16" s="36">
        <f t="shared" si="47"/>
        <v>0.19889000000000001</v>
      </c>
      <c r="BH16" s="34">
        <f t="shared" si="25"/>
        <v>0.11849850214177353</v>
      </c>
      <c r="BI16" s="35">
        <f t="shared" si="26"/>
        <v>2.4011931900000003</v>
      </c>
      <c r="BJ16" s="35">
        <f t="shared" si="26"/>
        <v>0.1440715914</v>
      </c>
      <c r="BK16" s="35">
        <f t="shared" si="26"/>
        <v>0.32893057397260278</v>
      </c>
      <c r="BL16" s="42">
        <f t="shared" si="48"/>
        <v>0.11698106223597943</v>
      </c>
      <c r="BM16" s="36">
        <f t="shared" si="49"/>
        <v>0.25283</v>
      </c>
      <c r="BN16" s="34">
        <f t="shared" si="27"/>
        <v>0.1053320019037987</v>
      </c>
      <c r="BO16" s="35">
        <f t="shared" si="28"/>
        <v>2.04825071</v>
      </c>
      <c r="BP16" s="35">
        <f t="shared" si="28"/>
        <v>0.1228950426</v>
      </c>
      <c r="BQ16" s="35">
        <f t="shared" si="28"/>
        <v>0.28058228904109589</v>
      </c>
      <c r="BR16" s="42">
        <f t="shared" si="50"/>
        <v>0.11275161232581726</v>
      </c>
      <c r="BS16" s="36">
        <f t="shared" si="51"/>
        <v>0.20786999999999997</v>
      </c>
      <c r="BT16" s="34">
        <f t="shared" si="29"/>
        <v>9.4798801713418826E-2</v>
      </c>
      <c r="BU16" s="35">
        <f t="shared" si="30"/>
        <v>1.9631147799999999</v>
      </c>
      <c r="BV16" s="35">
        <f t="shared" si="30"/>
        <v>0.11778688679999999</v>
      </c>
      <c r="BW16" s="35">
        <f t="shared" si="30"/>
        <v>0.26891983287671234</v>
      </c>
      <c r="BX16" s="42">
        <f t="shared" si="52"/>
        <v>0.14804921391300413</v>
      </c>
      <c r="BY16" s="36">
        <f t="shared" si="53"/>
        <v>0.2616</v>
      </c>
      <c r="BZ16" s="34">
        <f t="shared" si="31"/>
        <v>6.3199201142279213E-2</v>
      </c>
      <c r="CA16" s="35">
        <f t="shared" si="32"/>
        <v>2.5646101800000003</v>
      </c>
      <c r="CB16" s="35">
        <f t="shared" si="32"/>
        <v>0.15387661080000001</v>
      </c>
      <c r="CC16" s="35">
        <f t="shared" si="32"/>
        <v>0.35131646301369868</v>
      </c>
      <c r="CD16" s="42">
        <f t="shared" si="54"/>
        <v>0.11148944281270846</v>
      </c>
      <c r="CE16" s="36">
        <f t="shared" si="55"/>
        <v>0.25735999999999998</v>
      </c>
      <c r="CF16" s="34">
        <f t="shared" si="33"/>
        <v>4.7399400856709413E-2</v>
      </c>
      <c r="CG16" s="35">
        <f t="shared" si="34"/>
        <v>2.0761257</v>
      </c>
      <c r="CH16" s="35">
        <f t="shared" si="34"/>
        <v>0.12456754199999999</v>
      </c>
      <c r="CI16" s="35">
        <f t="shared" si="34"/>
        <v>0.28440078082191783</v>
      </c>
      <c r="CJ16" s="42">
        <f t="shared" si="56"/>
        <v>0.1542890779686413</v>
      </c>
      <c r="CK16" s="36">
        <f t="shared" si="57"/>
        <v>0.28831999999999997</v>
      </c>
      <c r="CL16" s="34">
        <f t="shared" si="35"/>
        <v>3.7919520685367532E-2</v>
      </c>
      <c r="CM16" s="35">
        <f t="shared" si="36"/>
        <v>1.9361396999999998</v>
      </c>
      <c r="CN16" s="35">
        <f t="shared" si="36"/>
        <v>0.11616838199999999</v>
      </c>
      <c r="CO16" s="35">
        <f t="shared" si="36"/>
        <v>0.26522461643835615</v>
      </c>
      <c r="CP16" s="42">
        <f t="shared" si="58"/>
        <v>0.15268261892465718</v>
      </c>
      <c r="CQ16" s="36">
        <f t="shared" si="59"/>
        <v>0.26608000000000004</v>
      </c>
    </row>
    <row r="17" spans="2:95" ht="15" thickBot="1" x14ac:dyDescent="0.35">
      <c r="X17" s="34">
        <f t="shared" si="12"/>
        <v>0.28708665630907115</v>
      </c>
      <c r="Y17" s="35">
        <f t="shared" si="13"/>
        <v>7.3511870300000002</v>
      </c>
      <c r="Z17" s="35">
        <f t="shared" si="13"/>
        <v>0.44107122179999997</v>
      </c>
      <c r="AA17" s="35">
        <f t="shared" si="13"/>
        <v>1.0070119219178082</v>
      </c>
      <c r="AB17" s="42">
        <f t="shared" si="37"/>
        <v>2.5297994628766782E-2</v>
      </c>
      <c r="AC17" s="36">
        <f t="shared" si="14"/>
        <v>0.16739000000000001</v>
      </c>
      <c r="AD17" s="34">
        <f t="shared" si="15"/>
        <v>0.19139110420604744</v>
      </c>
      <c r="AE17" s="35">
        <f t="shared" si="16"/>
        <v>4.2782054700000005</v>
      </c>
      <c r="AF17" s="35">
        <f t="shared" si="16"/>
        <v>0.25669232820000004</v>
      </c>
      <c r="AG17" s="35">
        <f t="shared" si="16"/>
        <v>0.58605554383561653</v>
      </c>
      <c r="AH17" s="42">
        <f t="shared" si="38"/>
        <v>3.6613456529473329E-2</v>
      </c>
      <c r="AI17" s="36">
        <f t="shared" si="39"/>
        <v>0.14099</v>
      </c>
      <c r="AJ17" s="34">
        <f t="shared" si="17"/>
        <v>0.14354332815453558</v>
      </c>
      <c r="AK17" s="35">
        <f t="shared" si="18"/>
        <v>3.0774144499999996</v>
      </c>
      <c r="AL17" s="35">
        <f t="shared" si="18"/>
        <v>0.18464486699999996</v>
      </c>
      <c r="AM17" s="35">
        <f t="shared" si="18"/>
        <v>0.42156362328767116</v>
      </c>
      <c r="AN17" s="42">
        <f t="shared" si="40"/>
        <v>5.7437859889167678E-2</v>
      </c>
      <c r="AO17" s="36">
        <f t="shared" si="41"/>
        <v>0.15909999999999999</v>
      </c>
      <c r="AP17" s="34">
        <f t="shared" si="19"/>
        <v>0.11483466252362846</v>
      </c>
      <c r="AQ17" s="35">
        <f t="shared" si="20"/>
        <v>2.4323567399999999</v>
      </c>
      <c r="AR17" s="35">
        <f t="shared" si="20"/>
        <v>0.1459414044</v>
      </c>
      <c r="AS17" s="35">
        <f t="shared" si="20"/>
        <v>0.33319955342465751</v>
      </c>
      <c r="AT17" s="42">
        <f t="shared" si="42"/>
        <v>5.3902089214101057E-2</v>
      </c>
      <c r="AU17" s="36">
        <f t="shared" si="43"/>
        <v>0.11800999999999999</v>
      </c>
      <c r="AV17" s="34">
        <f t="shared" si="21"/>
        <v>9.5695552103023718E-2</v>
      </c>
      <c r="AW17" s="35">
        <f t="shared" si="22"/>
        <v>1.8002310699999999</v>
      </c>
      <c r="AX17" s="35">
        <f t="shared" si="22"/>
        <v>0.10801386419999999</v>
      </c>
      <c r="AY17" s="35">
        <f t="shared" si="22"/>
        <v>0.24660699589041096</v>
      </c>
      <c r="AZ17" s="42">
        <f t="shared" si="44"/>
        <v>5.9955442275529666E-2</v>
      </c>
      <c r="BA17" s="36">
        <f t="shared" si="45"/>
        <v>9.715E-2</v>
      </c>
      <c r="BB17" s="34">
        <f t="shared" si="23"/>
        <v>8.2024758945448903E-2</v>
      </c>
      <c r="BC17" s="35">
        <f t="shared" si="24"/>
        <v>1.4445555299999999</v>
      </c>
      <c r="BD17" s="35">
        <f t="shared" si="24"/>
        <v>8.6673331799999989E-2</v>
      </c>
      <c r="BE17" s="35">
        <f t="shared" si="24"/>
        <v>0.19788431917808219</v>
      </c>
      <c r="BF17" s="42">
        <f t="shared" si="46"/>
        <v>0.10385085715604161</v>
      </c>
      <c r="BG17" s="36">
        <f t="shared" si="47"/>
        <v>0.13502999999999998</v>
      </c>
      <c r="BH17" s="34">
        <f t="shared" si="25"/>
        <v>7.1771664077267788E-2</v>
      </c>
      <c r="BI17" s="35">
        <f t="shared" si="26"/>
        <v>1.2425535099999998</v>
      </c>
      <c r="BJ17" s="35">
        <f t="shared" si="26"/>
        <v>7.4553210599999989E-2</v>
      </c>
      <c r="BK17" s="35">
        <f t="shared" si="26"/>
        <v>0.17021280958904109</v>
      </c>
      <c r="BL17" s="42">
        <f t="shared" si="48"/>
        <v>6.9625629241512499E-2</v>
      </c>
      <c r="BM17" s="36">
        <f t="shared" si="49"/>
        <v>7.7870000000000009E-2</v>
      </c>
      <c r="BN17" s="34"/>
      <c r="BO17" s="35"/>
      <c r="BP17" s="35"/>
      <c r="BQ17" s="35"/>
      <c r="BR17" s="42"/>
      <c r="BS17" s="36"/>
      <c r="BT17" s="34"/>
      <c r="BU17" s="35"/>
      <c r="BV17" s="35"/>
      <c r="BW17" s="35"/>
      <c r="BX17" s="42"/>
      <c r="BY17" s="36"/>
      <c r="BZ17" s="34">
        <f t="shared" si="31"/>
        <v>3.8278220841209486E-2</v>
      </c>
      <c r="CA17" s="35">
        <f t="shared" si="32"/>
        <v>2.0620604399999998</v>
      </c>
      <c r="CB17" s="35">
        <f t="shared" si="32"/>
        <v>0.12372362639999998</v>
      </c>
      <c r="CC17" s="35">
        <f t="shared" si="32"/>
        <v>0.2824740328767123</v>
      </c>
      <c r="CD17" s="42">
        <f t="shared" si="54"/>
        <v>4.6448352406198157E-2</v>
      </c>
      <c r="CE17" s="36">
        <f t="shared" si="55"/>
        <v>8.6210000000000009E-2</v>
      </c>
      <c r="CF17" s="34">
        <f t="shared" si="33"/>
        <v>2.8708665630907116E-2</v>
      </c>
      <c r="CG17" s="35">
        <f t="shared" si="34"/>
        <v>1.7515581599999999</v>
      </c>
      <c r="CH17" s="35">
        <f t="shared" si="34"/>
        <v>0.10509348959999999</v>
      </c>
      <c r="CI17" s="35">
        <f t="shared" si="34"/>
        <v>0.23993947397260273</v>
      </c>
      <c r="CJ17" s="42">
        <f t="shared" si="56"/>
        <v>6.1120414066067906E-2</v>
      </c>
      <c r="CK17" s="36">
        <f t="shared" si="57"/>
        <v>9.6360000000000001E-2</v>
      </c>
      <c r="CL17" s="34">
        <f t="shared" si="35"/>
        <v>2.2966932504725691E-2</v>
      </c>
      <c r="CM17" s="35">
        <f t="shared" si="36"/>
        <v>1.27555021</v>
      </c>
      <c r="CN17" s="35">
        <f t="shared" si="36"/>
        <v>7.6533012599999992E-2</v>
      </c>
      <c r="CO17" s="35">
        <f t="shared" si="36"/>
        <v>0.17473290547945206</v>
      </c>
      <c r="CP17" s="42">
        <f t="shared" si="58"/>
        <v>9.2647917011436196E-2</v>
      </c>
      <c r="CQ17" s="36">
        <f t="shared" si="59"/>
        <v>0.10637000000000001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0.20749571255129784</v>
      </c>
      <c r="Y18" s="35">
        <f t="shared" si="13"/>
        <v>6.5869190200000007</v>
      </c>
      <c r="Z18" s="35">
        <f t="shared" si="13"/>
        <v>0.39521514120000001</v>
      </c>
      <c r="AA18" s="35">
        <f t="shared" si="13"/>
        <v>0.90231767397260287</v>
      </c>
      <c r="AB18" s="42">
        <f t="shared" si="37"/>
        <v>3.1800594384717364E-2</v>
      </c>
      <c r="AC18" s="36">
        <f t="shared" si="14"/>
        <v>0.18854000000000001</v>
      </c>
      <c r="AD18" s="34">
        <f t="shared" si="15"/>
        <v>0.13833047503419857</v>
      </c>
      <c r="AE18" s="35">
        <f t="shared" si="16"/>
        <v>4.7983645600000004</v>
      </c>
      <c r="AF18" s="35">
        <f t="shared" si="16"/>
        <v>0.28790187360000002</v>
      </c>
      <c r="AG18" s="35">
        <f t="shared" si="16"/>
        <v>0.65731021369863019</v>
      </c>
      <c r="AH18" s="42">
        <f t="shared" si="38"/>
        <v>2.8080834274918032E-2</v>
      </c>
      <c r="AI18" s="36">
        <f t="shared" si="39"/>
        <v>0.12128</v>
      </c>
      <c r="AJ18" s="34">
        <f t="shared" si="17"/>
        <v>0.10374785627564892</v>
      </c>
      <c r="AK18" s="35">
        <f t="shared" si="18"/>
        <v>3.0912575099999997</v>
      </c>
      <c r="AL18" s="35">
        <f t="shared" si="18"/>
        <v>0.18547545059999998</v>
      </c>
      <c r="AM18" s="35">
        <f t="shared" si="18"/>
        <v>0.4234599328767123</v>
      </c>
      <c r="AN18" s="42">
        <f t="shared" si="40"/>
        <v>5.0495793215234286E-2</v>
      </c>
      <c r="AO18" s="36">
        <f t="shared" si="41"/>
        <v>0.14050000000000001</v>
      </c>
      <c r="AP18" s="34">
        <f t="shared" si="19"/>
        <v>8.2998285020519133E-2</v>
      </c>
      <c r="AQ18" s="35">
        <f t="shared" si="20"/>
        <v>2.20524612</v>
      </c>
      <c r="AR18" s="35">
        <f t="shared" si="20"/>
        <v>0.13231476719999999</v>
      </c>
      <c r="AS18" s="35">
        <f t="shared" si="20"/>
        <v>0.3020885095890411</v>
      </c>
      <c r="AT18" s="42">
        <f t="shared" si="42"/>
        <v>5.110029623360135E-2</v>
      </c>
      <c r="AU18" s="36">
        <f t="shared" si="43"/>
        <v>0.10142999999999999</v>
      </c>
      <c r="AV18" s="34">
        <f t="shared" si="21"/>
        <v>6.9165237517099284E-2</v>
      </c>
      <c r="AW18" s="35">
        <f t="shared" si="22"/>
        <v>1.2230665699999999</v>
      </c>
      <c r="AX18" s="35">
        <f t="shared" si="22"/>
        <v>7.3383994199999983E-2</v>
      </c>
      <c r="AY18" s="35">
        <f t="shared" si="22"/>
        <v>0.16754336575342463</v>
      </c>
      <c r="AZ18" s="42">
        <f t="shared" si="44"/>
        <v>0.23132613296756205</v>
      </c>
      <c r="BA18" s="36">
        <f t="shared" si="45"/>
        <v>0.25466</v>
      </c>
      <c r="BB18" s="34"/>
      <c r="BC18" s="35"/>
      <c r="BD18" s="35"/>
      <c r="BE18" s="35"/>
      <c r="BF18" s="42"/>
      <c r="BG18" s="36"/>
      <c r="BH18" s="34"/>
      <c r="BI18" s="35"/>
      <c r="BJ18" s="35"/>
      <c r="BK18" s="35"/>
      <c r="BL18" s="42"/>
      <c r="BM18" s="36"/>
      <c r="BN18" s="34"/>
      <c r="BO18" s="35"/>
      <c r="BP18" s="35"/>
      <c r="BQ18" s="35"/>
      <c r="BR18" s="42"/>
      <c r="BS18" s="36"/>
      <c r="BT18" s="34"/>
      <c r="BU18" s="35"/>
      <c r="BV18" s="35"/>
      <c r="BW18" s="35"/>
      <c r="BX18" s="42"/>
      <c r="BY18" s="36"/>
      <c r="BZ18" s="34">
        <f t="shared" si="31"/>
        <v>2.7666095006839711E-2</v>
      </c>
      <c r="CA18" s="35">
        <f t="shared" si="32"/>
        <v>1.47749668</v>
      </c>
      <c r="CB18" s="35">
        <f t="shared" si="32"/>
        <v>8.8649800799999998E-2</v>
      </c>
      <c r="CC18" s="35">
        <f t="shared" si="32"/>
        <v>0.20239680547945207</v>
      </c>
      <c r="CD18" s="42">
        <f t="shared" si="54"/>
        <v>5.3516106716395472E-2</v>
      </c>
      <c r="CE18" s="36">
        <f t="shared" si="55"/>
        <v>7.1170000000000011E-2</v>
      </c>
      <c r="CF18" s="34">
        <f t="shared" si="33"/>
        <v>2.0749571255129783E-2</v>
      </c>
      <c r="CG18" s="35">
        <f t="shared" si="34"/>
        <v>1.3738070500000004</v>
      </c>
      <c r="CH18" s="35">
        <f t="shared" si="34"/>
        <v>8.2428423000000015E-2</v>
      </c>
      <c r="CI18" s="35">
        <f t="shared" si="34"/>
        <v>0.18819274657534252</v>
      </c>
      <c r="CJ18" s="42">
        <f t="shared" si="56"/>
        <v>0.10761392584206056</v>
      </c>
      <c r="CK18" s="36">
        <f t="shared" si="57"/>
        <v>0.13306999999999999</v>
      </c>
      <c r="CL18" s="34"/>
      <c r="CM18" s="35"/>
      <c r="CN18" s="35"/>
      <c r="CO18" s="35"/>
      <c r="CP18" s="42"/>
      <c r="CQ18" s="36"/>
    </row>
    <row r="19" spans="2:95" ht="15" thickTop="1" x14ac:dyDescent="0.3">
      <c r="B19">
        <v>1</v>
      </c>
      <c r="C19">
        <v>-36</v>
      </c>
      <c r="D19">
        <v>49594.2</v>
      </c>
      <c r="E19">
        <v>2915.5</v>
      </c>
      <c r="F19">
        <f t="shared" ref="F19:F29" si="60">D19/10000</f>
        <v>4.9594199999999997</v>
      </c>
      <c r="G19">
        <f t="shared" ref="G19:G29" si="61">C19/10000</f>
        <v>-3.5999999999999999E-3</v>
      </c>
      <c r="H19">
        <f t="shared" ref="H19:H29" si="62">F19-G19</f>
        <v>4.9630199999999993</v>
      </c>
      <c r="I19">
        <f>E19/10000</f>
        <v>0.29154999999999998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0.41293583862511801</v>
      </c>
      <c r="P19" s="2">
        <v>3</v>
      </c>
      <c r="Q19" s="8">
        <f>H19</f>
        <v>4.9630199999999993</v>
      </c>
      <c r="R19" s="8">
        <f>I19</f>
        <v>0.29154999999999998</v>
      </c>
      <c r="S19" s="8">
        <f>Q19/10^6*$Z$4*$Z$3/P19*10^12</f>
        <v>5.5139152199999995</v>
      </c>
      <c r="T19" s="8">
        <f>S19*0.06</f>
        <v>0.33083491319999997</v>
      </c>
      <c r="U19" s="8">
        <f>S19/$Z$1</f>
        <v>0.75533085205479444</v>
      </c>
      <c r="V19" s="12">
        <f t="shared" ref="V19:V29" si="63">O19</f>
        <v>0.41293583862511801</v>
      </c>
      <c r="W19" s="19"/>
      <c r="X19" s="34">
        <f t="shared" si="12"/>
        <v>0.14362698913117394</v>
      </c>
      <c r="Y19" s="35">
        <f t="shared" si="13"/>
        <v>4.7686980824999994</v>
      </c>
      <c r="Z19" s="35">
        <f t="shared" si="13"/>
        <v>0.28612188494999996</v>
      </c>
      <c r="AA19" s="35">
        <f t="shared" si="13"/>
        <v>0.65324631267123279</v>
      </c>
      <c r="AB19" s="42">
        <f t="shared" si="37"/>
        <v>3.3246490919987909E-2</v>
      </c>
      <c r="AC19" s="36">
        <f t="shared" si="14"/>
        <v>0.19026999999999999</v>
      </c>
      <c r="AD19" s="34">
        <f t="shared" si="15"/>
        <v>9.5751326087449296E-2</v>
      </c>
      <c r="AE19" s="35">
        <f t="shared" si="16"/>
        <v>3.0353214374999999</v>
      </c>
      <c r="AF19" s="35">
        <f t="shared" si="16"/>
        <v>0.18211928624999998</v>
      </c>
      <c r="AG19" s="35">
        <f t="shared" si="16"/>
        <v>0.41579745719178085</v>
      </c>
      <c r="AH19" s="42">
        <f t="shared" si="38"/>
        <v>4.1018461327293948E-2</v>
      </c>
      <c r="AI19" s="36">
        <f t="shared" si="39"/>
        <v>0.14942</v>
      </c>
      <c r="AJ19" s="34">
        <f t="shared" si="17"/>
        <v>7.1813494565586972E-2</v>
      </c>
      <c r="AK19" s="35">
        <f t="shared" si="18"/>
        <v>1.5209478899999997</v>
      </c>
      <c r="AL19" s="35">
        <f t="shared" si="18"/>
        <v>9.125687339999998E-2</v>
      </c>
      <c r="AM19" s="35">
        <f t="shared" si="18"/>
        <v>0.20834902602739724</v>
      </c>
      <c r="AN19" s="42">
        <f t="shared" si="40"/>
        <v>0.19287029123660512</v>
      </c>
      <c r="AO19" s="36">
        <f t="shared" si="41"/>
        <v>0.35204999999999997</v>
      </c>
      <c r="AP19" s="34">
        <f t="shared" si="19"/>
        <v>5.7450795652469577E-2</v>
      </c>
      <c r="AQ19" s="35">
        <f t="shared" si="20"/>
        <v>0.39021930749999995</v>
      </c>
      <c r="AR19" s="35">
        <f t="shared" si="20"/>
        <v>2.3413158449999995E-2</v>
      </c>
      <c r="AS19" s="35">
        <f t="shared" si="20"/>
        <v>5.3454699657534244E-2</v>
      </c>
      <c r="AT19" s="42">
        <f t="shared" si="42"/>
        <v>0.9942986483312336</v>
      </c>
      <c r="AU19" s="36">
        <f t="shared" si="43"/>
        <v>0.46563999999999994</v>
      </c>
      <c r="AV19" s="34"/>
      <c r="AW19" s="35"/>
      <c r="AX19" s="35"/>
      <c r="AY19" s="35"/>
      <c r="AZ19" s="42"/>
      <c r="BA19" s="36"/>
      <c r="BB19" s="34"/>
      <c r="BC19" s="35"/>
      <c r="BD19" s="35"/>
      <c r="BE19" s="35"/>
      <c r="BF19" s="42"/>
      <c r="BG19" s="36"/>
      <c r="BH19" s="34"/>
      <c r="BI19" s="35"/>
      <c r="BJ19" s="35"/>
      <c r="BK19" s="35"/>
      <c r="BL19" s="42"/>
      <c r="BM19" s="36"/>
      <c r="BN19" s="34"/>
      <c r="BO19" s="35"/>
      <c r="BP19" s="35"/>
      <c r="BQ19" s="35"/>
      <c r="BR19" s="42"/>
      <c r="BS19" s="36"/>
      <c r="BT19" s="34"/>
      <c r="BU19" s="35"/>
      <c r="BV19" s="35"/>
      <c r="BW19" s="35"/>
      <c r="BX19" s="42"/>
      <c r="BY19" s="36"/>
      <c r="BZ19" s="34"/>
      <c r="CA19" s="35"/>
      <c r="CB19" s="35"/>
      <c r="CC19" s="35"/>
      <c r="CD19" s="42"/>
      <c r="CE19" s="36"/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-37.200000000000003</v>
      </c>
      <c r="D20">
        <v>56622.400000000001</v>
      </c>
      <c r="E20">
        <v>2986.6</v>
      </c>
      <c r="F20">
        <f t="shared" si="60"/>
        <v>5.6622399999999997</v>
      </c>
      <c r="G20">
        <f t="shared" si="61"/>
        <v>-3.7200000000000002E-3</v>
      </c>
      <c r="H20">
        <f t="shared" si="62"/>
        <v>5.6659600000000001</v>
      </c>
      <c r="I20">
        <f t="shared" ref="I20:I29" si="64">E20/10000</f>
        <v>0.29865999999999998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0.3662899121038638</v>
      </c>
      <c r="P20" s="4">
        <v>3</v>
      </c>
      <c r="Q20" s="5">
        <f t="shared" ref="Q20:R29" si="67">H20</f>
        <v>5.6659600000000001</v>
      </c>
      <c r="R20" s="5">
        <f t="shared" si="67"/>
        <v>0.29865999999999998</v>
      </c>
      <c r="S20" s="5">
        <f t="shared" ref="S20:S29" si="68">Q20/10^6*$Z$4*$Z$3/P20*10^12</f>
        <v>6.2948815600000012</v>
      </c>
      <c r="T20" s="5">
        <f t="shared" ref="T20:T29" si="69">S20*0.06</f>
        <v>0.37769289360000008</v>
      </c>
      <c r="U20" s="5">
        <f t="shared" ref="U20:U29" si="70">S20/$Z$1</f>
        <v>0.86231254246575362</v>
      </c>
      <c r="V20" s="5">
        <f t="shared" si="63"/>
        <v>0.3662899121038638</v>
      </c>
      <c r="W20" s="19"/>
      <c r="X20" s="34">
        <f t="shared" si="12"/>
        <v>0.10383026745031791</v>
      </c>
      <c r="Y20" s="35">
        <f t="shared" si="13"/>
        <v>2.0680265100000002</v>
      </c>
      <c r="Z20" s="35">
        <f t="shared" si="13"/>
        <v>0.1240815906</v>
      </c>
      <c r="AA20" s="35">
        <f t="shared" si="13"/>
        <v>0.28329130273972608</v>
      </c>
      <c r="AB20" s="42">
        <f t="shared" si="37"/>
        <v>0.10566183699453639</v>
      </c>
      <c r="AC20" s="36">
        <f t="shared" si="14"/>
        <v>0.26224000000000003</v>
      </c>
      <c r="AD20" s="34">
        <f t="shared" si="15"/>
        <v>6.9220178300211946E-2</v>
      </c>
      <c r="AE20" s="35">
        <f t="shared" si="16"/>
        <v>0.80264472750000004</v>
      </c>
      <c r="AF20" s="35">
        <f t="shared" si="16"/>
        <v>4.8158683649999999E-2</v>
      </c>
      <c r="AG20" s="35">
        <f t="shared" si="16"/>
        <v>0.10995133253424659</v>
      </c>
      <c r="AH20" s="42">
        <f t="shared" si="38"/>
        <v>0.50272509265315024</v>
      </c>
      <c r="AI20" s="36">
        <f t="shared" si="39"/>
        <v>0.48426000000000002</v>
      </c>
      <c r="AJ20" s="34"/>
      <c r="AK20" s="35"/>
      <c r="AL20" s="35"/>
      <c r="AM20" s="35"/>
      <c r="AN20" s="42"/>
      <c r="AO20" s="36"/>
      <c r="AP20" s="34"/>
      <c r="AQ20" s="35"/>
      <c r="AR20" s="35"/>
      <c r="AS20" s="35"/>
      <c r="AT20" s="42"/>
      <c r="AU20" s="36"/>
      <c r="AV20" s="34"/>
      <c r="AW20" s="35"/>
      <c r="AX20" s="35"/>
      <c r="AY20" s="35"/>
      <c r="AZ20" s="42"/>
      <c r="BA20" s="36"/>
      <c r="BB20" s="34"/>
      <c r="BC20" s="35"/>
      <c r="BD20" s="35"/>
      <c r="BE20" s="35"/>
      <c r="BF20" s="42"/>
      <c r="BG20" s="36"/>
      <c r="BH20" s="34"/>
      <c r="BI20" s="35"/>
      <c r="BJ20" s="35"/>
      <c r="BK20" s="35"/>
      <c r="BL20" s="42"/>
      <c r="BM20" s="36"/>
      <c r="BN20" s="34"/>
      <c r="BO20" s="35"/>
      <c r="BP20" s="35"/>
      <c r="BQ20" s="35"/>
      <c r="BR20" s="42"/>
      <c r="BS20" s="36"/>
      <c r="BT20" s="34"/>
      <c r="BU20" s="35"/>
      <c r="BV20" s="35"/>
      <c r="BW20" s="35"/>
      <c r="BX20" s="42"/>
      <c r="BY20" s="36"/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8475.5</v>
      </c>
      <c r="D21">
        <v>56281.3</v>
      </c>
      <c r="E21">
        <v>1788.8</v>
      </c>
      <c r="F21">
        <f t="shared" si="60"/>
        <v>5.6281300000000005</v>
      </c>
      <c r="G21">
        <f t="shared" si="61"/>
        <v>0.84755000000000003</v>
      </c>
      <c r="H21">
        <f t="shared" si="62"/>
        <v>4.7805800000000005</v>
      </c>
      <c r="I21">
        <f t="shared" si="64"/>
        <v>0.17887999999999998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0.31599600571139608</v>
      </c>
      <c r="P21" s="4">
        <v>3</v>
      </c>
      <c r="Q21" s="5">
        <f t="shared" si="67"/>
        <v>4.7805800000000005</v>
      </c>
      <c r="R21" s="5">
        <f t="shared" si="67"/>
        <v>0.17887999999999998</v>
      </c>
      <c r="S21" s="5">
        <f t="shared" si="68"/>
        <v>5.3112243800000014</v>
      </c>
      <c r="T21" s="5">
        <f t="shared" si="69"/>
        <v>0.31867346280000008</v>
      </c>
      <c r="U21" s="5">
        <f t="shared" si="70"/>
        <v>0.72756498356164401</v>
      </c>
      <c r="V21" s="5">
        <f t="shared" si="63"/>
        <v>0.31599600571139608</v>
      </c>
      <c r="W21" s="19"/>
      <c r="X21" s="34">
        <f t="shared" si="12"/>
        <v>8.7073679977753712E-2</v>
      </c>
      <c r="Y21" s="35">
        <f t="shared" si="13"/>
        <v>1.1190147540000004</v>
      </c>
      <c r="Z21" s="35">
        <f t="shared" si="13"/>
        <v>6.7140885240000017E-2</v>
      </c>
      <c r="AA21" s="35">
        <f t="shared" si="13"/>
        <v>0.15328969232876719</v>
      </c>
      <c r="AB21" s="42">
        <f t="shared" si="37"/>
        <v>0.20095431556749604</v>
      </c>
      <c r="AC21" s="36">
        <f t="shared" si="14"/>
        <v>0.33734000000000003</v>
      </c>
      <c r="AD21" s="34"/>
      <c r="AE21" s="35"/>
      <c r="AF21" s="35"/>
      <c r="AG21" s="35"/>
      <c r="AH21" s="42"/>
      <c r="AI21" s="36"/>
      <c r="AJ21" s="34"/>
      <c r="AK21" s="35"/>
      <c r="AL21" s="35"/>
      <c r="AM21" s="35"/>
      <c r="AN21" s="42"/>
      <c r="AO21" s="36"/>
      <c r="AP21" s="34"/>
      <c r="AQ21" s="35"/>
      <c r="AR21" s="35"/>
      <c r="AS21" s="35"/>
      <c r="AT21" s="42"/>
      <c r="AU21" s="36"/>
      <c r="AV21" s="34"/>
      <c r="AW21" s="35"/>
      <c r="AX21" s="35"/>
      <c r="AY21" s="35"/>
      <c r="AZ21" s="42"/>
      <c r="BA21" s="36"/>
      <c r="BB21" s="34"/>
      <c r="BC21" s="35"/>
      <c r="BD21" s="35"/>
      <c r="BE21" s="35"/>
      <c r="BF21" s="42"/>
      <c r="BG21" s="36"/>
      <c r="BH21" s="34"/>
      <c r="BI21" s="35"/>
      <c r="BJ21" s="35"/>
      <c r="BK21" s="35"/>
      <c r="BL21" s="42"/>
      <c r="BM21" s="36"/>
      <c r="BN21" s="34"/>
      <c r="BO21" s="35"/>
      <c r="BP21" s="35"/>
      <c r="BQ21" s="35"/>
      <c r="BR21" s="42"/>
      <c r="BS21" s="36"/>
      <c r="BT21" s="34"/>
      <c r="BU21" s="35"/>
      <c r="BV21" s="35"/>
      <c r="BW21" s="35"/>
      <c r="BX21" s="42"/>
      <c r="BY21" s="36"/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8438.4</v>
      </c>
      <c r="D22">
        <v>46946.1</v>
      </c>
      <c r="E22">
        <v>1409.9</v>
      </c>
      <c r="F22">
        <f t="shared" si="60"/>
        <v>4.6946099999999999</v>
      </c>
      <c r="G22">
        <f t="shared" si="61"/>
        <v>0.84383999999999992</v>
      </c>
      <c r="H22">
        <f t="shared" si="62"/>
        <v>3.8507699999999998</v>
      </c>
      <c r="I22">
        <f t="shared" si="64"/>
        <v>0.14099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0.19139110420604744</v>
      </c>
      <c r="P22" s="4">
        <v>3</v>
      </c>
      <c r="Q22" s="5">
        <f t="shared" si="67"/>
        <v>3.8507699999999998</v>
      </c>
      <c r="R22" s="5">
        <f t="shared" si="67"/>
        <v>0.14099</v>
      </c>
      <c r="S22" s="5">
        <f t="shared" si="68"/>
        <v>4.2782054700000005</v>
      </c>
      <c r="T22" s="5">
        <f t="shared" si="69"/>
        <v>0.25669232820000004</v>
      </c>
      <c r="U22" s="5">
        <f t="shared" si="70"/>
        <v>0.58605554383561653</v>
      </c>
      <c r="V22" s="5">
        <f t="shared" si="63"/>
        <v>0.19139110420604744</v>
      </c>
      <c r="W22" s="19"/>
      <c r="X22" s="34">
        <f t="shared" si="12"/>
        <v>7.0175194508084252E-2</v>
      </c>
      <c r="Y22" s="35">
        <f t="shared" si="13"/>
        <v>0.25795753500000002</v>
      </c>
      <c r="Z22" s="35">
        <f t="shared" si="13"/>
        <v>1.5477452100000001E-2</v>
      </c>
      <c r="AA22" s="35">
        <f t="shared" si="13"/>
        <v>3.5336648630136989E-2</v>
      </c>
      <c r="AB22" s="42">
        <f t="shared" si="37"/>
        <v>0.68122940758446915</v>
      </c>
      <c r="AC22" s="36">
        <f t="shared" si="14"/>
        <v>0.42178999999999994</v>
      </c>
      <c r="AD22" s="34"/>
      <c r="AE22" s="35"/>
      <c r="AF22" s="35"/>
      <c r="AG22" s="35"/>
      <c r="AH22" s="42"/>
      <c r="AI22" s="36"/>
      <c r="AJ22" s="34"/>
      <c r="AK22" s="35"/>
      <c r="AL22" s="35"/>
      <c r="AM22" s="35"/>
      <c r="AN22" s="42"/>
      <c r="AO22" s="36"/>
      <c r="AP22" s="34"/>
      <c r="AQ22" s="35"/>
      <c r="AR22" s="35"/>
      <c r="AS22" s="35"/>
      <c r="AT22" s="42"/>
      <c r="AU22" s="36"/>
      <c r="AV22" s="34"/>
      <c r="AW22" s="35"/>
      <c r="AX22" s="35"/>
      <c r="AY22" s="35"/>
      <c r="AZ22" s="42"/>
      <c r="BA22" s="36"/>
      <c r="BB22" s="34"/>
      <c r="BC22" s="35"/>
      <c r="BD22" s="35"/>
      <c r="BE22" s="35"/>
      <c r="BF22" s="42"/>
      <c r="BG22" s="36"/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5492.8</v>
      </c>
      <c r="D23">
        <v>48682.400000000001</v>
      </c>
      <c r="E23">
        <v>1212.8</v>
      </c>
      <c r="F23">
        <f t="shared" si="60"/>
        <v>4.8682400000000001</v>
      </c>
      <c r="G23">
        <f t="shared" si="61"/>
        <v>0.54927999999999999</v>
      </c>
      <c r="H23">
        <f t="shared" si="62"/>
        <v>4.3189600000000006</v>
      </c>
      <c r="I23">
        <f t="shared" si="64"/>
        <v>0.12128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0.13833047503419857</v>
      </c>
      <c r="P23" s="4">
        <v>3</v>
      </c>
      <c r="Q23" s="5">
        <f t="shared" si="67"/>
        <v>4.3189600000000006</v>
      </c>
      <c r="R23" s="5">
        <f t="shared" si="67"/>
        <v>0.12128</v>
      </c>
      <c r="S23" s="5">
        <f t="shared" si="68"/>
        <v>4.7983645600000004</v>
      </c>
      <c r="T23" s="5">
        <f t="shared" si="69"/>
        <v>0.28790187360000002</v>
      </c>
      <c r="U23" s="5">
        <f t="shared" si="70"/>
        <v>0.65731021369863019</v>
      </c>
      <c r="V23" s="5">
        <f t="shared" si="63"/>
        <v>0.13833047503419857</v>
      </c>
      <c r="W23" s="19"/>
      <c r="X23" s="34"/>
      <c r="Y23" s="35"/>
      <c r="Z23" s="35"/>
      <c r="AA23" s="35"/>
      <c r="AB23" s="42"/>
      <c r="AC23" s="36"/>
      <c r="AD23" s="34"/>
      <c r="AE23" s="35"/>
      <c r="AF23" s="35"/>
      <c r="AG23" s="35"/>
      <c r="AH23" s="42"/>
      <c r="AI23" s="36"/>
      <c r="AJ23" s="34"/>
      <c r="AK23" s="35"/>
      <c r="AL23" s="35"/>
      <c r="AM23" s="35"/>
      <c r="AN23" s="42"/>
      <c r="AO23" s="36"/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6032.7</v>
      </c>
      <c r="D24">
        <v>42460.2</v>
      </c>
      <c r="E24">
        <v>1494.2</v>
      </c>
      <c r="F24">
        <f t="shared" si="60"/>
        <v>4.2460199999999997</v>
      </c>
      <c r="G24">
        <f t="shared" si="61"/>
        <v>0.60326999999999997</v>
      </c>
      <c r="H24">
        <f t="shared" si="62"/>
        <v>3.6427499999999995</v>
      </c>
      <c r="I24">
        <f t="shared" si="64"/>
        <v>0.14942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9.5751326087449296E-2</v>
      </c>
      <c r="P24" s="4">
        <v>4</v>
      </c>
      <c r="Q24" s="5">
        <f t="shared" si="67"/>
        <v>3.6427499999999995</v>
      </c>
      <c r="R24" s="5">
        <f t="shared" si="67"/>
        <v>0.14942</v>
      </c>
      <c r="S24" s="5">
        <f t="shared" si="68"/>
        <v>3.0353214374999999</v>
      </c>
      <c r="T24" s="5">
        <f t="shared" si="69"/>
        <v>0.18211928624999998</v>
      </c>
      <c r="U24" s="5">
        <f t="shared" si="70"/>
        <v>0.41579745719178085</v>
      </c>
      <c r="V24" s="5">
        <f t="shared" si="63"/>
        <v>9.5751326087449296E-2</v>
      </c>
      <c r="W24" s="19"/>
      <c r="X24" s="37"/>
      <c r="Y24" s="38"/>
      <c r="Z24" s="38"/>
      <c r="AA24" s="38"/>
      <c r="AB24" s="43"/>
      <c r="AC24" s="39"/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5234.8999999999996</v>
      </c>
      <c r="D25">
        <v>14867.6</v>
      </c>
      <c r="E25">
        <v>4842.6000000000004</v>
      </c>
      <c r="F25">
        <f t="shared" si="60"/>
        <v>1.4867600000000001</v>
      </c>
      <c r="G25">
        <f t="shared" si="61"/>
        <v>0.52349000000000001</v>
      </c>
      <c r="H25">
        <f t="shared" si="62"/>
        <v>0.96327000000000007</v>
      </c>
      <c r="I25">
        <f t="shared" si="64"/>
        <v>0.48426000000000002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6.9220178300211946E-2</v>
      </c>
      <c r="P25" s="4">
        <v>4</v>
      </c>
      <c r="Q25" s="5">
        <f t="shared" si="67"/>
        <v>0.96327000000000007</v>
      </c>
      <c r="R25" s="5">
        <f t="shared" si="67"/>
        <v>0.48426000000000002</v>
      </c>
      <c r="S25" s="5">
        <f t="shared" si="68"/>
        <v>0.80264472750000004</v>
      </c>
      <c r="T25" s="5">
        <f t="shared" si="69"/>
        <v>4.8158683649999999E-2</v>
      </c>
      <c r="U25" s="5">
        <f t="shared" si="70"/>
        <v>0.10995133253424659</v>
      </c>
      <c r="V25" s="5">
        <f t="shared" si="63"/>
        <v>6.9220178300211946E-2</v>
      </c>
      <c r="W25" s="19"/>
      <c r="X25" s="20"/>
      <c r="Y25" s="21"/>
      <c r="Z25" s="18"/>
    </row>
    <row r="26" spans="2:95" x14ac:dyDescent="0.3">
      <c r="B26">
        <v>8</v>
      </c>
      <c r="C26">
        <v>0</v>
      </c>
      <c r="D26">
        <v>0</v>
      </c>
      <c r="E26">
        <v>0</v>
      </c>
      <c r="F26">
        <f t="shared" si="60"/>
        <v>0</v>
      </c>
      <c r="G26">
        <f t="shared" si="61"/>
        <v>0</v>
      </c>
      <c r="H26">
        <f t="shared" si="62"/>
        <v>0</v>
      </c>
      <c r="I26">
        <f t="shared" si="64"/>
        <v>0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5.8049119985169144E-2</v>
      </c>
      <c r="P26" s="4">
        <v>5</v>
      </c>
      <c r="Q26" s="5">
        <f t="shared" si="67"/>
        <v>0</v>
      </c>
      <c r="R26" s="5">
        <f t="shared" si="67"/>
        <v>0</v>
      </c>
      <c r="S26" s="5">
        <f t="shared" si="68"/>
        <v>0</v>
      </c>
      <c r="T26" s="5">
        <f t="shared" si="69"/>
        <v>0</v>
      </c>
      <c r="U26" s="5">
        <f t="shared" si="70"/>
        <v>0</v>
      </c>
      <c r="V26" s="5">
        <f t="shared" si="63"/>
        <v>5.8049119985169144E-2</v>
      </c>
      <c r="W26" s="19"/>
      <c r="X26" s="20"/>
      <c r="Y26" s="21"/>
      <c r="Z26" s="18"/>
    </row>
    <row r="27" spans="2:95" x14ac:dyDescent="0.3">
      <c r="B27">
        <v>9</v>
      </c>
      <c r="C27">
        <v>0</v>
      </c>
      <c r="D27">
        <v>0</v>
      </c>
      <c r="E27">
        <v>0</v>
      </c>
      <c r="F27">
        <f t="shared" si="60"/>
        <v>0</v>
      </c>
      <c r="G27">
        <f t="shared" si="61"/>
        <v>0</v>
      </c>
      <c r="H27">
        <f t="shared" si="62"/>
        <v>0</v>
      </c>
      <c r="I27">
        <f t="shared" si="64"/>
        <v>0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4.6783463005389499E-2</v>
      </c>
      <c r="P27" s="4">
        <v>8</v>
      </c>
      <c r="Q27" s="5">
        <f t="shared" si="67"/>
        <v>0</v>
      </c>
      <c r="R27" s="5">
        <f t="shared" si="67"/>
        <v>0</v>
      </c>
      <c r="S27" s="5">
        <f t="shared" si="68"/>
        <v>0</v>
      </c>
      <c r="T27" s="5">
        <f t="shared" si="69"/>
        <v>0</v>
      </c>
      <c r="U27" s="5">
        <f t="shared" si="70"/>
        <v>0</v>
      </c>
      <c r="V27" s="5">
        <f t="shared" si="63"/>
        <v>4.6783463005389499E-2</v>
      </c>
      <c r="W27" s="19"/>
      <c r="X27" s="20"/>
      <c r="Y27" s="21"/>
      <c r="Z27" s="17"/>
    </row>
    <row r="28" spans="2:95" x14ac:dyDescent="0.3">
      <c r="B28">
        <v>10</v>
      </c>
      <c r="C28">
        <v>0</v>
      </c>
      <c r="D28">
        <v>0</v>
      </c>
      <c r="E28">
        <v>0</v>
      </c>
      <c r="F28">
        <f t="shared" si="60"/>
        <v>0</v>
      </c>
      <c r="G28">
        <f t="shared" si="61"/>
        <v>0</v>
      </c>
      <c r="H28">
        <f t="shared" si="62"/>
        <v>0</v>
      </c>
      <c r="I28">
        <f t="shared" si="64"/>
        <v>0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3.3502494481825192E-2</v>
      </c>
      <c r="P28" s="4">
        <v>14</v>
      </c>
      <c r="Q28" s="5">
        <f t="shared" si="67"/>
        <v>0</v>
      </c>
      <c r="R28" s="5">
        <f t="shared" si="67"/>
        <v>0</v>
      </c>
      <c r="S28" s="5">
        <f t="shared" si="68"/>
        <v>0</v>
      </c>
      <c r="T28" s="5">
        <f t="shared" si="69"/>
        <v>0</v>
      </c>
      <c r="U28" s="5">
        <f t="shared" si="70"/>
        <v>0</v>
      </c>
      <c r="V28" s="5">
        <f t="shared" si="63"/>
        <v>3.3502494481825192E-2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2.1605022309084593E-2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2.1605022309084593E-2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-2104.8000000000002</v>
      </c>
      <c r="D33">
        <v>38203.1</v>
      </c>
      <c r="E33">
        <v>2839.9</v>
      </c>
      <c r="F33">
        <f t="shared" ref="F33:F43" si="72">D33/10000</f>
        <v>3.8203099999999997</v>
      </c>
      <c r="G33">
        <f t="shared" ref="G33:G43" si="73">C33/10000</f>
        <v>-0.21048000000000003</v>
      </c>
      <c r="H33">
        <f t="shared" ref="H33:H43" si="74">F33-G33</f>
        <v>4.0307899999999997</v>
      </c>
      <c r="I33">
        <f>E33/10000</f>
        <v>0.28399000000000002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0.3097018789688385</v>
      </c>
      <c r="P33" s="2">
        <v>3</v>
      </c>
      <c r="Q33" s="8">
        <f>H33</f>
        <v>4.0307899999999997</v>
      </c>
      <c r="R33" s="8">
        <f>I33</f>
        <v>0.28399000000000002</v>
      </c>
      <c r="S33" s="8">
        <f>Q33/10^6*$Z$4*$Z$3/P33*10^12</f>
        <v>4.4782076899999996</v>
      </c>
      <c r="T33" s="8">
        <f>S33*0.06</f>
        <v>0.26869246139999997</v>
      </c>
      <c r="U33" s="8">
        <f>S33/$Z$1</f>
        <v>0.61345310821917809</v>
      </c>
      <c r="V33" s="12">
        <f t="shared" ref="V33:V43" si="75">O33</f>
        <v>0.3097018789688385</v>
      </c>
    </row>
    <row r="34" spans="2:22" x14ac:dyDescent="0.3">
      <c r="B34">
        <v>2</v>
      </c>
      <c r="C34">
        <v>-1821.9</v>
      </c>
      <c r="D34">
        <v>39871.5</v>
      </c>
      <c r="E34">
        <v>2163.5</v>
      </c>
      <c r="F34">
        <f t="shared" si="72"/>
        <v>3.9871500000000002</v>
      </c>
      <c r="G34">
        <f t="shared" si="73"/>
        <v>-0.18219000000000002</v>
      </c>
      <c r="H34">
        <f t="shared" si="74"/>
        <v>4.16934</v>
      </c>
      <c r="I34">
        <f t="shared" ref="I34:I43" si="76">E34/10000</f>
        <v>0.21634999999999999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0.27471743407789784</v>
      </c>
      <c r="P34" s="4">
        <v>3</v>
      </c>
      <c r="Q34" s="5">
        <f t="shared" ref="Q34:R43" si="79">H34</f>
        <v>4.16934</v>
      </c>
      <c r="R34" s="5">
        <f t="shared" si="79"/>
        <v>0.21634999999999999</v>
      </c>
      <c r="S34" s="5">
        <f t="shared" ref="S34:S43" si="80">Q34/10^6*$Z$4*$Z$3/P34*10^12</f>
        <v>4.6321367400000009</v>
      </c>
      <c r="T34" s="5">
        <f t="shared" ref="T34:T43" si="81">S34*0.06</f>
        <v>0.27792820440000005</v>
      </c>
      <c r="U34" s="5">
        <f t="shared" ref="U34:U43" si="82">S34/$Z$1</f>
        <v>0.63453927945205491</v>
      </c>
      <c r="V34" s="5">
        <f t="shared" si="75"/>
        <v>0.27471743407789784</v>
      </c>
    </row>
    <row r="35" spans="2:22" x14ac:dyDescent="0.3">
      <c r="B35">
        <v>3</v>
      </c>
      <c r="C35">
        <v>1890</v>
      </c>
      <c r="D35">
        <v>39452.199999999997</v>
      </c>
      <c r="E35">
        <v>2095.6999999999998</v>
      </c>
      <c r="F35">
        <f t="shared" si="72"/>
        <v>3.9452199999999995</v>
      </c>
      <c r="G35">
        <f t="shared" si="73"/>
        <v>0.189</v>
      </c>
      <c r="H35">
        <f t="shared" si="74"/>
        <v>3.7562199999999994</v>
      </c>
      <c r="I35">
        <f t="shared" si="76"/>
        <v>0.20956999999999998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0.23699700428354706</v>
      </c>
      <c r="P35" s="4">
        <v>3</v>
      </c>
      <c r="Q35" s="5">
        <f t="shared" si="79"/>
        <v>3.7562199999999994</v>
      </c>
      <c r="R35" s="5">
        <f t="shared" si="79"/>
        <v>0.20956999999999998</v>
      </c>
      <c r="S35" s="5">
        <f t="shared" si="80"/>
        <v>4.1731604199999994</v>
      </c>
      <c r="T35" s="5">
        <f t="shared" si="81"/>
        <v>0.25038962519999997</v>
      </c>
      <c r="U35" s="5">
        <f t="shared" si="82"/>
        <v>0.57166581095890401</v>
      </c>
      <c r="V35" s="5">
        <f t="shared" si="75"/>
        <v>0.23699700428354706</v>
      </c>
    </row>
    <row r="36" spans="2:22" x14ac:dyDescent="0.3">
      <c r="B36">
        <v>4</v>
      </c>
      <c r="C36">
        <v>1608.8</v>
      </c>
      <c r="D36">
        <v>29308.3</v>
      </c>
      <c r="E36">
        <v>1591</v>
      </c>
      <c r="F36">
        <f t="shared" si="72"/>
        <v>2.9308299999999998</v>
      </c>
      <c r="G36">
        <f t="shared" si="73"/>
        <v>0.16088</v>
      </c>
      <c r="H36">
        <f t="shared" si="74"/>
        <v>2.7699499999999997</v>
      </c>
      <c r="I36">
        <f t="shared" si="76"/>
        <v>0.15909999999999999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0.14354332815453558</v>
      </c>
      <c r="P36" s="4">
        <v>3</v>
      </c>
      <c r="Q36" s="5">
        <f t="shared" si="79"/>
        <v>2.7699499999999997</v>
      </c>
      <c r="R36" s="5">
        <f t="shared" si="79"/>
        <v>0.15909999999999999</v>
      </c>
      <c r="S36" s="5">
        <f t="shared" si="80"/>
        <v>3.0774144499999996</v>
      </c>
      <c r="T36" s="5">
        <f t="shared" si="81"/>
        <v>0.18464486699999996</v>
      </c>
      <c r="U36" s="5">
        <f t="shared" si="82"/>
        <v>0.42156362328767116</v>
      </c>
      <c r="V36" s="5">
        <f t="shared" si="75"/>
        <v>0.14354332815453558</v>
      </c>
    </row>
    <row r="37" spans="2:22" x14ac:dyDescent="0.3">
      <c r="B37">
        <v>5</v>
      </c>
      <c r="C37">
        <v>1705</v>
      </c>
      <c r="D37">
        <v>29529.1</v>
      </c>
      <c r="E37">
        <v>1405</v>
      </c>
      <c r="F37">
        <f t="shared" si="72"/>
        <v>2.9529099999999997</v>
      </c>
      <c r="G37">
        <f t="shared" si="73"/>
        <v>0.17050000000000001</v>
      </c>
      <c r="H37">
        <f t="shared" si="74"/>
        <v>2.7824099999999996</v>
      </c>
      <c r="I37">
        <f t="shared" si="76"/>
        <v>0.14050000000000001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0.10374785627564892</v>
      </c>
      <c r="P37" s="4">
        <v>3</v>
      </c>
      <c r="Q37" s="5">
        <f t="shared" si="79"/>
        <v>2.7824099999999996</v>
      </c>
      <c r="R37" s="5">
        <f t="shared" si="79"/>
        <v>0.14050000000000001</v>
      </c>
      <c r="S37" s="5">
        <f t="shared" si="80"/>
        <v>3.0912575099999997</v>
      </c>
      <c r="T37" s="5">
        <f t="shared" si="81"/>
        <v>0.18547545059999998</v>
      </c>
      <c r="U37" s="5">
        <f t="shared" si="82"/>
        <v>0.4234599328767123</v>
      </c>
      <c r="V37" s="5">
        <f t="shared" si="75"/>
        <v>0.10374785627564892</v>
      </c>
    </row>
    <row r="38" spans="2:22" x14ac:dyDescent="0.3">
      <c r="B38">
        <v>6</v>
      </c>
      <c r="C38">
        <v>2909.6</v>
      </c>
      <c r="D38">
        <v>21162.799999999999</v>
      </c>
      <c r="E38">
        <v>3520.5</v>
      </c>
      <c r="F38">
        <f t="shared" si="72"/>
        <v>2.1162799999999997</v>
      </c>
      <c r="G38">
        <f t="shared" si="73"/>
        <v>0.29096</v>
      </c>
      <c r="H38">
        <f t="shared" si="74"/>
        <v>1.8253199999999996</v>
      </c>
      <c r="I38">
        <f t="shared" si="76"/>
        <v>0.35204999999999997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7.1813494565586972E-2</v>
      </c>
      <c r="P38" s="4">
        <v>4</v>
      </c>
      <c r="Q38" s="5">
        <f t="shared" si="79"/>
        <v>1.8253199999999996</v>
      </c>
      <c r="R38" s="5">
        <f t="shared" si="79"/>
        <v>0.35204999999999997</v>
      </c>
      <c r="S38" s="5">
        <f t="shared" si="80"/>
        <v>1.5209478899999997</v>
      </c>
      <c r="T38" s="5">
        <f t="shared" si="81"/>
        <v>9.125687339999998E-2</v>
      </c>
      <c r="U38" s="5">
        <f t="shared" si="82"/>
        <v>0.20834902602739724</v>
      </c>
      <c r="V38" s="5">
        <f t="shared" si="75"/>
        <v>7.1813494565586972E-2</v>
      </c>
    </row>
    <row r="39" spans="2:22" x14ac:dyDescent="0.3">
      <c r="B39">
        <v>7</v>
      </c>
      <c r="C39">
        <v>0</v>
      </c>
      <c r="D39">
        <v>0</v>
      </c>
      <c r="E39">
        <v>0</v>
      </c>
      <c r="F39">
        <f t="shared" si="72"/>
        <v>0</v>
      </c>
      <c r="G39">
        <f t="shared" si="73"/>
        <v>0</v>
      </c>
      <c r="H39">
        <f t="shared" si="74"/>
        <v>0</v>
      </c>
      <c r="I39">
        <f t="shared" si="76"/>
        <v>0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5.1915133725158956E-2</v>
      </c>
      <c r="P39" s="4">
        <v>4</v>
      </c>
      <c r="Q39" s="5">
        <f t="shared" si="79"/>
        <v>0</v>
      </c>
      <c r="R39" s="5">
        <f t="shared" si="79"/>
        <v>0</v>
      </c>
      <c r="S39" s="5">
        <f t="shared" si="80"/>
        <v>0</v>
      </c>
      <c r="T39" s="5">
        <f t="shared" si="81"/>
        <v>0</v>
      </c>
      <c r="U39" s="5">
        <f t="shared" si="82"/>
        <v>0</v>
      </c>
      <c r="V39" s="5">
        <f t="shared" si="75"/>
        <v>5.1915133725158956E-2</v>
      </c>
    </row>
    <row r="40" spans="2:22" x14ac:dyDescent="0.3">
      <c r="B40">
        <v>8</v>
      </c>
      <c r="C40">
        <v>0</v>
      </c>
      <c r="D40">
        <v>0</v>
      </c>
      <c r="E40">
        <v>0</v>
      </c>
      <c r="F40">
        <f t="shared" si="72"/>
        <v>0</v>
      </c>
      <c r="G40">
        <f t="shared" si="73"/>
        <v>0</v>
      </c>
      <c r="H40">
        <f t="shared" si="74"/>
        <v>0</v>
      </c>
      <c r="I40">
        <f t="shared" si="76"/>
        <v>0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4.3536839988876856E-2</v>
      </c>
      <c r="P40" s="4">
        <v>5</v>
      </c>
      <c r="Q40" s="5">
        <f t="shared" si="79"/>
        <v>0</v>
      </c>
      <c r="R40" s="5">
        <f t="shared" si="79"/>
        <v>0</v>
      </c>
      <c r="S40" s="5">
        <f t="shared" si="80"/>
        <v>0</v>
      </c>
      <c r="T40" s="5">
        <f t="shared" si="81"/>
        <v>0</v>
      </c>
      <c r="U40" s="5">
        <f t="shared" si="82"/>
        <v>0</v>
      </c>
      <c r="V40" s="5">
        <f t="shared" si="75"/>
        <v>4.3536839988876856E-2</v>
      </c>
    </row>
    <row r="41" spans="2:22" x14ac:dyDescent="0.3">
      <c r="B41">
        <v>9</v>
      </c>
      <c r="C41">
        <v>0</v>
      </c>
      <c r="D41">
        <v>0</v>
      </c>
      <c r="E41">
        <v>0</v>
      </c>
      <c r="F41">
        <f t="shared" si="72"/>
        <v>0</v>
      </c>
      <c r="G41">
        <f t="shared" si="73"/>
        <v>0</v>
      </c>
      <c r="H41">
        <f t="shared" si="74"/>
        <v>0</v>
      </c>
      <c r="I41">
        <f t="shared" si="76"/>
        <v>0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3.5087597254042126E-2</v>
      </c>
      <c r="P41" s="4">
        <v>8</v>
      </c>
      <c r="Q41" s="5">
        <f t="shared" si="79"/>
        <v>0</v>
      </c>
      <c r="R41" s="5">
        <f t="shared" si="79"/>
        <v>0</v>
      </c>
      <c r="S41" s="5">
        <f t="shared" si="80"/>
        <v>0</v>
      </c>
      <c r="T41" s="5">
        <f t="shared" si="81"/>
        <v>0</v>
      </c>
      <c r="U41" s="5">
        <f t="shared" si="82"/>
        <v>0</v>
      </c>
      <c r="V41" s="5">
        <f t="shared" si="75"/>
        <v>3.5087597254042126E-2</v>
      </c>
    </row>
    <row r="42" spans="2:22" x14ac:dyDescent="0.3">
      <c r="B42">
        <v>10</v>
      </c>
      <c r="C42">
        <v>0</v>
      </c>
      <c r="D42">
        <v>0</v>
      </c>
      <c r="E42">
        <v>0</v>
      </c>
      <c r="F42">
        <f t="shared" si="72"/>
        <v>0</v>
      </c>
      <c r="G42">
        <f t="shared" si="73"/>
        <v>0</v>
      </c>
      <c r="H42">
        <f t="shared" si="74"/>
        <v>0</v>
      </c>
      <c r="I42">
        <f t="shared" si="76"/>
        <v>0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2.5126870861368895E-2</v>
      </c>
      <c r="P42" s="4">
        <v>14</v>
      </c>
      <c r="Q42" s="5">
        <f t="shared" si="79"/>
        <v>0</v>
      </c>
      <c r="R42" s="5">
        <f t="shared" si="79"/>
        <v>0</v>
      </c>
      <c r="S42" s="5">
        <f t="shared" si="80"/>
        <v>0</v>
      </c>
      <c r="T42" s="5">
        <f t="shared" si="81"/>
        <v>0</v>
      </c>
      <c r="U42" s="5">
        <f t="shared" si="82"/>
        <v>0</v>
      </c>
      <c r="V42" s="5">
        <f t="shared" si="75"/>
        <v>2.5126870861368895E-2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1.6203766731813445E-2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1.6203766731813445E-2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-25.9</v>
      </c>
      <c r="D47">
        <v>36539.9</v>
      </c>
      <c r="E47">
        <v>3524.1</v>
      </c>
      <c r="F47">
        <f t="shared" ref="F47:F57" si="84">D47/10000</f>
        <v>3.6539900000000003</v>
      </c>
      <c r="G47">
        <f t="shared" ref="G47:G57" si="85">C47/10000</f>
        <v>-2.5899999999999999E-3</v>
      </c>
      <c r="H47">
        <f t="shared" ref="H47:H57" si="86">F47-G47</f>
        <v>3.6565800000000004</v>
      </c>
      <c r="I47">
        <f>E47/10000</f>
        <v>0.35241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0.24776150317507079</v>
      </c>
      <c r="P47" s="2">
        <v>3</v>
      </c>
      <c r="Q47" s="8">
        <f>H47</f>
        <v>3.6565800000000004</v>
      </c>
      <c r="R47" s="8">
        <f>I47</f>
        <v>0.35241</v>
      </c>
      <c r="S47" s="8">
        <f>Q47/10^6*$Z$4*$Z$3/P47*10^12</f>
        <v>4.062460380000001</v>
      </c>
      <c r="T47" s="8">
        <f>S47*0.06</f>
        <v>0.24374762280000006</v>
      </c>
      <c r="U47" s="8">
        <f>S47/$Z$1</f>
        <v>0.55650142191780838</v>
      </c>
      <c r="V47" s="12">
        <f t="shared" ref="V47:V57" si="87">O47</f>
        <v>0.24776150317507079</v>
      </c>
    </row>
    <row r="48" spans="2:22" x14ac:dyDescent="0.3">
      <c r="B48">
        <v>2</v>
      </c>
      <c r="C48">
        <v>3140.8</v>
      </c>
      <c r="D48">
        <v>36195.199999999997</v>
      </c>
      <c r="E48">
        <v>3410.3</v>
      </c>
      <c r="F48">
        <f t="shared" si="84"/>
        <v>3.6195199999999996</v>
      </c>
      <c r="G48">
        <f t="shared" si="85"/>
        <v>0.31408000000000003</v>
      </c>
      <c r="H48">
        <f t="shared" si="86"/>
        <v>3.3054399999999995</v>
      </c>
      <c r="I48">
        <f t="shared" ref="I48:I57" si="88">E48/10000</f>
        <v>0.34103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0.21977394726231828</v>
      </c>
      <c r="P48" s="4">
        <v>3</v>
      </c>
      <c r="Q48" s="5">
        <f t="shared" ref="Q48:R57" si="91">H48</f>
        <v>3.3054399999999995</v>
      </c>
      <c r="R48" s="5">
        <f t="shared" si="91"/>
        <v>0.34103</v>
      </c>
      <c r="S48" s="5">
        <f t="shared" ref="S48:S57" si="92">Q48/10^6*$Z$4*$Z$3/P48*10^12</f>
        <v>3.6723438399999999</v>
      </c>
      <c r="T48" s="5">
        <f t="shared" ref="T48:T57" si="93">S48*0.06</f>
        <v>0.22034063039999999</v>
      </c>
      <c r="U48" s="5">
        <f t="shared" ref="U48:U57" si="94">S48/$Z$1</f>
        <v>0.50306079999999997</v>
      </c>
      <c r="V48" s="5">
        <f t="shared" si="87"/>
        <v>0.21977394726231828</v>
      </c>
    </row>
    <row r="49" spans="2:22" x14ac:dyDescent="0.3">
      <c r="B49">
        <v>3</v>
      </c>
      <c r="C49">
        <v>4985.3</v>
      </c>
      <c r="D49">
        <v>36663.5</v>
      </c>
      <c r="E49">
        <v>2093.5</v>
      </c>
      <c r="F49">
        <f t="shared" si="84"/>
        <v>3.66635</v>
      </c>
      <c r="G49">
        <f t="shared" si="85"/>
        <v>0.49853000000000003</v>
      </c>
      <c r="H49">
        <f t="shared" si="86"/>
        <v>3.1678199999999999</v>
      </c>
      <c r="I49">
        <f t="shared" si="88"/>
        <v>0.20935000000000001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0.18959760342683765</v>
      </c>
      <c r="P49" s="4">
        <v>3</v>
      </c>
      <c r="Q49" s="5">
        <f t="shared" si="91"/>
        <v>3.1678199999999999</v>
      </c>
      <c r="R49" s="5">
        <f t="shared" si="91"/>
        <v>0.20935000000000001</v>
      </c>
      <c r="S49" s="5">
        <f t="shared" si="92"/>
        <v>3.51944802</v>
      </c>
      <c r="T49" s="5">
        <f t="shared" si="93"/>
        <v>0.21116688119999999</v>
      </c>
      <c r="U49" s="5">
        <f t="shared" si="94"/>
        <v>0.4821161671232877</v>
      </c>
      <c r="V49" s="5">
        <f t="shared" si="87"/>
        <v>0.18959760342683765</v>
      </c>
    </row>
    <row r="50" spans="2:22" x14ac:dyDescent="0.3">
      <c r="B50">
        <v>4</v>
      </c>
      <c r="C50">
        <v>5600.3</v>
      </c>
      <c r="D50">
        <v>27493.7</v>
      </c>
      <c r="E50">
        <v>1180.0999999999999</v>
      </c>
      <c r="F50">
        <f t="shared" si="84"/>
        <v>2.7493699999999999</v>
      </c>
      <c r="G50">
        <f t="shared" si="85"/>
        <v>0.56003000000000003</v>
      </c>
      <c r="H50">
        <f t="shared" si="86"/>
        <v>2.1893399999999996</v>
      </c>
      <c r="I50">
        <f t="shared" si="88"/>
        <v>0.11800999999999999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0.11483466252362846</v>
      </c>
      <c r="P50" s="4">
        <v>3</v>
      </c>
      <c r="Q50" s="5">
        <f t="shared" si="91"/>
        <v>2.1893399999999996</v>
      </c>
      <c r="R50" s="5">
        <f t="shared" si="91"/>
        <v>0.11800999999999999</v>
      </c>
      <c r="S50" s="5">
        <f t="shared" si="92"/>
        <v>2.4323567399999999</v>
      </c>
      <c r="T50" s="5">
        <f t="shared" si="93"/>
        <v>0.1459414044</v>
      </c>
      <c r="U50" s="5">
        <f t="shared" si="94"/>
        <v>0.33319955342465751</v>
      </c>
      <c r="V50" s="5">
        <f t="shared" si="87"/>
        <v>0.11483466252362846</v>
      </c>
    </row>
    <row r="51" spans="2:22" x14ac:dyDescent="0.3">
      <c r="B51">
        <v>5</v>
      </c>
      <c r="C51">
        <v>5547.4</v>
      </c>
      <c r="D51">
        <v>25396.6</v>
      </c>
      <c r="E51">
        <v>1014.3</v>
      </c>
      <c r="F51">
        <f t="shared" si="84"/>
        <v>2.53966</v>
      </c>
      <c r="G51">
        <f t="shared" si="85"/>
        <v>0.55474000000000001</v>
      </c>
      <c r="H51">
        <f t="shared" si="86"/>
        <v>1.98492</v>
      </c>
      <c r="I51">
        <f t="shared" si="88"/>
        <v>0.10142999999999999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8.2998285020519133E-2</v>
      </c>
      <c r="P51" s="4">
        <v>3</v>
      </c>
      <c r="Q51" s="5">
        <f t="shared" si="91"/>
        <v>1.98492</v>
      </c>
      <c r="R51" s="5">
        <f t="shared" si="91"/>
        <v>0.10142999999999999</v>
      </c>
      <c r="S51" s="5">
        <f t="shared" si="92"/>
        <v>2.20524612</v>
      </c>
      <c r="T51" s="5">
        <f t="shared" si="93"/>
        <v>0.13231476719999999</v>
      </c>
      <c r="U51" s="5">
        <f t="shared" si="94"/>
        <v>0.3020885095890411</v>
      </c>
      <c r="V51" s="5">
        <f t="shared" si="87"/>
        <v>8.2998285020519133E-2</v>
      </c>
    </row>
    <row r="52" spans="2:22" x14ac:dyDescent="0.3">
      <c r="B52">
        <v>6</v>
      </c>
      <c r="C52">
        <v>4959.2</v>
      </c>
      <c r="D52">
        <v>9642.2999999999993</v>
      </c>
      <c r="E52">
        <v>4656.3999999999996</v>
      </c>
      <c r="F52">
        <f t="shared" si="84"/>
        <v>0.96422999999999992</v>
      </c>
      <c r="G52">
        <f t="shared" si="85"/>
        <v>0.49591999999999997</v>
      </c>
      <c r="H52">
        <f t="shared" si="86"/>
        <v>0.46830999999999995</v>
      </c>
      <c r="I52">
        <f t="shared" si="88"/>
        <v>0.46563999999999994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5.7450795652469577E-2</v>
      </c>
      <c r="P52" s="4">
        <v>4</v>
      </c>
      <c r="Q52" s="5">
        <f t="shared" si="91"/>
        <v>0.46830999999999995</v>
      </c>
      <c r="R52" s="5">
        <f t="shared" si="91"/>
        <v>0.46563999999999994</v>
      </c>
      <c r="S52" s="5">
        <f t="shared" si="92"/>
        <v>0.39021930749999995</v>
      </c>
      <c r="T52" s="5">
        <f t="shared" si="93"/>
        <v>2.3413158449999995E-2</v>
      </c>
      <c r="U52" s="5">
        <f t="shared" si="94"/>
        <v>5.3454699657534244E-2</v>
      </c>
      <c r="V52" s="5">
        <f t="shared" si="87"/>
        <v>5.7450795652469577E-2</v>
      </c>
    </row>
    <row r="53" spans="2:22" x14ac:dyDescent="0.3">
      <c r="B53">
        <v>7</v>
      </c>
      <c r="C53">
        <v>0</v>
      </c>
      <c r="D53">
        <v>0</v>
      </c>
      <c r="E53">
        <v>0</v>
      </c>
      <c r="F53">
        <f t="shared" si="84"/>
        <v>0</v>
      </c>
      <c r="G53">
        <f t="shared" si="85"/>
        <v>0</v>
      </c>
      <c r="H53">
        <f t="shared" si="86"/>
        <v>0</v>
      </c>
      <c r="I53">
        <f t="shared" si="88"/>
        <v>0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4.1532106980127166E-2</v>
      </c>
      <c r="P53" s="4">
        <v>4</v>
      </c>
      <c r="Q53" s="5">
        <f t="shared" si="91"/>
        <v>0</v>
      </c>
      <c r="R53" s="5">
        <f t="shared" si="91"/>
        <v>0</v>
      </c>
      <c r="S53" s="5">
        <f t="shared" si="92"/>
        <v>0</v>
      </c>
      <c r="T53" s="5">
        <f t="shared" si="93"/>
        <v>0</v>
      </c>
      <c r="U53" s="5">
        <f t="shared" si="94"/>
        <v>0</v>
      </c>
      <c r="V53" s="5">
        <f t="shared" si="87"/>
        <v>4.1532106980127166E-2</v>
      </c>
    </row>
    <row r="54" spans="2:22" x14ac:dyDescent="0.3">
      <c r="B54">
        <v>8</v>
      </c>
      <c r="C54">
        <v>0</v>
      </c>
      <c r="D54">
        <v>0</v>
      </c>
      <c r="E54">
        <v>0</v>
      </c>
      <c r="F54">
        <f t="shared" si="84"/>
        <v>0</v>
      </c>
      <c r="G54">
        <f t="shared" si="85"/>
        <v>0</v>
      </c>
      <c r="H54">
        <f t="shared" si="86"/>
        <v>0</v>
      </c>
      <c r="I54">
        <f t="shared" si="88"/>
        <v>0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3.4829471991101486E-2</v>
      </c>
      <c r="P54" s="4">
        <v>5</v>
      </c>
      <c r="Q54" s="5">
        <f t="shared" si="91"/>
        <v>0</v>
      </c>
      <c r="R54" s="5">
        <f t="shared" si="91"/>
        <v>0</v>
      </c>
      <c r="S54" s="5">
        <f t="shared" si="92"/>
        <v>0</v>
      </c>
      <c r="T54" s="5">
        <f t="shared" si="93"/>
        <v>0</v>
      </c>
      <c r="U54" s="5">
        <f t="shared" si="94"/>
        <v>0</v>
      </c>
      <c r="V54" s="5">
        <f t="shared" si="87"/>
        <v>3.4829471991101486E-2</v>
      </c>
    </row>
    <row r="55" spans="2:22" x14ac:dyDescent="0.3">
      <c r="B55">
        <v>9</v>
      </c>
      <c r="C55">
        <v>0</v>
      </c>
      <c r="D55">
        <v>0</v>
      </c>
      <c r="E55">
        <v>0</v>
      </c>
      <c r="F55">
        <f t="shared" si="84"/>
        <v>0</v>
      </c>
      <c r="G55">
        <f t="shared" si="85"/>
        <v>0</v>
      </c>
      <c r="H55">
        <f t="shared" si="86"/>
        <v>0</v>
      </c>
      <c r="I55">
        <f t="shared" si="88"/>
        <v>0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2.8070077803233701E-2</v>
      </c>
      <c r="P55" s="4">
        <v>8</v>
      </c>
      <c r="Q55" s="5">
        <f t="shared" si="91"/>
        <v>0</v>
      </c>
      <c r="R55" s="5">
        <f t="shared" si="91"/>
        <v>0</v>
      </c>
      <c r="S55" s="5">
        <f t="shared" si="92"/>
        <v>0</v>
      </c>
      <c r="T55" s="5">
        <f t="shared" si="93"/>
        <v>0</v>
      </c>
      <c r="U55" s="5">
        <f t="shared" si="94"/>
        <v>0</v>
      </c>
      <c r="V55" s="5">
        <f t="shared" si="87"/>
        <v>2.8070077803233701E-2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84"/>
        <v>0</v>
      </c>
      <c r="G56">
        <f t="shared" si="85"/>
        <v>0</v>
      </c>
      <c r="H56">
        <f t="shared" si="86"/>
        <v>0</v>
      </c>
      <c r="I56">
        <f t="shared" si="88"/>
        <v>0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2.0101496689095118E-2</v>
      </c>
      <c r="P56" s="4">
        <v>14</v>
      </c>
      <c r="Q56" s="5">
        <f t="shared" si="91"/>
        <v>0</v>
      </c>
      <c r="R56" s="5">
        <f t="shared" si="91"/>
        <v>0</v>
      </c>
      <c r="S56" s="5">
        <f t="shared" si="92"/>
        <v>0</v>
      </c>
      <c r="T56" s="5">
        <f t="shared" si="93"/>
        <v>0</v>
      </c>
      <c r="U56" s="5">
        <f t="shared" si="94"/>
        <v>0</v>
      </c>
      <c r="V56" s="5">
        <f t="shared" si="87"/>
        <v>2.0101496689095118E-2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1.2963013385450755E-2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1.2963013385450755E-2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-1736.3</v>
      </c>
      <c r="D61">
        <v>30384.9</v>
      </c>
      <c r="E61">
        <v>3651.4</v>
      </c>
      <c r="F61">
        <f t="shared" ref="F61:F71" si="96">D61/10000</f>
        <v>3.0384900000000004</v>
      </c>
      <c r="G61">
        <f t="shared" ref="G61:G71" si="97">C61/10000</f>
        <v>-0.17363000000000001</v>
      </c>
      <c r="H61">
        <f t="shared" ref="H61:H71" si="98">F61-G61</f>
        <v>3.2121200000000005</v>
      </c>
      <c r="I61">
        <f>E61/10000</f>
        <v>0.36514000000000002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0.20646791931255901</v>
      </c>
      <c r="P61" s="2">
        <v>3</v>
      </c>
      <c r="Q61" s="8">
        <f>H61</f>
        <v>3.2121200000000005</v>
      </c>
      <c r="R61" s="8">
        <f>I61</f>
        <v>0.36514000000000002</v>
      </c>
      <c r="S61" s="8">
        <f>Q61/10^6*$Z$4*$Z$3/P61*10^12</f>
        <v>3.5686653200000009</v>
      </c>
      <c r="T61" s="8">
        <f>S61*0.06</f>
        <v>0.21411991920000004</v>
      </c>
      <c r="U61" s="8">
        <f>S61/$Z$1</f>
        <v>0.48885826301369878</v>
      </c>
      <c r="V61" s="12">
        <f t="shared" ref="V61:V71" si="99">O61</f>
        <v>0.20646791931255901</v>
      </c>
    </row>
    <row r="62" spans="2:22" x14ac:dyDescent="0.3">
      <c r="B62">
        <v>2</v>
      </c>
      <c r="C62">
        <v>1151.2</v>
      </c>
      <c r="D62">
        <v>31672.7</v>
      </c>
      <c r="E62">
        <v>2753.2</v>
      </c>
      <c r="F62">
        <f t="shared" si="96"/>
        <v>3.1672700000000003</v>
      </c>
      <c r="G62">
        <f t="shared" si="97"/>
        <v>0.11512</v>
      </c>
      <c r="H62">
        <f t="shared" si="98"/>
        <v>3.0521500000000001</v>
      </c>
      <c r="I62">
        <f t="shared" ref="I62:I71" si="100">E62/10000</f>
        <v>0.27532000000000001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0.1831449560519319</v>
      </c>
      <c r="P62" s="4">
        <v>3</v>
      </c>
      <c r="Q62" s="5">
        <f t="shared" ref="Q62:R71" si="103">H62</f>
        <v>3.0521500000000001</v>
      </c>
      <c r="R62" s="5">
        <f t="shared" si="103"/>
        <v>0.27532000000000001</v>
      </c>
      <c r="S62" s="5">
        <f t="shared" ref="S62:S71" si="104">Q62/10^6*$Z$4*$Z$3/P62*10^12</f>
        <v>3.3909386500000003</v>
      </c>
      <c r="T62" s="5">
        <f t="shared" ref="T62:T71" si="105">S62*0.06</f>
        <v>0.203456319</v>
      </c>
      <c r="U62" s="5">
        <f t="shared" ref="U62:U71" si="106">S62/$Z$1</f>
        <v>0.46451214383561651</v>
      </c>
      <c r="V62" s="5">
        <f t="shared" si="99"/>
        <v>0.1831449560519319</v>
      </c>
    </row>
    <row r="63" spans="2:22" x14ac:dyDescent="0.3">
      <c r="B63">
        <v>3</v>
      </c>
      <c r="C63">
        <v>3597.8</v>
      </c>
      <c r="D63">
        <v>30152.9</v>
      </c>
      <c r="E63">
        <v>1985.8</v>
      </c>
      <c r="F63">
        <f t="shared" si="96"/>
        <v>3.0152900000000002</v>
      </c>
      <c r="G63">
        <f t="shared" si="97"/>
        <v>0.35978000000000004</v>
      </c>
      <c r="H63">
        <f t="shared" si="98"/>
        <v>2.65551</v>
      </c>
      <c r="I63">
        <f t="shared" si="100"/>
        <v>0.19858000000000001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0.15799800285569804</v>
      </c>
      <c r="P63" s="4">
        <v>3</v>
      </c>
      <c r="Q63" s="5">
        <f t="shared" si="103"/>
        <v>2.65551</v>
      </c>
      <c r="R63" s="5">
        <f t="shared" si="103"/>
        <v>0.19858000000000001</v>
      </c>
      <c r="S63" s="5">
        <f t="shared" si="104"/>
        <v>2.9502716099999997</v>
      </c>
      <c r="T63" s="5">
        <f t="shared" si="105"/>
        <v>0.17701629659999998</v>
      </c>
      <c r="U63" s="5">
        <f t="shared" si="106"/>
        <v>0.40414679589041091</v>
      </c>
      <c r="V63" s="5">
        <f t="shared" si="99"/>
        <v>0.15799800285569804</v>
      </c>
    </row>
    <row r="64" spans="2:22" x14ac:dyDescent="0.3">
      <c r="B64">
        <v>4</v>
      </c>
      <c r="C64">
        <v>6700.6</v>
      </c>
      <c r="D64">
        <v>22904.3</v>
      </c>
      <c r="E64">
        <v>971.5</v>
      </c>
      <c r="F64">
        <f t="shared" si="96"/>
        <v>2.2904299999999997</v>
      </c>
      <c r="G64">
        <f t="shared" si="97"/>
        <v>0.67005999999999999</v>
      </c>
      <c r="H64">
        <f t="shared" si="98"/>
        <v>1.6203699999999999</v>
      </c>
      <c r="I64">
        <f t="shared" si="100"/>
        <v>9.715E-2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9.5695552103023718E-2</v>
      </c>
      <c r="P64" s="4">
        <v>3</v>
      </c>
      <c r="Q64" s="5">
        <f t="shared" si="103"/>
        <v>1.6203699999999999</v>
      </c>
      <c r="R64" s="5">
        <f t="shared" si="103"/>
        <v>9.715E-2</v>
      </c>
      <c r="S64" s="5">
        <f t="shared" si="104"/>
        <v>1.8002310699999999</v>
      </c>
      <c r="T64" s="5">
        <f t="shared" si="105"/>
        <v>0.10801386419999999</v>
      </c>
      <c r="U64" s="5">
        <f t="shared" si="106"/>
        <v>0.24660699589041096</v>
      </c>
      <c r="V64" s="5">
        <f t="shared" si="99"/>
        <v>9.5695552103023718E-2</v>
      </c>
    </row>
    <row r="65" spans="2:22" x14ac:dyDescent="0.3">
      <c r="B65">
        <v>5</v>
      </c>
      <c r="C65">
        <v>4433.1000000000004</v>
      </c>
      <c r="D65">
        <v>15441.8</v>
      </c>
      <c r="E65">
        <v>2546.6</v>
      </c>
      <c r="F65">
        <f t="shared" si="96"/>
        <v>1.5441799999999999</v>
      </c>
      <c r="G65">
        <f t="shared" si="97"/>
        <v>0.44331000000000004</v>
      </c>
      <c r="H65">
        <f t="shared" si="98"/>
        <v>1.1008699999999998</v>
      </c>
      <c r="I65">
        <f t="shared" si="100"/>
        <v>0.25466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6.9165237517099284E-2</v>
      </c>
      <c r="P65" s="4">
        <v>3</v>
      </c>
      <c r="Q65" s="5">
        <f t="shared" si="103"/>
        <v>1.1008699999999998</v>
      </c>
      <c r="R65" s="5">
        <f t="shared" si="103"/>
        <v>0.25466</v>
      </c>
      <c r="S65" s="5">
        <f t="shared" si="104"/>
        <v>1.2230665699999999</v>
      </c>
      <c r="T65" s="5">
        <f t="shared" si="105"/>
        <v>7.3383994199999983E-2</v>
      </c>
      <c r="U65" s="5">
        <f t="shared" si="106"/>
        <v>0.16754336575342463</v>
      </c>
      <c r="V65" s="5">
        <f t="shared" si="99"/>
        <v>6.9165237517099284E-2</v>
      </c>
    </row>
    <row r="66" spans="2:22" x14ac:dyDescent="0.3">
      <c r="B66">
        <v>6</v>
      </c>
      <c r="C66">
        <v>0</v>
      </c>
      <c r="D66">
        <v>0</v>
      </c>
      <c r="E66">
        <v>0</v>
      </c>
      <c r="F66">
        <f t="shared" si="96"/>
        <v>0</v>
      </c>
      <c r="G66">
        <f t="shared" si="97"/>
        <v>0</v>
      </c>
      <c r="H66">
        <f t="shared" si="98"/>
        <v>0</v>
      </c>
      <c r="I66">
        <f t="shared" si="100"/>
        <v>0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4.7875663043724648E-2</v>
      </c>
      <c r="P66" s="4">
        <v>4</v>
      </c>
      <c r="Q66" s="5">
        <f t="shared" si="103"/>
        <v>0</v>
      </c>
      <c r="R66" s="5">
        <f t="shared" si="103"/>
        <v>0</v>
      </c>
      <c r="S66" s="5">
        <f t="shared" si="104"/>
        <v>0</v>
      </c>
      <c r="T66" s="5">
        <f t="shared" si="105"/>
        <v>0</v>
      </c>
      <c r="U66" s="5">
        <f t="shared" si="106"/>
        <v>0</v>
      </c>
      <c r="V66" s="5">
        <f t="shared" si="99"/>
        <v>4.7875663043724648E-2</v>
      </c>
    </row>
    <row r="67" spans="2:22" x14ac:dyDescent="0.3">
      <c r="B67">
        <v>7</v>
      </c>
      <c r="C67">
        <v>0</v>
      </c>
      <c r="D67">
        <v>0</v>
      </c>
      <c r="E67">
        <v>0</v>
      </c>
      <c r="F67">
        <f t="shared" si="96"/>
        <v>0</v>
      </c>
      <c r="G67">
        <f t="shared" si="97"/>
        <v>0</v>
      </c>
      <c r="H67">
        <f t="shared" si="98"/>
        <v>0</v>
      </c>
      <c r="I67">
        <f t="shared" si="100"/>
        <v>0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3.4610089150105973E-2</v>
      </c>
      <c r="P67" s="4">
        <v>4</v>
      </c>
      <c r="Q67" s="5">
        <f t="shared" si="103"/>
        <v>0</v>
      </c>
      <c r="R67" s="5">
        <f t="shared" si="103"/>
        <v>0</v>
      </c>
      <c r="S67" s="5">
        <f t="shared" si="104"/>
        <v>0</v>
      </c>
      <c r="T67" s="5">
        <f t="shared" si="105"/>
        <v>0</v>
      </c>
      <c r="U67" s="5">
        <f t="shared" si="106"/>
        <v>0</v>
      </c>
      <c r="V67" s="5">
        <f t="shared" si="99"/>
        <v>3.4610089150105973E-2</v>
      </c>
    </row>
    <row r="68" spans="2:22" x14ac:dyDescent="0.3">
      <c r="B68">
        <v>8</v>
      </c>
      <c r="C68">
        <v>0</v>
      </c>
      <c r="D68">
        <v>0</v>
      </c>
      <c r="E68">
        <v>0</v>
      </c>
      <c r="F68">
        <f t="shared" si="96"/>
        <v>0</v>
      </c>
      <c r="G68">
        <f t="shared" si="97"/>
        <v>0</v>
      </c>
      <c r="H68">
        <f t="shared" si="98"/>
        <v>0</v>
      </c>
      <c r="I68">
        <f t="shared" si="100"/>
        <v>0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2.9024559992584572E-2</v>
      </c>
      <c r="P68" s="4">
        <v>5</v>
      </c>
      <c r="Q68" s="5">
        <f t="shared" si="103"/>
        <v>0</v>
      </c>
      <c r="R68" s="5">
        <f t="shared" si="103"/>
        <v>0</v>
      </c>
      <c r="S68" s="5">
        <f t="shared" si="104"/>
        <v>0</v>
      </c>
      <c r="T68" s="5">
        <f t="shared" si="105"/>
        <v>0</v>
      </c>
      <c r="U68" s="5">
        <f t="shared" si="106"/>
        <v>0</v>
      </c>
      <c r="V68" s="5">
        <f t="shared" si="99"/>
        <v>2.9024559992584572E-2</v>
      </c>
    </row>
    <row r="69" spans="2:22" x14ac:dyDescent="0.3">
      <c r="B69">
        <v>9</v>
      </c>
      <c r="C69">
        <v>0</v>
      </c>
      <c r="D69">
        <v>0</v>
      </c>
      <c r="E69">
        <v>0</v>
      </c>
      <c r="F69">
        <f t="shared" si="96"/>
        <v>0</v>
      </c>
      <c r="G69">
        <f t="shared" si="97"/>
        <v>0</v>
      </c>
      <c r="H69">
        <f t="shared" si="98"/>
        <v>0</v>
      </c>
      <c r="I69">
        <f t="shared" si="100"/>
        <v>0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2.3391731502694749E-2</v>
      </c>
      <c r="P69" s="4">
        <v>8</v>
      </c>
      <c r="Q69" s="5">
        <f t="shared" si="103"/>
        <v>0</v>
      </c>
      <c r="R69" s="5">
        <f t="shared" si="103"/>
        <v>0</v>
      </c>
      <c r="S69" s="5">
        <f t="shared" si="104"/>
        <v>0</v>
      </c>
      <c r="T69" s="5">
        <f t="shared" si="105"/>
        <v>0</v>
      </c>
      <c r="U69" s="5">
        <f t="shared" si="106"/>
        <v>0</v>
      </c>
      <c r="V69" s="5">
        <f t="shared" si="99"/>
        <v>2.3391731502694749E-2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96"/>
        <v>0</v>
      </c>
      <c r="G70">
        <f t="shared" si="97"/>
        <v>0</v>
      </c>
      <c r="H70">
        <f t="shared" si="98"/>
        <v>0</v>
      </c>
      <c r="I70">
        <f t="shared" si="100"/>
        <v>0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1.6751247240912596E-2</v>
      </c>
      <c r="P70" s="4">
        <v>14</v>
      </c>
      <c r="Q70" s="5">
        <f t="shared" si="103"/>
        <v>0</v>
      </c>
      <c r="R70" s="5">
        <f t="shared" si="103"/>
        <v>0</v>
      </c>
      <c r="S70" s="5">
        <f t="shared" si="104"/>
        <v>0</v>
      </c>
      <c r="T70" s="5">
        <f t="shared" si="105"/>
        <v>0</v>
      </c>
      <c r="U70" s="5">
        <f t="shared" si="106"/>
        <v>0</v>
      </c>
      <c r="V70" s="5">
        <f t="shared" si="99"/>
        <v>1.6751247240912596E-2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1.0802511154542296E-2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1.0802511154542296E-2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999.7</v>
      </c>
      <c r="D75">
        <v>29458.6</v>
      </c>
      <c r="E75">
        <v>3445.2</v>
      </c>
      <c r="F75">
        <f t="shared" ref="F75:F85" si="108">D75/10000</f>
        <v>2.9458599999999997</v>
      </c>
      <c r="G75">
        <f t="shared" ref="G75:G85" si="109">C75/10000</f>
        <v>9.9970000000000003E-2</v>
      </c>
      <c r="H75">
        <f t="shared" ref="H75:H85" si="110">F75-G75</f>
        <v>2.8458899999999998</v>
      </c>
      <c r="I75">
        <f>E75/10000</f>
        <v>0.34451999999999999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0.1769725022679077</v>
      </c>
      <c r="P75" s="2">
        <v>3</v>
      </c>
      <c r="Q75" s="8">
        <f>H75</f>
        <v>2.8458899999999998</v>
      </c>
      <c r="R75" s="8">
        <f>I75</f>
        <v>0.34451999999999999</v>
      </c>
      <c r="S75" s="8">
        <f>Q75/10^6*$Z$4*$Z$3/P75*10^12</f>
        <v>3.1617837899999994</v>
      </c>
      <c r="T75" s="8">
        <f>S75*0.06</f>
        <v>0.18970702739999995</v>
      </c>
      <c r="U75" s="8">
        <f>S75/$Z$1</f>
        <v>0.43312106712328763</v>
      </c>
      <c r="V75" s="12">
        <f t="shared" ref="V75:V85" si="111">O75</f>
        <v>0.1769725022679077</v>
      </c>
    </row>
    <row r="76" spans="2:22" x14ac:dyDescent="0.3">
      <c r="B76">
        <v>2</v>
      </c>
      <c r="C76">
        <v>3786</v>
      </c>
      <c r="D76">
        <v>29439.1</v>
      </c>
      <c r="E76">
        <v>2963.3</v>
      </c>
      <c r="F76">
        <f t="shared" si="108"/>
        <v>2.9439099999999998</v>
      </c>
      <c r="G76">
        <f t="shared" si="109"/>
        <v>0.37859999999999999</v>
      </c>
      <c r="H76">
        <f t="shared" si="110"/>
        <v>2.5653099999999998</v>
      </c>
      <c r="I76">
        <f t="shared" ref="I76:I85" si="112">E76/10000</f>
        <v>0.29633000000000004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0.15698139090165592</v>
      </c>
      <c r="P76" s="4">
        <v>3</v>
      </c>
      <c r="Q76" s="5">
        <f t="shared" ref="Q76:R85" si="115">H76</f>
        <v>2.5653099999999998</v>
      </c>
      <c r="R76" s="5">
        <f t="shared" si="115"/>
        <v>0.29633000000000004</v>
      </c>
      <c r="S76" s="5">
        <f t="shared" ref="S76:S85" si="116">Q76/10^6*$Z$4*$Z$3/P76*10^12</f>
        <v>2.8500594099999996</v>
      </c>
      <c r="T76" s="5">
        <f t="shared" ref="T76:T85" si="117">S76*0.06</f>
        <v>0.17100356459999996</v>
      </c>
      <c r="U76" s="5">
        <f t="shared" ref="U76:U85" si="118">S76/$Z$1</f>
        <v>0.39041909726027391</v>
      </c>
      <c r="V76" s="5">
        <f t="shared" si="111"/>
        <v>0.15698139090165592</v>
      </c>
    </row>
    <row r="77" spans="2:22" x14ac:dyDescent="0.3">
      <c r="B77">
        <v>3</v>
      </c>
      <c r="C77">
        <v>4833.2</v>
      </c>
      <c r="D77">
        <v>27828.400000000001</v>
      </c>
      <c r="E77">
        <v>1988.9</v>
      </c>
      <c r="F77">
        <f t="shared" si="108"/>
        <v>2.7828400000000002</v>
      </c>
      <c r="G77">
        <f t="shared" si="109"/>
        <v>0.48331999999999997</v>
      </c>
      <c r="H77">
        <f t="shared" si="110"/>
        <v>2.2995200000000002</v>
      </c>
      <c r="I77">
        <f t="shared" si="112"/>
        <v>0.19889000000000001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0.13542685959059833</v>
      </c>
      <c r="P77" s="4">
        <v>3</v>
      </c>
      <c r="Q77" s="5">
        <f t="shared" si="115"/>
        <v>2.2995200000000002</v>
      </c>
      <c r="R77" s="5">
        <f t="shared" si="115"/>
        <v>0.19889000000000001</v>
      </c>
      <c r="S77" s="5">
        <f t="shared" si="116"/>
        <v>2.5547667200000004</v>
      </c>
      <c r="T77" s="5">
        <f t="shared" si="117"/>
        <v>0.15328600320000002</v>
      </c>
      <c r="U77" s="5">
        <f t="shared" si="118"/>
        <v>0.34996804383561647</v>
      </c>
      <c r="V77" s="5">
        <f t="shared" si="111"/>
        <v>0.13542685959059833</v>
      </c>
    </row>
    <row r="78" spans="2:22" x14ac:dyDescent="0.3">
      <c r="B78">
        <v>4</v>
      </c>
      <c r="C78">
        <v>6026.5</v>
      </c>
      <c r="D78">
        <v>19028.8</v>
      </c>
      <c r="E78">
        <v>1350.3</v>
      </c>
      <c r="F78">
        <f t="shared" si="108"/>
        <v>1.9028799999999999</v>
      </c>
      <c r="G78">
        <f t="shared" si="109"/>
        <v>0.60265000000000002</v>
      </c>
      <c r="H78">
        <f t="shared" si="110"/>
        <v>1.30023</v>
      </c>
      <c r="I78">
        <f t="shared" si="112"/>
        <v>0.13502999999999998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8.2024758945448903E-2</v>
      </c>
      <c r="P78" s="4">
        <v>3</v>
      </c>
      <c r="Q78" s="5">
        <f t="shared" si="115"/>
        <v>1.30023</v>
      </c>
      <c r="R78" s="5">
        <f t="shared" si="115"/>
        <v>0.13502999999999998</v>
      </c>
      <c r="S78" s="5">
        <f t="shared" si="116"/>
        <v>1.4445555299999999</v>
      </c>
      <c r="T78" s="5">
        <f t="shared" si="117"/>
        <v>8.6673331799999989E-2</v>
      </c>
      <c r="U78" s="5">
        <f t="shared" si="118"/>
        <v>0.19788431917808219</v>
      </c>
      <c r="V78" s="5">
        <f t="shared" si="111"/>
        <v>8.2024758945448903E-2</v>
      </c>
    </row>
    <row r="79" spans="2:22" x14ac:dyDescent="0.3">
      <c r="B79">
        <v>5</v>
      </c>
      <c r="C79">
        <v>0</v>
      </c>
      <c r="D79">
        <v>0</v>
      </c>
      <c r="E79">
        <v>0</v>
      </c>
      <c r="F79">
        <f t="shared" si="108"/>
        <v>0</v>
      </c>
      <c r="G79">
        <f t="shared" si="109"/>
        <v>0</v>
      </c>
      <c r="H79">
        <f t="shared" si="110"/>
        <v>0</v>
      </c>
      <c r="I79">
        <f t="shared" si="112"/>
        <v>0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5.9284489300370814E-2</v>
      </c>
      <c r="P79" s="4">
        <v>3</v>
      </c>
      <c r="Q79" s="5">
        <f t="shared" si="115"/>
        <v>0</v>
      </c>
      <c r="R79" s="5">
        <f t="shared" si="115"/>
        <v>0</v>
      </c>
      <c r="S79" s="5">
        <f t="shared" si="116"/>
        <v>0</v>
      </c>
      <c r="T79" s="5">
        <f t="shared" si="117"/>
        <v>0</v>
      </c>
      <c r="U79" s="5">
        <f t="shared" si="118"/>
        <v>0</v>
      </c>
      <c r="V79" s="5">
        <f t="shared" si="111"/>
        <v>5.9284489300370814E-2</v>
      </c>
    </row>
    <row r="80" spans="2:22" x14ac:dyDescent="0.3">
      <c r="B80">
        <v>6</v>
      </c>
      <c r="C80">
        <v>0</v>
      </c>
      <c r="D80">
        <v>0</v>
      </c>
      <c r="E80">
        <v>0</v>
      </c>
      <c r="F80">
        <f t="shared" si="108"/>
        <v>0</v>
      </c>
      <c r="G80">
        <f t="shared" si="109"/>
        <v>0</v>
      </c>
      <c r="H80">
        <f t="shared" si="110"/>
        <v>0</v>
      </c>
      <c r="I80">
        <f t="shared" si="112"/>
        <v>0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4.1036282608906842E-2</v>
      </c>
      <c r="P80" s="4">
        <v>4</v>
      </c>
      <c r="Q80" s="5">
        <f t="shared" si="115"/>
        <v>0</v>
      </c>
      <c r="R80" s="5">
        <f t="shared" si="115"/>
        <v>0</v>
      </c>
      <c r="S80" s="5">
        <f t="shared" si="116"/>
        <v>0</v>
      </c>
      <c r="T80" s="5">
        <f t="shared" si="117"/>
        <v>0</v>
      </c>
      <c r="U80" s="5">
        <f t="shared" si="118"/>
        <v>0</v>
      </c>
      <c r="V80" s="5">
        <f t="shared" si="111"/>
        <v>4.1036282608906842E-2</v>
      </c>
    </row>
    <row r="81" spans="2:22" x14ac:dyDescent="0.3">
      <c r="B81">
        <v>7</v>
      </c>
      <c r="C81">
        <v>0</v>
      </c>
      <c r="D81">
        <v>0</v>
      </c>
      <c r="E81">
        <v>0</v>
      </c>
      <c r="F81">
        <f t="shared" si="108"/>
        <v>0</v>
      </c>
      <c r="G81">
        <f t="shared" si="109"/>
        <v>0</v>
      </c>
      <c r="H81">
        <f t="shared" si="110"/>
        <v>0</v>
      </c>
      <c r="I81">
        <f t="shared" si="112"/>
        <v>0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2.9665790700090833E-2</v>
      </c>
      <c r="P81" s="4">
        <v>4</v>
      </c>
      <c r="Q81" s="5">
        <f t="shared" si="115"/>
        <v>0</v>
      </c>
      <c r="R81" s="5">
        <f t="shared" si="115"/>
        <v>0</v>
      </c>
      <c r="S81" s="5">
        <f t="shared" si="116"/>
        <v>0</v>
      </c>
      <c r="T81" s="5">
        <f t="shared" si="117"/>
        <v>0</v>
      </c>
      <c r="U81" s="5">
        <f t="shared" si="118"/>
        <v>0</v>
      </c>
      <c r="V81" s="5">
        <f t="shared" si="111"/>
        <v>2.9665790700090833E-2</v>
      </c>
    </row>
    <row r="82" spans="2:22" x14ac:dyDescent="0.3">
      <c r="B82">
        <v>8</v>
      </c>
      <c r="C82">
        <v>0</v>
      </c>
      <c r="D82">
        <v>0</v>
      </c>
      <c r="E82">
        <v>0</v>
      </c>
      <c r="F82">
        <f t="shared" si="108"/>
        <v>0</v>
      </c>
      <c r="G82">
        <f t="shared" si="109"/>
        <v>0</v>
      </c>
      <c r="H82">
        <f t="shared" si="110"/>
        <v>0</v>
      </c>
      <c r="I82">
        <f t="shared" si="112"/>
        <v>0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2.4878194279358203E-2</v>
      </c>
      <c r="P82" s="4">
        <v>5</v>
      </c>
      <c r="Q82" s="5">
        <f t="shared" si="115"/>
        <v>0</v>
      </c>
      <c r="R82" s="5">
        <f t="shared" si="115"/>
        <v>0</v>
      </c>
      <c r="S82" s="5">
        <f t="shared" si="116"/>
        <v>0</v>
      </c>
      <c r="T82" s="5">
        <f t="shared" si="117"/>
        <v>0</v>
      </c>
      <c r="U82" s="5">
        <f t="shared" si="118"/>
        <v>0</v>
      </c>
      <c r="V82" s="5">
        <f t="shared" si="111"/>
        <v>2.4878194279358203E-2</v>
      </c>
    </row>
    <row r="83" spans="2:22" x14ac:dyDescent="0.3">
      <c r="B83">
        <v>9</v>
      </c>
      <c r="C83">
        <v>0</v>
      </c>
      <c r="D83">
        <v>0</v>
      </c>
      <c r="E83">
        <v>0</v>
      </c>
      <c r="F83">
        <f t="shared" si="108"/>
        <v>0</v>
      </c>
      <c r="G83">
        <f t="shared" si="109"/>
        <v>0</v>
      </c>
      <c r="H83">
        <f t="shared" si="110"/>
        <v>0</v>
      </c>
      <c r="I83">
        <f t="shared" si="112"/>
        <v>0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2.0050055573738356E-2</v>
      </c>
      <c r="P83" s="4">
        <v>8</v>
      </c>
      <c r="Q83" s="5">
        <f t="shared" si="115"/>
        <v>0</v>
      </c>
      <c r="R83" s="5">
        <f t="shared" si="115"/>
        <v>0</v>
      </c>
      <c r="S83" s="5">
        <f t="shared" si="116"/>
        <v>0</v>
      </c>
      <c r="T83" s="5">
        <f t="shared" si="117"/>
        <v>0</v>
      </c>
      <c r="U83" s="5">
        <f t="shared" si="118"/>
        <v>0</v>
      </c>
      <c r="V83" s="5">
        <f t="shared" si="111"/>
        <v>2.0050055573738356E-2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08"/>
        <v>0</v>
      </c>
      <c r="G84">
        <f t="shared" si="109"/>
        <v>0</v>
      </c>
      <c r="H84">
        <f t="shared" si="110"/>
        <v>0</v>
      </c>
      <c r="I84">
        <f t="shared" si="112"/>
        <v>0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1.4358211920782226E-2</v>
      </c>
      <c r="P84" s="4">
        <v>14</v>
      </c>
      <c r="Q84" s="5">
        <f t="shared" si="115"/>
        <v>0</v>
      </c>
      <c r="R84" s="5">
        <f t="shared" si="115"/>
        <v>0</v>
      </c>
      <c r="S84" s="5">
        <f t="shared" si="116"/>
        <v>0</v>
      </c>
      <c r="T84" s="5">
        <f t="shared" si="117"/>
        <v>0</v>
      </c>
      <c r="U84" s="5">
        <f t="shared" si="118"/>
        <v>0</v>
      </c>
      <c r="V84" s="5">
        <f t="shared" si="111"/>
        <v>1.4358211920782226E-2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9.2592952753219691E-3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9.2592952753219691E-3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702.2</v>
      </c>
      <c r="D89">
        <v>28396.1</v>
      </c>
      <c r="E89">
        <v>3475.7</v>
      </c>
      <c r="F89">
        <f t="shared" ref="F89:F99" si="120">D89/10000</f>
        <v>2.83961</v>
      </c>
      <c r="G89">
        <f t="shared" ref="G89:G99" si="121">C89/10000</f>
        <v>7.0220000000000005E-2</v>
      </c>
      <c r="H89">
        <f t="shared" ref="H89:H99" si="122">F89-G89</f>
        <v>2.76939</v>
      </c>
      <c r="I89">
        <f>E89/10000</f>
        <v>0.34756999999999999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0.15485093948441925</v>
      </c>
      <c r="P89" s="2">
        <v>3</v>
      </c>
      <c r="Q89" s="8">
        <f>H89</f>
        <v>2.76939</v>
      </c>
      <c r="R89" s="8">
        <f>I89</f>
        <v>0.34756999999999999</v>
      </c>
      <c r="S89" s="8">
        <f>Q89/10^6*$Z$4*$Z$3/P89*10^12</f>
        <v>3.0767922899999993</v>
      </c>
      <c r="T89" s="8">
        <f>S89*0.06</f>
        <v>0.18460753739999997</v>
      </c>
      <c r="U89" s="8">
        <f>S89/$Z$1</f>
        <v>0.42147839589041086</v>
      </c>
      <c r="V89" s="12">
        <f t="shared" ref="V89:V99" si="123">O89</f>
        <v>0.15485093948441925</v>
      </c>
    </row>
    <row r="90" spans="2:22" x14ac:dyDescent="0.3">
      <c r="B90">
        <v>2</v>
      </c>
      <c r="C90">
        <v>6574.2</v>
      </c>
      <c r="D90">
        <v>28173.3</v>
      </c>
      <c r="E90">
        <v>2437.5</v>
      </c>
      <c r="F90">
        <f t="shared" si="120"/>
        <v>2.8173300000000001</v>
      </c>
      <c r="G90">
        <f t="shared" si="121"/>
        <v>0.65742</v>
      </c>
      <c r="H90">
        <f t="shared" si="122"/>
        <v>2.15991</v>
      </c>
      <c r="I90">
        <f t="shared" ref="I90:I99" si="124">E90/10000</f>
        <v>0.24374999999999999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0.13735871703894892</v>
      </c>
      <c r="P90" s="4">
        <v>3</v>
      </c>
      <c r="Q90" s="5">
        <f t="shared" ref="Q90:R99" si="127">H90</f>
        <v>2.15991</v>
      </c>
      <c r="R90" s="5">
        <f t="shared" si="127"/>
        <v>0.24374999999999999</v>
      </c>
      <c r="S90" s="5">
        <f t="shared" ref="S90:S99" si="128">Q90/10^6*$Z$4*$Z$3/P90*10^12</f>
        <v>2.3996600100000003</v>
      </c>
      <c r="T90" s="5">
        <f t="shared" ref="T90:T99" si="129">S90*0.06</f>
        <v>0.14397960060000001</v>
      </c>
      <c r="U90" s="5">
        <f t="shared" ref="U90:U99" si="130">S90/$Z$1</f>
        <v>0.32872054931506856</v>
      </c>
      <c r="V90" s="5">
        <f t="shared" si="123"/>
        <v>0.13735871703894892</v>
      </c>
    </row>
    <row r="91" spans="2:22" x14ac:dyDescent="0.3">
      <c r="B91">
        <v>3</v>
      </c>
      <c r="C91">
        <v>3986</v>
      </c>
      <c r="D91">
        <v>25598.9</v>
      </c>
      <c r="E91">
        <v>2528.3000000000002</v>
      </c>
      <c r="F91">
        <f t="shared" si="120"/>
        <v>2.5598900000000002</v>
      </c>
      <c r="G91">
        <f t="shared" si="121"/>
        <v>0.39860000000000001</v>
      </c>
      <c r="H91">
        <f t="shared" si="122"/>
        <v>2.1612900000000002</v>
      </c>
      <c r="I91">
        <f t="shared" si="124"/>
        <v>0.25283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0.11849850214177353</v>
      </c>
      <c r="P91" s="4">
        <v>3</v>
      </c>
      <c r="Q91" s="5">
        <f t="shared" si="127"/>
        <v>2.1612900000000002</v>
      </c>
      <c r="R91" s="5">
        <f t="shared" si="127"/>
        <v>0.25283</v>
      </c>
      <c r="S91" s="5">
        <f t="shared" si="128"/>
        <v>2.4011931900000003</v>
      </c>
      <c r="T91" s="5">
        <f t="shared" si="129"/>
        <v>0.1440715914</v>
      </c>
      <c r="U91" s="5">
        <f t="shared" si="130"/>
        <v>0.32893057397260278</v>
      </c>
      <c r="V91" s="5">
        <f t="shared" si="123"/>
        <v>0.11849850214177353</v>
      </c>
    </row>
    <row r="92" spans="2:22" x14ac:dyDescent="0.3">
      <c r="B92">
        <v>4</v>
      </c>
      <c r="C92">
        <v>3030.4</v>
      </c>
      <c r="D92">
        <v>14214.5</v>
      </c>
      <c r="E92">
        <v>778.7</v>
      </c>
      <c r="F92">
        <f t="shared" si="120"/>
        <v>1.4214500000000001</v>
      </c>
      <c r="G92">
        <f t="shared" si="121"/>
        <v>0.30304000000000003</v>
      </c>
      <c r="H92">
        <f t="shared" si="122"/>
        <v>1.1184100000000001</v>
      </c>
      <c r="I92">
        <f t="shared" si="124"/>
        <v>7.7870000000000009E-2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7.1771664077267788E-2</v>
      </c>
      <c r="P92" s="4">
        <v>3</v>
      </c>
      <c r="Q92" s="5">
        <f t="shared" si="127"/>
        <v>1.1184100000000001</v>
      </c>
      <c r="R92" s="5">
        <f t="shared" si="127"/>
        <v>7.7870000000000009E-2</v>
      </c>
      <c r="S92" s="5">
        <f t="shared" si="128"/>
        <v>1.2425535099999998</v>
      </c>
      <c r="T92" s="5">
        <f t="shared" si="129"/>
        <v>7.4553210599999989E-2</v>
      </c>
      <c r="U92" s="5">
        <f t="shared" si="130"/>
        <v>0.17021280958904109</v>
      </c>
      <c r="V92" s="5">
        <f t="shared" si="123"/>
        <v>7.1771664077267788E-2</v>
      </c>
    </row>
    <row r="93" spans="2:22" x14ac:dyDescent="0.3">
      <c r="B93">
        <v>5</v>
      </c>
      <c r="C93">
        <v>0</v>
      </c>
      <c r="D93">
        <v>0</v>
      </c>
      <c r="E93">
        <v>0</v>
      </c>
      <c r="F93">
        <f t="shared" si="120"/>
        <v>0</v>
      </c>
      <c r="G93">
        <f t="shared" si="121"/>
        <v>0</v>
      </c>
      <c r="H93">
        <f t="shared" si="122"/>
        <v>0</v>
      </c>
      <c r="I93">
        <f t="shared" si="124"/>
        <v>0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5.187392813782446E-2</v>
      </c>
      <c r="P93" s="4">
        <v>3</v>
      </c>
      <c r="Q93" s="5">
        <f t="shared" si="127"/>
        <v>0</v>
      </c>
      <c r="R93" s="5">
        <f t="shared" si="127"/>
        <v>0</v>
      </c>
      <c r="S93" s="5">
        <f t="shared" si="128"/>
        <v>0</v>
      </c>
      <c r="T93" s="5">
        <f t="shared" si="129"/>
        <v>0</v>
      </c>
      <c r="U93" s="5">
        <f t="shared" si="130"/>
        <v>0</v>
      </c>
      <c r="V93" s="5">
        <f t="shared" si="123"/>
        <v>5.187392813782446E-2</v>
      </c>
    </row>
    <row r="94" spans="2:22" x14ac:dyDescent="0.3">
      <c r="B94">
        <v>6</v>
      </c>
      <c r="C94">
        <v>0</v>
      </c>
      <c r="D94">
        <v>0</v>
      </c>
      <c r="E94">
        <v>0</v>
      </c>
      <c r="F94">
        <f t="shared" si="120"/>
        <v>0</v>
      </c>
      <c r="G94">
        <f t="shared" si="121"/>
        <v>0</v>
      </c>
      <c r="H94">
        <f t="shared" si="122"/>
        <v>0</v>
      </c>
      <c r="I94">
        <f t="shared" si="124"/>
        <v>0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3.5906747282793486E-2</v>
      </c>
      <c r="P94" s="4">
        <v>4</v>
      </c>
      <c r="Q94" s="5">
        <f t="shared" si="127"/>
        <v>0</v>
      </c>
      <c r="R94" s="5">
        <f t="shared" si="127"/>
        <v>0</v>
      </c>
      <c r="S94" s="5">
        <f t="shared" si="128"/>
        <v>0</v>
      </c>
      <c r="T94" s="5">
        <f t="shared" si="129"/>
        <v>0</v>
      </c>
      <c r="U94" s="5">
        <f t="shared" si="130"/>
        <v>0</v>
      </c>
      <c r="V94" s="5">
        <f t="shared" si="123"/>
        <v>3.5906747282793486E-2</v>
      </c>
    </row>
    <row r="95" spans="2:22" x14ac:dyDescent="0.3">
      <c r="B95">
        <v>7</v>
      </c>
      <c r="C95">
        <v>0</v>
      </c>
      <c r="D95">
        <v>0</v>
      </c>
      <c r="E95">
        <v>0</v>
      </c>
      <c r="F95">
        <f t="shared" si="120"/>
        <v>0</v>
      </c>
      <c r="G95">
        <f t="shared" si="121"/>
        <v>0</v>
      </c>
      <c r="H95">
        <f t="shared" si="122"/>
        <v>0</v>
      </c>
      <c r="I95">
        <f t="shared" si="124"/>
        <v>0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2.5957566862579478E-2</v>
      </c>
      <c r="P95" s="4">
        <v>4</v>
      </c>
      <c r="Q95" s="5">
        <f t="shared" si="127"/>
        <v>0</v>
      </c>
      <c r="R95" s="5">
        <f t="shared" si="127"/>
        <v>0</v>
      </c>
      <c r="S95" s="5">
        <f t="shared" si="128"/>
        <v>0</v>
      </c>
      <c r="T95" s="5">
        <f t="shared" si="129"/>
        <v>0</v>
      </c>
      <c r="U95" s="5">
        <f t="shared" si="130"/>
        <v>0</v>
      </c>
      <c r="V95" s="5">
        <f t="shared" si="123"/>
        <v>2.5957566862579478E-2</v>
      </c>
    </row>
    <row r="96" spans="2:22" x14ac:dyDescent="0.3">
      <c r="B96">
        <v>8</v>
      </c>
      <c r="C96">
        <v>0</v>
      </c>
      <c r="D96">
        <v>0</v>
      </c>
      <c r="E96">
        <v>0</v>
      </c>
      <c r="F96">
        <f t="shared" si="120"/>
        <v>0</v>
      </c>
      <c r="G96">
        <f t="shared" si="121"/>
        <v>0</v>
      </c>
      <c r="H96">
        <f t="shared" si="122"/>
        <v>0</v>
      </c>
      <c r="I96">
        <f t="shared" si="124"/>
        <v>0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2.1768419994438428E-2</v>
      </c>
      <c r="P96" s="4">
        <v>5</v>
      </c>
      <c r="Q96" s="5">
        <f t="shared" si="127"/>
        <v>0</v>
      </c>
      <c r="R96" s="5">
        <f t="shared" si="127"/>
        <v>0</v>
      </c>
      <c r="S96" s="5">
        <f t="shared" si="128"/>
        <v>0</v>
      </c>
      <c r="T96" s="5">
        <f t="shared" si="129"/>
        <v>0</v>
      </c>
      <c r="U96" s="5">
        <f t="shared" si="130"/>
        <v>0</v>
      </c>
      <c r="V96" s="5">
        <f t="shared" si="123"/>
        <v>2.1768419994438428E-2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20"/>
        <v>0</v>
      </c>
      <c r="G97">
        <f t="shared" si="121"/>
        <v>0</v>
      </c>
      <c r="H97">
        <f t="shared" si="122"/>
        <v>0</v>
      </c>
      <c r="I97">
        <f t="shared" si="124"/>
        <v>0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1.7543798627021063E-2</v>
      </c>
      <c r="P97" s="4">
        <v>8</v>
      </c>
      <c r="Q97" s="5">
        <f t="shared" si="127"/>
        <v>0</v>
      </c>
      <c r="R97" s="5">
        <f t="shared" si="127"/>
        <v>0</v>
      </c>
      <c r="S97" s="5">
        <f t="shared" si="128"/>
        <v>0</v>
      </c>
      <c r="T97" s="5">
        <f t="shared" si="129"/>
        <v>0</v>
      </c>
      <c r="U97" s="5">
        <f t="shared" si="130"/>
        <v>0</v>
      </c>
      <c r="V97" s="5">
        <f t="shared" si="123"/>
        <v>1.7543798627021063E-2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1.2563435430684448E-2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1.2563435430684448E-2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8.1018833659067223E-3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8.1018833659067223E-3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1519.7</v>
      </c>
      <c r="D103">
        <v>27421.1</v>
      </c>
      <c r="E103">
        <v>3660.7</v>
      </c>
      <c r="F103">
        <f t="shared" ref="F103:F113" si="132">D103/10000</f>
        <v>2.7421099999999998</v>
      </c>
      <c r="G103">
        <f t="shared" ref="G103:G113" si="133">C103/10000</f>
        <v>0.15196999999999999</v>
      </c>
      <c r="H103">
        <f t="shared" ref="H103:H113" si="134">F103-G103</f>
        <v>2.5901399999999999</v>
      </c>
      <c r="I103">
        <f>E103/10000</f>
        <v>0.36607000000000001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0.13764527954170599</v>
      </c>
      <c r="P103" s="2">
        <v>3</v>
      </c>
      <c r="Q103" s="8">
        <f>H103</f>
        <v>2.5901399999999999</v>
      </c>
      <c r="R103" s="8">
        <f>I103</f>
        <v>0.36607000000000001</v>
      </c>
      <c r="S103" s="8">
        <f>Q103/10^6*$Z$4*$Z$3/P103*10^12</f>
        <v>2.8776455400000001</v>
      </c>
      <c r="T103" s="8">
        <f>S103*0.06</f>
        <v>0.17265873239999999</v>
      </c>
      <c r="U103" s="8">
        <f>S103/$Z$1</f>
        <v>0.39419801917808223</v>
      </c>
      <c r="V103" s="12">
        <f t="shared" ref="V103:V113" si="135">O103</f>
        <v>0.13764527954170599</v>
      </c>
    </row>
    <row r="104" spans="2:22" x14ac:dyDescent="0.3">
      <c r="B104">
        <v>2</v>
      </c>
      <c r="C104">
        <v>3658.3</v>
      </c>
      <c r="D104">
        <v>24886.3</v>
      </c>
      <c r="E104">
        <v>3033.3</v>
      </c>
      <c r="F104">
        <f t="shared" si="132"/>
        <v>2.4886300000000001</v>
      </c>
      <c r="G104">
        <f t="shared" si="133"/>
        <v>0.36583000000000004</v>
      </c>
      <c r="H104">
        <f t="shared" si="134"/>
        <v>2.1228000000000002</v>
      </c>
      <c r="I104">
        <f t="shared" ref="I104:I113" si="136">E104/10000</f>
        <v>0.30333000000000004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0.12209663736795459</v>
      </c>
      <c r="P104" s="4">
        <v>3</v>
      </c>
      <c r="Q104" s="5">
        <f t="shared" ref="Q104:R113" si="139">H104</f>
        <v>2.1228000000000002</v>
      </c>
      <c r="R104" s="5">
        <f t="shared" si="139"/>
        <v>0.30333000000000004</v>
      </c>
      <c r="S104" s="5">
        <f t="shared" ref="S104:S113" si="140">Q104/10^6*$Z$4*$Z$3/P104*10^12</f>
        <v>2.3584308000000003</v>
      </c>
      <c r="T104" s="5">
        <f t="shared" ref="T104:T113" si="141">S104*0.06</f>
        <v>0.14150584800000002</v>
      </c>
      <c r="U104" s="5">
        <f t="shared" ref="U104:U113" si="142">S104/$Z$1</f>
        <v>0.32307271232876716</v>
      </c>
      <c r="V104" s="5">
        <f t="shared" si="135"/>
        <v>0.12209663736795459</v>
      </c>
    </row>
    <row r="105" spans="2:22" x14ac:dyDescent="0.3">
      <c r="B105">
        <v>3</v>
      </c>
      <c r="C105">
        <v>3962</v>
      </c>
      <c r="D105">
        <v>22398.1</v>
      </c>
      <c r="E105">
        <v>2078.6999999999998</v>
      </c>
      <c r="F105">
        <f t="shared" si="132"/>
        <v>2.2398099999999999</v>
      </c>
      <c r="G105">
        <f t="shared" si="133"/>
        <v>0.3962</v>
      </c>
      <c r="H105">
        <f t="shared" si="134"/>
        <v>1.84361</v>
      </c>
      <c r="I105">
        <f t="shared" si="136"/>
        <v>0.20786999999999997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0.1053320019037987</v>
      </c>
      <c r="P105" s="4">
        <v>3</v>
      </c>
      <c r="Q105" s="5">
        <f t="shared" si="139"/>
        <v>1.84361</v>
      </c>
      <c r="R105" s="5">
        <f t="shared" si="139"/>
        <v>0.20786999999999997</v>
      </c>
      <c r="S105" s="5">
        <f t="shared" si="140"/>
        <v>2.04825071</v>
      </c>
      <c r="T105" s="5">
        <f t="shared" si="141"/>
        <v>0.1228950426</v>
      </c>
      <c r="U105" s="5">
        <f t="shared" si="142"/>
        <v>0.28058228904109589</v>
      </c>
      <c r="V105" s="5">
        <f t="shared" si="135"/>
        <v>0.1053320019037987</v>
      </c>
    </row>
    <row r="106" spans="2:22" x14ac:dyDescent="0.3">
      <c r="B106">
        <v>4</v>
      </c>
      <c r="C106">
        <v>0</v>
      </c>
      <c r="D106">
        <v>0</v>
      </c>
      <c r="E106">
        <v>0</v>
      </c>
      <c r="F106">
        <f t="shared" si="132"/>
        <v>0</v>
      </c>
      <c r="G106">
        <f t="shared" si="133"/>
        <v>0</v>
      </c>
      <c r="H106">
        <f t="shared" si="134"/>
        <v>0</v>
      </c>
      <c r="I106">
        <f t="shared" si="136"/>
        <v>0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6.3797034735349145E-2</v>
      </c>
      <c r="P106" s="4">
        <v>3</v>
      </c>
      <c r="Q106" s="5">
        <f t="shared" si="139"/>
        <v>0</v>
      </c>
      <c r="R106" s="5">
        <f t="shared" si="139"/>
        <v>0</v>
      </c>
      <c r="S106" s="5">
        <f t="shared" si="140"/>
        <v>0</v>
      </c>
      <c r="T106" s="5">
        <f t="shared" si="141"/>
        <v>0</v>
      </c>
      <c r="U106" s="5">
        <f t="shared" si="142"/>
        <v>0</v>
      </c>
      <c r="V106" s="5">
        <f t="shared" si="135"/>
        <v>6.3797034735349145E-2</v>
      </c>
    </row>
    <row r="107" spans="2:22" x14ac:dyDescent="0.3">
      <c r="B107">
        <v>5</v>
      </c>
      <c r="C107">
        <v>0</v>
      </c>
      <c r="D107">
        <v>0</v>
      </c>
      <c r="E107">
        <v>0</v>
      </c>
      <c r="F107">
        <f t="shared" si="132"/>
        <v>0</v>
      </c>
      <c r="G107">
        <f t="shared" si="133"/>
        <v>0</v>
      </c>
      <c r="H107">
        <f t="shared" si="134"/>
        <v>0</v>
      </c>
      <c r="I107">
        <f t="shared" si="136"/>
        <v>0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4.6110158344732852E-2</v>
      </c>
      <c r="P107" s="4">
        <v>3</v>
      </c>
      <c r="Q107" s="5">
        <f t="shared" si="139"/>
        <v>0</v>
      </c>
      <c r="R107" s="5">
        <f t="shared" si="139"/>
        <v>0</v>
      </c>
      <c r="S107" s="5">
        <f t="shared" si="140"/>
        <v>0</v>
      </c>
      <c r="T107" s="5">
        <f t="shared" si="141"/>
        <v>0</v>
      </c>
      <c r="U107" s="5">
        <f t="shared" si="142"/>
        <v>0</v>
      </c>
      <c r="V107" s="5">
        <f t="shared" si="135"/>
        <v>4.6110158344732852E-2</v>
      </c>
    </row>
    <row r="108" spans="2:22" x14ac:dyDescent="0.3">
      <c r="B108">
        <v>6</v>
      </c>
      <c r="C108">
        <v>0</v>
      </c>
      <c r="D108">
        <v>0</v>
      </c>
      <c r="E108">
        <v>0</v>
      </c>
      <c r="F108">
        <f t="shared" si="132"/>
        <v>0</v>
      </c>
      <c r="G108">
        <f t="shared" si="133"/>
        <v>0</v>
      </c>
      <c r="H108">
        <f t="shared" si="134"/>
        <v>0</v>
      </c>
      <c r="I108">
        <f t="shared" si="136"/>
        <v>0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3.1917108695816432E-2</v>
      </c>
      <c r="P108" s="4">
        <v>4</v>
      </c>
      <c r="Q108" s="5">
        <f t="shared" si="139"/>
        <v>0</v>
      </c>
      <c r="R108" s="5">
        <f t="shared" si="139"/>
        <v>0</v>
      </c>
      <c r="S108" s="5">
        <f t="shared" si="140"/>
        <v>0</v>
      </c>
      <c r="T108" s="5">
        <f t="shared" si="141"/>
        <v>0</v>
      </c>
      <c r="U108" s="5">
        <f t="shared" si="142"/>
        <v>0</v>
      </c>
      <c r="V108" s="5">
        <f t="shared" si="135"/>
        <v>3.1917108695816432E-2</v>
      </c>
    </row>
    <row r="109" spans="2:22" x14ac:dyDescent="0.3">
      <c r="B109">
        <v>7</v>
      </c>
      <c r="C109">
        <v>0</v>
      </c>
      <c r="D109">
        <v>0</v>
      </c>
      <c r="E109">
        <v>0</v>
      </c>
      <c r="F109">
        <f t="shared" si="132"/>
        <v>0</v>
      </c>
      <c r="G109">
        <f t="shared" si="133"/>
        <v>0</v>
      </c>
      <c r="H109">
        <f t="shared" si="134"/>
        <v>0</v>
      </c>
      <c r="I109">
        <f t="shared" si="136"/>
        <v>0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2.3073392766737314E-2</v>
      </c>
      <c r="P109" s="4">
        <v>4</v>
      </c>
      <c r="Q109" s="5">
        <f t="shared" si="139"/>
        <v>0</v>
      </c>
      <c r="R109" s="5">
        <f t="shared" si="139"/>
        <v>0</v>
      </c>
      <c r="S109" s="5">
        <f t="shared" si="140"/>
        <v>0</v>
      </c>
      <c r="T109" s="5">
        <f t="shared" si="141"/>
        <v>0</v>
      </c>
      <c r="U109" s="5">
        <f t="shared" si="142"/>
        <v>0</v>
      </c>
      <c r="V109" s="5">
        <f t="shared" si="135"/>
        <v>2.3073392766737314E-2</v>
      </c>
    </row>
    <row r="110" spans="2:22" x14ac:dyDescent="0.3">
      <c r="B110">
        <v>8</v>
      </c>
      <c r="C110">
        <v>0</v>
      </c>
      <c r="D110">
        <v>0</v>
      </c>
      <c r="E110">
        <v>0</v>
      </c>
      <c r="F110">
        <f t="shared" si="132"/>
        <v>0</v>
      </c>
      <c r="G110">
        <f t="shared" si="133"/>
        <v>0</v>
      </c>
      <c r="H110">
        <f t="shared" si="134"/>
        <v>0</v>
      </c>
      <c r="I110">
        <f t="shared" si="136"/>
        <v>0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1.9349706661723046E-2</v>
      </c>
      <c r="P110" s="4">
        <v>5</v>
      </c>
      <c r="Q110" s="5">
        <f t="shared" si="139"/>
        <v>0</v>
      </c>
      <c r="R110" s="5">
        <f t="shared" si="139"/>
        <v>0</v>
      </c>
      <c r="S110" s="5">
        <f t="shared" si="140"/>
        <v>0</v>
      </c>
      <c r="T110" s="5">
        <f t="shared" si="141"/>
        <v>0</v>
      </c>
      <c r="U110" s="5">
        <f t="shared" si="142"/>
        <v>0</v>
      </c>
      <c r="V110" s="5">
        <f t="shared" si="135"/>
        <v>1.9349706661723046E-2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32"/>
        <v>0</v>
      </c>
      <c r="G111">
        <f t="shared" si="133"/>
        <v>0</v>
      </c>
      <c r="H111">
        <f t="shared" si="134"/>
        <v>0</v>
      </c>
      <c r="I111">
        <f t="shared" si="136"/>
        <v>0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1.5594487668463167E-2</v>
      </c>
      <c r="P111" s="4">
        <v>8</v>
      </c>
      <c r="Q111" s="5">
        <f t="shared" si="139"/>
        <v>0</v>
      </c>
      <c r="R111" s="5">
        <f t="shared" si="139"/>
        <v>0</v>
      </c>
      <c r="S111" s="5">
        <f t="shared" si="140"/>
        <v>0</v>
      </c>
      <c r="T111" s="5">
        <f t="shared" si="141"/>
        <v>0</v>
      </c>
      <c r="U111" s="5">
        <f t="shared" si="142"/>
        <v>0</v>
      </c>
      <c r="V111" s="5">
        <f t="shared" si="135"/>
        <v>1.5594487668463167E-2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1.1167498160608398E-2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1.1167498160608398E-2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7.2016741030281979E-3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7.2016741030281979E-3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-1006.1</v>
      </c>
      <c r="D117">
        <v>25018.400000000001</v>
      </c>
      <c r="E117">
        <v>2951.2</v>
      </c>
      <c r="F117">
        <f t="shared" ref="F117:F127" si="144">D117/10000</f>
        <v>2.5018400000000001</v>
      </c>
      <c r="G117">
        <f t="shared" ref="G117:G127" si="145">C117/10000</f>
        <v>-0.10061</v>
      </c>
      <c r="H117">
        <f t="shared" ref="H117:H127" si="146">F117-G117</f>
        <v>2.6024500000000002</v>
      </c>
      <c r="I117">
        <f>E117/10000</f>
        <v>0.29511999999999999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0.12388075158753539</v>
      </c>
      <c r="P117" s="2">
        <v>3</v>
      </c>
      <c r="Q117" s="8">
        <f>H117</f>
        <v>2.6024500000000002</v>
      </c>
      <c r="R117" s="8">
        <f>I117</f>
        <v>0.29511999999999999</v>
      </c>
      <c r="S117" s="8">
        <f>Q117/10^6*$Z$4*$Z$3/P117*10^12</f>
        <v>2.8913219499999996</v>
      </c>
      <c r="T117" s="8">
        <f>S117*0.06</f>
        <v>0.17347931699999997</v>
      </c>
      <c r="U117" s="8">
        <f>S117/$Z$1</f>
        <v>0.39607149999999997</v>
      </c>
      <c r="V117" s="12">
        <f t="shared" ref="V117:V127" si="147">O117</f>
        <v>0.12388075158753539</v>
      </c>
    </row>
    <row r="118" spans="2:22" x14ac:dyDescent="0.3">
      <c r="B118">
        <v>2</v>
      </c>
      <c r="C118">
        <v>4278.7</v>
      </c>
      <c r="D118">
        <v>25365</v>
      </c>
      <c r="E118">
        <v>3275.9</v>
      </c>
      <c r="F118">
        <f t="shared" si="144"/>
        <v>2.5365000000000002</v>
      </c>
      <c r="G118">
        <f t="shared" si="145"/>
        <v>0.42786999999999997</v>
      </c>
      <c r="H118">
        <f t="shared" si="146"/>
        <v>2.1086300000000002</v>
      </c>
      <c r="I118">
        <f t="shared" ref="I118:I127" si="148">E118/10000</f>
        <v>0.32758999999999999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0.10988697363115914</v>
      </c>
      <c r="P118" s="4">
        <v>3</v>
      </c>
      <c r="Q118" s="5">
        <f t="shared" ref="Q118:R127" si="151">H118</f>
        <v>2.1086300000000002</v>
      </c>
      <c r="R118" s="5">
        <f t="shared" si="151"/>
        <v>0.32758999999999999</v>
      </c>
      <c r="S118" s="5">
        <f t="shared" ref="S118:S127" si="152">Q118/10^6*$Z$4*$Z$3/P118*10^12</f>
        <v>2.3426879300000003</v>
      </c>
      <c r="T118" s="5">
        <f t="shared" ref="T118:T127" si="153">S118*0.06</f>
        <v>0.14056127580000002</v>
      </c>
      <c r="U118" s="5">
        <f t="shared" ref="U118:U127" si="154">S118/$Z$1</f>
        <v>0.32091615479452062</v>
      </c>
      <c r="V118" s="5">
        <f t="shared" si="147"/>
        <v>0.10988697363115914</v>
      </c>
    </row>
    <row r="119" spans="2:22" x14ac:dyDescent="0.3">
      <c r="B119">
        <v>3</v>
      </c>
      <c r="C119">
        <v>5847.5</v>
      </c>
      <c r="D119">
        <v>23517.3</v>
      </c>
      <c r="E119">
        <v>2616</v>
      </c>
      <c r="F119">
        <f t="shared" si="144"/>
        <v>2.3517299999999999</v>
      </c>
      <c r="G119">
        <f t="shared" si="145"/>
        <v>0.58474999999999999</v>
      </c>
      <c r="H119">
        <f t="shared" si="146"/>
        <v>1.7669799999999998</v>
      </c>
      <c r="I119">
        <f t="shared" si="148"/>
        <v>0.2616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9.4798801713418826E-2</v>
      </c>
      <c r="P119" s="4">
        <v>3</v>
      </c>
      <c r="Q119" s="5">
        <f t="shared" si="151"/>
        <v>1.7669799999999998</v>
      </c>
      <c r="R119" s="5">
        <f t="shared" si="151"/>
        <v>0.2616</v>
      </c>
      <c r="S119" s="5">
        <f t="shared" si="152"/>
        <v>1.9631147799999999</v>
      </c>
      <c r="T119" s="5">
        <f t="shared" si="153"/>
        <v>0.11778688679999999</v>
      </c>
      <c r="U119" s="5">
        <f t="shared" si="154"/>
        <v>0.26891983287671234</v>
      </c>
      <c r="V119" s="5">
        <f t="shared" si="147"/>
        <v>9.4798801713418826E-2</v>
      </c>
    </row>
    <row r="120" spans="2:22" x14ac:dyDescent="0.3">
      <c r="B120">
        <v>4</v>
      </c>
      <c r="C120">
        <v>0</v>
      </c>
      <c r="D120">
        <v>0</v>
      </c>
      <c r="E120">
        <v>0</v>
      </c>
      <c r="F120">
        <f t="shared" si="144"/>
        <v>0</v>
      </c>
      <c r="G120">
        <f t="shared" si="145"/>
        <v>0</v>
      </c>
      <c r="H120">
        <f t="shared" si="146"/>
        <v>0</v>
      </c>
      <c r="I120">
        <f t="shared" si="148"/>
        <v>0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5.7417331261814232E-2</v>
      </c>
      <c r="P120" s="4">
        <v>3</v>
      </c>
      <c r="Q120" s="5">
        <f t="shared" si="151"/>
        <v>0</v>
      </c>
      <c r="R120" s="5">
        <f t="shared" si="151"/>
        <v>0</v>
      </c>
      <c r="S120" s="5">
        <f t="shared" si="152"/>
        <v>0</v>
      </c>
      <c r="T120" s="5">
        <f t="shared" si="153"/>
        <v>0</v>
      </c>
      <c r="U120" s="5">
        <f t="shared" si="154"/>
        <v>0</v>
      </c>
      <c r="V120" s="5">
        <f t="shared" si="147"/>
        <v>5.7417331261814232E-2</v>
      </c>
    </row>
    <row r="121" spans="2:22" x14ac:dyDescent="0.3">
      <c r="B121">
        <v>5</v>
      </c>
      <c r="C121">
        <v>0</v>
      </c>
      <c r="D121">
        <v>0</v>
      </c>
      <c r="E121">
        <v>0</v>
      </c>
      <c r="F121">
        <f t="shared" si="144"/>
        <v>0</v>
      </c>
      <c r="G121">
        <f t="shared" si="145"/>
        <v>0</v>
      </c>
      <c r="H121">
        <f t="shared" si="146"/>
        <v>0</v>
      </c>
      <c r="I121">
        <f t="shared" si="148"/>
        <v>0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4.1499142510259567E-2</v>
      </c>
      <c r="P121" s="4">
        <v>3</v>
      </c>
      <c r="Q121" s="5">
        <f t="shared" si="151"/>
        <v>0</v>
      </c>
      <c r="R121" s="5">
        <f t="shared" si="151"/>
        <v>0</v>
      </c>
      <c r="S121" s="5">
        <f t="shared" si="152"/>
        <v>0</v>
      </c>
      <c r="T121" s="5">
        <f t="shared" si="153"/>
        <v>0</v>
      </c>
      <c r="U121" s="5">
        <f t="shared" si="154"/>
        <v>0</v>
      </c>
      <c r="V121" s="5">
        <f t="shared" si="147"/>
        <v>4.1499142510259567E-2</v>
      </c>
    </row>
    <row r="122" spans="2:22" x14ac:dyDescent="0.3">
      <c r="B122">
        <v>6</v>
      </c>
      <c r="C122">
        <v>0</v>
      </c>
      <c r="D122">
        <v>0</v>
      </c>
      <c r="E122">
        <v>0</v>
      </c>
      <c r="F122">
        <f t="shared" si="144"/>
        <v>0</v>
      </c>
      <c r="G122">
        <f t="shared" si="145"/>
        <v>0</v>
      </c>
      <c r="H122">
        <f t="shared" si="146"/>
        <v>0</v>
      </c>
      <c r="I122">
        <f t="shared" si="148"/>
        <v>0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2.8725397826234789E-2</v>
      </c>
      <c r="P122" s="4">
        <v>4</v>
      </c>
      <c r="Q122" s="5">
        <f t="shared" si="151"/>
        <v>0</v>
      </c>
      <c r="R122" s="5">
        <f t="shared" si="151"/>
        <v>0</v>
      </c>
      <c r="S122" s="5">
        <f t="shared" si="152"/>
        <v>0</v>
      </c>
      <c r="T122" s="5">
        <f t="shared" si="153"/>
        <v>0</v>
      </c>
      <c r="U122" s="5">
        <f t="shared" si="154"/>
        <v>0</v>
      </c>
      <c r="V122" s="5">
        <f t="shared" si="147"/>
        <v>2.8725397826234789E-2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44"/>
        <v>0</v>
      </c>
      <c r="G123">
        <f t="shared" si="145"/>
        <v>0</v>
      </c>
      <c r="H123">
        <f t="shared" si="146"/>
        <v>0</v>
      </c>
      <c r="I123">
        <f t="shared" si="148"/>
        <v>0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2.0766053490063583E-2</v>
      </c>
      <c r="P123" s="4">
        <v>4</v>
      </c>
      <c r="Q123" s="5">
        <f t="shared" si="151"/>
        <v>0</v>
      </c>
      <c r="R123" s="5">
        <f t="shared" si="151"/>
        <v>0</v>
      </c>
      <c r="S123" s="5">
        <f t="shared" si="152"/>
        <v>0</v>
      </c>
      <c r="T123" s="5">
        <f t="shared" si="153"/>
        <v>0</v>
      </c>
      <c r="U123" s="5">
        <f t="shared" si="154"/>
        <v>0</v>
      </c>
      <c r="V123" s="5">
        <f t="shared" si="147"/>
        <v>2.0766053490063583E-2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44"/>
        <v>0</v>
      </c>
      <c r="G124">
        <f t="shared" si="145"/>
        <v>0</v>
      </c>
      <c r="H124">
        <f t="shared" si="146"/>
        <v>0</v>
      </c>
      <c r="I124">
        <f t="shared" si="148"/>
        <v>0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1.7414735995550743E-2</v>
      </c>
      <c r="P124" s="4">
        <v>5</v>
      </c>
      <c r="Q124" s="5">
        <f t="shared" si="151"/>
        <v>0</v>
      </c>
      <c r="R124" s="5">
        <f t="shared" si="151"/>
        <v>0</v>
      </c>
      <c r="S124" s="5">
        <f t="shared" si="152"/>
        <v>0</v>
      </c>
      <c r="T124" s="5">
        <f t="shared" si="153"/>
        <v>0</v>
      </c>
      <c r="U124" s="5">
        <f t="shared" si="154"/>
        <v>0</v>
      </c>
      <c r="V124" s="5">
        <f t="shared" si="147"/>
        <v>1.7414735995550743E-2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44"/>
        <v>0</v>
      </c>
      <c r="G125">
        <f t="shared" si="145"/>
        <v>0</v>
      </c>
      <c r="H125">
        <f t="shared" si="146"/>
        <v>0</v>
      </c>
      <c r="I125">
        <f t="shared" si="148"/>
        <v>0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1.403503890161685E-2</v>
      </c>
      <c r="P125" s="4">
        <v>8</v>
      </c>
      <c r="Q125" s="5">
        <f t="shared" si="151"/>
        <v>0</v>
      </c>
      <c r="R125" s="5">
        <f t="shared" si="151"/>
        <v>0</v>
      </c>
      <c r="S125" s="5">
        <f t="shared" si="152"/>
        <v>0</v>
      </c>
      <c r="T125" s="5">
        <f t="shared" si="153"/>
        <v>0</v>
      </c>
      <c r="U125" s="5">
        <f t="shared" si="154"/>
        <v>0</v>
      </c>
      <c r="V125" s="5">
        <f t="shared" si="147"/>
        <v>1.403503890161685E-2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1.0050748344547559E-2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1.0050748344547559E-2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6.4815066927253777E-3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6.4815066927253777E-3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-1631.9</v>
      </c>
      <c r="D131">
        <v>29389.9</v>
      </c>
      <c r="E131">
        <v>5128.2</v>
      </c>
      <c r="F131">
        <f t="shared" ref="F131:F141" si="156">D131/10000</f>
        <v>2.93899</v>
      </c>
      <c r="G131">
        <f t="shared" ref="G131:G141" si="157">C131/10000</f>
        <v>-0.16319</v>
      </c>
      <c r="H131">
        <f t="shared" ref="H131:H141" si="158">F131-G131</f>
        <v>3.1021800000000002</v>
      </c>
      <c r="I131">
        <f>E131/10000</f>
        <v>0.51281999999999994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8.25871677250236E-2</v>
      </c>
      <c r="P131" s="2">
        <v>3</v>
      </c>
      <c r="Q131" s="8">
        <f>H131</f>
        <v>3.1021800000000002</v>
      </c>
      <c r="R131" s="8">
        <f>I131</f>
        <v>0.51281999999999994</v>
      </c>
      <c r="S131" s="8">
        <f>Q131/10^6*$Z$4*$Z$3/P131*10^12</f>
        <v>3.4465219800000009</v>
      </c>
      <c r="T131" s="8">
        <f>S131*0.06</f>
        <v>0.20679131880000004</v>
      </c>
      <c r="U131" s="8">
        <f>S131/$Z$1</f>
        <v>0.47212629863013711</v>
      </c>
      <c r="V131" s="12">
        <f t="shared" ref="V131:V141" si="159">O131</f>
        <v>8.25871677250236E-2</v>
      </c>
    </row>
    <row r="132" spans="2:22" x14ac:dyDescent="0.3">
      <c r="B132">
        <v>2</v>
      </c>
      <c r="C132">
        <v>2477.3000000000002</v>
      </c>
      <c r="D132">
        <v>27766.9</v>
      </c>
      <c r="E132">
        <v>3002</v>
      </c>
      <c r="F132">
        <f t="shared" si="156"/>
        <v>2.7766900000000003</v>
      </c>
      <c r="G132">
        <f t="shared" si="157"/>
        <v>0.24773000000000001</v>
      </c>
      <c r="H132">
        <f t="shared" si="158"/>
        <v>2.5289600000000005</v>
      </c>
      <c r="I132">
        <f t="shared" ref="I132:I141" si="160">E132/10000</f>
        <v>0.30020000000000002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7.3257982420772763E-2</v>
      </c>
      <c r="P132" s="4">
        <v>3</v>
      </c>
      <c r="Q132" s="5">
        <f t="shared" ref="Q132:R141" si="163">H132</f>
        <v>2.5289600000000005</v>
      </c>
      <c r="R132" s="5">
        <f t="shared" si="163"/>
        <v>0.30020000000000002</v>
      </c>
      <c r="S132" s="5">
        <f t="shared" ref="S132:S141" si="164">Q132/10^6*$Z$4*$Z$3/P132*10^12</f>
        <v>2.8096745600000004</v>
      </c>
      <c r="T132" s="5">
        <f t="shared" ref="T132:T141" si="165">S132*0.06</f>
        <v>0.1685804736</v>
      </c>
      <c r="U132" s="5">
        <f t="shared" ref="U132:U141" si="166">S132/$Z$1</f>
        <v>0.38488692602739732</v>
      </c>
      <c r="V132" s="5">
        <f t="shared" si="159"/>
        <v>7.3257982420772763E-2</v>
      </c>
    </row>
    <row r="133" spans="2:22" x14ac:dyDescent="0.3">
      <c r="B133">
        <v>3</v>
      </c>
      <c r="C133">
        <v>3892.2</v>
      </c>
      <c r="D133">
        <v>26976</v>
      </c>
      <c r="E133">
        <v>2573.6</v>
      </c>
      <c r="F133">
        <f t="shared" si="156"/>
        <v>2.6976</v>
      </c>
      <c r="G133">
        <f t="shared" si="157"/>
        <v>0.38921999999999995</v>
      </c>
      <c r="H133">
        <f t="shared" si="158"/>
        <v>2.3083800000000001</v>
      </c>
      <c r="I133">
        <f t="shared" si="160"/>
        <v>0.25735999999999998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6.3199201142279213E-2</v>
      </c>
      <c r="P133" s="4">
        <v>3</v>
      </c>
      <c r="Q133" s="5">
        <f t="shared" si="163"/>
        <v>2.3083800000000001</v>
      </c>
      <c r="R133" s="5">
        <f t="shared" si="163"/>
        <v>0.25735999999999998</v>
      </c>
      <c r="S133" s="5">
        <f t="shared" si="164"/>
        <v>2.5646101800000003</v>
      </c>
      <c r="T133" s="5">
        <f t="shared" si="165"/>
        <v>0.15387661080000001</v>
      </c>
      <c r="U133" s="5">
        <f t="shared" si="166"/>
        <v>0.35131646301369868</v>
      </c>
      <c r="V133" s="5">
        <f t="shared" si="159"/>
        <v>6.3199201142279213E-2</v>
      </c>
    </row>
    <row r="134" spans="2:22" x14ac:dyDescent="0.3">
      <c r="B134">
        <v>4</v>
      </c>
      <c r="C134">
        <v>2877.7</v>
      </c>
      <c r="D134">
        <v>21438.1</v>
      </c>
      <c r="E134">
        <v>862.1</v>
      </c>
      <c r="F134">
        <f t="shared" si="156"/>
        <v>2.1438099999999998</v>
      </c>
      <c r="G134">
        <f t="shared" si="157"/>
        <v>0.28776999999999997</v>
      </c>
      <c r="H134">
        <f t="shared" si="158"/>
        <v>1.8560399999999997</v>
      </c>
      <c r="I134">
        <f t="shared" si="160"/>
        <v>8.6210000000000009E-2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3.8278220841209486E-2</v>
      </c>
      <c r="P134" s="4">
        <v>3</v>
      </c>
      <c r="Q134" s="5">
        <f t="shared" si="163"/>
        <v>1.8560399999999997</v>
      </c>
      <c r="R134" s="5">
        <f t="shared" si="163"/>
        <v>8.6210000000000009E-2</v>
      </c>
      <c r="S134" s="5">
        <f t="shared" si="164"/>
        <v>2.0620604399999998</v>
      </c>
      <c r="T134" s="5">
        <f t="shared" si="165"/>
        <v>0.12372362639999998</v>
      </c>
      <c r="U134" s="5">
        <f t="shared" si="166"/>
        <v>0.2824740328767123</v>
      </c>
      <c r="V134" s="5">
        <f t="shared" si="159"/>
        <v>3.8278220841209486E-2</v>
      </c>
    </row>
    <row r="135" spans="2:22" x14ac:dyDescent="0.3">
      <c r="B135">
        <v>5</v>
      </c>
      <c r="C135">
        <v>1551.1</v>
      </c>
      <c r="D135">
        <v>14849.9</v>
      </c>
      <c r="E135">
        <v>711.7</v>
      </c>
      <c r="F135">
        <f t="shared" si="156"/>
        <v>1.48499</v>
      </c>
      <c r="G135">
        <f t="shared" si="157"/>
        <v>0.15511</v>
      </c>
      <c r="H135">
        <f t="shared" si="158"/>
        <v>1.32988</v>
      </c>
      <c r="I135">
        <f t="shared" si="160"/>
        <v>7.1170000000000011E-2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2.7666095006839711E-2</v>
      </c>
      <c r="P135" s="4">
        <v>3</v>
      </c>
      <c r="Q135" s="5">
        <f t="shared" si="163"/>
        <v>1.32988</v>
      </c>
      <c r="R135" s="5">
        <f t="shared" si="163"/>
        <v>7.1170000000000011E-2</v>
      </c>
      <c r="S135" s="5">
        <f t="shared" si="164"/>
        <v>1.47749668</v>
      </c>
      <c r="T135" s="5">
        <f t="shared" si="165"/>
        <v>8.8649800799999998E-2</v>
      </c>
      <c r="U135" s="5">
        <f t="shared" si="166"/>
        <v>0.20239680547945207</v>
      </c>
      <c r="V135" s="5">
        <f t="shared" si="159"/>
        <v>2.7666095006839711E-2</v>
      </c>
    </row>
    <row r="136" spans="2:22" x14ac:dyDescent="0.3">
      <c r="B136">
        <v>6</v>
      </c>
      <c r="C136">
        <v>0</v>
      </c>
      <c r="D136">
        <v>0</v>
      </c>
      <c r="E136">
        <v>0</v>
      </c>
      <c r="F136">
        <f t="shared" si="156"/>
        <v>0</v>
      </c>
      <c r="G136">
        <f t="shared" si="157"/>
        <v>0</v>
      </c>
      <c r="H136">
        <f t="shared" si="158"/>
        <v>0</v>
      </c>
      <c r="I136">
        <f t="shared" si="160"/>
        <v>0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1.9150265217489859E-2</v>
      </c>
      <c r="P136" s="4">
        <v>4</v>
      </c>
      <c r="Q136" s="5">
        <f t="shared" si="163"/>
        <v>0</v>
      </c>
      <c r="R136" s="5">
        <f t="shared" si="163"/>
        <v>0</v>
      </c>
      <c r="S136" s="5">
        <f t="shared" si="164"/>
        <v>0</v>
      </c>
      <c r="T136" s="5">
        <f t="shared" si="165"/>
        <v>0</v>
      </c>
      <c r="U136" s="5">
        <f t="shared" si="166"/>
        <v>0</v>
      </c>
      <c r="V136" s="5">
        <f t="shared" si="159"/>
        <v>1.9150265217489859E-2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1.3844035660042388E-2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1.3844035660042388E-2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1.1609823997033829E-2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1.1609823997033829E-2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9.3566926010779008E-3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9.3566926010779008E-3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6.7004988963650387E-3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6.7004988963650387E-3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4.3210044618169187E-3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4.3210044618169187E-3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-5806.6</v>
      </c>
      <c r="D145">
        <v>17665.5</v>
      </c>
      <c r="E145">
        <v>4119.2</v>
      </c>
      <c r="F145">
        <f t="shared" ref="F145:F155" si="168">D145/10000</f>
        <v>1.7665500000000001</v>
      </c>
      <c r="G145">
        <f t="shared" ref="G145:G155" si="169">C145/10000</f>
        <v>-0.58066000000000006</v>
      </c>
      <c r="H145">
        <f t="shared" ref="H145:H155" si="170">F145-G145</f>
        <v>2.34721</v>
      </c>
      <c r="I145">
        <f>E145/10000</f>
        <v>0.41192000000000001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6.1940375793767696E-2</v>
      </c>
      <c r="P145" s="2">
        <v>3</v>
      </c>
      <c r="Q145" s="8">
        <f>H145</f>
        <v>2.34721</v>
      </c>
      <c r="R145" s="8">
        <f>I145</f>
        <v>0.41192000000000001</v>
      </c>
      <c r="S145" s="8">
        <f>Q145/10^6*$Z$4*$Z$3/P145*10^12</f>
        <v>2.6077503100000001</v>
      </c>
      <c r="T145" s="8">
        <f>S145*0.06</f>
        <v>0.15646501860000001</v>
      </c>
      <c r="U145" s="8">
        <f>S145/$Z$1</f>
        <v>0.35722606986301375</v>
      </c>
      <c r="V145" s="12">
        <f t="shared" ref="V145:V155" si="171">O145</f>
        <v>6.1940375793767696E-2</v>
      </c>
    </row>
    <row r="146" spans="2:22" x14ac:dyDescent="0.3">
      <c r="B146">
        <v>2</v>
      </c>
      <c r="C146">
        <v>-407.2</v>
      </c>
      <c r="D146">
        <v>18303.400000000001</v>
      </c>
      <c r="E146">
        <v>4154.6000000000004</v>
      </c>
      <c r="F146">
        <f t="shared" si="168"/>
        <v>1.8303400000000001</v>
      </c>
      <c r="G146">
        <f t="shared" si="169"/>
        <v>-4.0719999999999999E-2</v>
      </c>
      <c r="H146">
        <f t="shared" si="170"/>
        <v>1.8710600000000002</v>
      </c>
      <c r="I146">
        <f t="shared" ref="I146:I155" si="172">E146/10000</f>
        <v>0.41546000000000005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5.4943486815579569E-2</v>
      </c>
      <c r="P146" s="4">
        <v>3</v>
      </c>
      <c r="Q146" s="5">
        <f t="shared" ref="Q146:R155" si="175">H146</f>
        <v>1.8710600000000002</v>
      </c>
      <c r="R146" s="5">
        <f t="shared" si="175"/>
        <v>0.41546000000000005</v>
      </c>
      <c r="S146" s="5">
        <f t="shared" ref="S146:S155" si="176">Q146/10^6*$Z$4*$Z$3/P146*10^12</f>
        <v>2.0787476600000003</v>
      </c>
      <c r="T146" s="5">
        <f t="shared" ref="T146:T155" si="177">S146*0.06</f>
        <v>0.12472485960000002</v>
      </c>
      <c r="U146" s="5">
        <f t="shared" ref="U146:U155" si="178">S146/$Z$1</f>
        <v>0.2847599534246576</v>
      </c>
      <c r="V146" s="5">
        <f t="shared" si="171"/>
        <v>5.4943486815579569E-2</v>
      </c>
    </row>
    <row r="147" spans="2:22" x14ac:dyDescent="0.3">
      <c r="B147">
        <v>3</v>
      </c>
      <c r="C147">
        <v>-149.4</v>
      </c>
      <c r="D147">
        <v>18537.599999999999</v>
      </c>
      <c r="E147">
        <v>2883.2</v>
      </c>
      <c r="F147">
        <f t="shared" si="168"/>
        <v>1.8537599999999999</v>
      </c>
      <c r="G147">
        <f t="shared" si="169"/>
        <v>-1.494E-2</v>
      </c>
      <c r="H147">
        <f t="shared" si="170"/>
        <v>1.8686999999999998</v>
      </c>
      <c r="I147">
        <f t="shared" si="172"/>
        <v>0.28831999999999997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4.7399400856709413E-2</v>
      </c>
      <c r="P147" s="4">
        <v>3</v>
      </c>
      <c r="Q147" s="5">
        <f t="shared" si="175"/>
        <v>1.8686999999999998</v>
      </c>
      <c r="R147" s="5">
        <f t="shared" si="175"/>
        <v>0.28831999999999997</v>
      </c>
      <c r="S147" s="5">
        <f t="shared" si="176"/>
        <v>2.0761257</v>
      </c>
      <c r="T147" s="5">
        <f t="shared" si="177"/>
        <v>0.12456754199999999</v>
      </c>
      <c r="U147" s="5">
        <f t="shared" si="178"/>
        <v>0.28440078082191783</v>
      </c>
      <c r="V147" s="5">
        <f t="shared" si="171"/>
        <v>4.7399400856709413E-2</v>
      </c>
    </row>
    <row r="148" spans="2:22" x14ac:dyDescent="0.3">
      <c r="B148">
        <v>4</v>
      </c>
      <c r="C148">
        <v>1757.5</v>
      </c>
      <c r="D148">
        <v>17523.099999999999</v>
      </c>
      <c r="E148">
        <v>963.6</v>
      </c>
      <c r="F148">
        <f t="shared" si="168"/>
        <v>1.7523099999999998</v>
      </c>
      <c r="G148">
        <f t="shared" si="169"/>
        <v>0.17574999999999999</v>
      </c>
      <c r="H148">
        <f t="shared" si="170"/>
        <v>1.5765599999999997</v>
      </c>
      <c r="I148">
        <f t="shared" si="172"/>
        <v>9.6360000000000001E-2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2.8708665630907116E-2</v>
      </c>
      <c r="P148" s="4">
        <v>3</v>
      </c>
      <c r="Q148" s="5">
        <f t="shared" si="175"/>
        <v>1.5765599999999997</v>
      </c>
      <c r="R148" s="5">
        <f t="shared" si="175"/>
        <v>9.6360000000000001E-2</v>
      </c>
      <c r="S148" s="5">
        <f t="shared" si="176"/>
        <v>1.7515581599999999</v>
      </c>
      <c r="T148" s="5">
        <f t="shared" si="177"/>
        <v>0.10509348959999999</v>
      </c>
      <c r="U148" s="5">
        <f t="shared" si="178"/>
        <v>0.23993947397260273</v>
      </c>
      <c r="V148" s="5">
        <f t="shared" si="171"/>
        <v>2.8708665630907116E-2</v>
      </c>
    </row>
    <row r="149" spans="2:22" x14ac:dyDescent="0.3">
      <c r="B149">
        <v>5</v>
      </c>
      <c r="C149">
        <v>-87</v>
      </c>
      <c r="D149">
        <v>12278.5</v>
      </c>
      <c r="E149">
        <v>1330.7</v>
      </c>
      <c r="F149">
        <f t="shared" si="168"/>
        <v>1.2278500000000001</v>
      </c>
      <c r="G149">
        <f t="shared" si="169"/>
        <v>-8.6999999999999994E-3</v>
      </c>
      <c r="H149">
        <f t="shared" si="170"/>
        <v>1.23655</v>
      </c>
      <c r="I149">
        <f t="shared" si="172"/>
        <v>0.13306999999999999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2.0749571255129783E-2</v>
      </c>
      <c r="P149" s="4">
        <v>3</v>
      </c>
      <c r="Q149" s="5">
        <f t="shared" si="175"/>
        <v>1.23655</v>
      </c>
      <c r="R149" s="5">
        <f t="shared" si="175"/>
        <v>0.13306999999999999</v>
      </c>
      <c r="S149" s="5">
        <f t="shared" si="176"/>
        <v>1.3738070500000004</v>
      </c>
      <c r="T149" s="5">
        <f t="shared" si="177"/>
        <v>8.2428423000000015E-2</v>
      </c>
      <c r="U149" s="5">
        <f t="shared" si="178"/>
        <v>0.18819274657534252</v>
      </c>
      <c r="V149" s="5">
        <f t="shared" si="171"/>
        <v>2.0749571255129783E-2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1.4362698913117394E-2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1.4362698913117394E-2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1.0383026745031792E-2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1.0383026745031792E-2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8.7073679977753716E-3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8.7073679977753716E-3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7.0175194508084252E-3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7.0175194508084252E-3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5.0253741722737794E-3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5.0253741722737794E-3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3.2407533463626888E-3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3.2407533463626888E-3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-4282.1000000000004</v>
      </c>
      <c r="D159">
        <v>16798.099999999999</v>
      </c>
      <c r="E159">
        <v>4612.8999999999996</v>
      </c>
      <c r="F159">
        <f t="shared" ref="F159:F169" si="180">D159/10000</f>
        <v>1.6798099999999998</v>
      </c>
      <c r="G159">
        <f t="shared" ref="G159:G169" si="181">C159/10000</f>
        <v>-0.42821000000000004</v>
      </c>
      <c r="H159">
        <f t="shared" ref="H159:H169" si="182">F159-G159</f>
        <v>2.1080199999999998</v>
      </c>
      <c r="I159">
        <f>E159/10000</f>
        <v>0.46128999999999998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4.955230063501416E-2</v>
      </c>
      <c r="P159" s="2">
        <v>3</v>
      </c>
      <c r="Q159" s="8">
        <f>H159</f>
        <v>2.1080199999999998</v>
      </c>
      <c r="R159" s="8">
        <f>I159</f>
        <v>0.46128999999999998</v>
      </c>
      <c r="S159" s="8">
        <f>Q159/10^6*$Z$4*$Z$3/P159*10^12</f>
        <v>2.3420102199999997</v>
      </c>
      <c r="T159" s="8">
        <f>S159*0.06</f>
        <v>0.14052061319999998</v>
      </c>
      <c r="U159" s="8">
        <f>S159/$Z$1</f>
        <v>0.32082331780821916</v>
      </c>
      <c r="V159" s="12">
        <f t="shared" ref="V159:V169" si="183">O159</f>
        <v>4.955230063501416E-2</v>
      </c>
    </row>
    <row r="160" spans="2:22" x14ac:dyDescent="0.3">
      <c r="B160">
        <v>2</v>
      </c>
      <c r="C160">
        <v>-1791.4</v>
      </c>
      <c r="D160">
        <v>15568</v>
      </c>
      <c r="E160">
        <v>3879</v>
      </c>
      <c r="F160">
        <f t="shared" si="180"/>
        <v>1.5568</v>
      </c>
      <c r="G160">
        <f t="shared" si="181"/>
        <v>-0.17914000000000002</v>
      </c>
      <c r="H160">
        <f t="shared" si="182"/>
        <v>1.73594</v>
      </c>
      <c r="I160">
        <f t="shared" ref="I160:I169" si="184">E160/10000</f>
        <v>0.38790000000000002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4.3954789452463651E-2</v>
      </c>
      <c r="P160" s="4">
        <v>3</v>
      </c>
      <c r="Q160" s="5">
        <f t="shared" ref="Q160:R169" si="187">H160</f>
        <v>1.73594</v>
      </c>
      <c r="R160" s="5">
        <f t="shared" si="187"/>
        <v>0.38790000000000002</v>
      </c>
      <c r="S160" s="5">
        <f t="shared" ref="S160:S169" si="188">Q160/10^6*$Z$4*$Z$3/P160*10^12</f>
        <v>1.9286293400000001</v>
      </c>
      <c r="T160" s="5">
        <f t="shared" ref="T160:T169" si="189">S160*0.06</f>
        <v>0.11571776039999999</v>
      </c>
      <c r="U160" s="5">
        <f t="shared" ref="U160:U169" si="190">S160/$Z$1</f>
        <v>0.26419580000000004</v>
      </c>
      <c r="V160" s="5">
        <f t="shared" si="183"/>
        <v>4.3954789452463651E-2</v>
      </c>
    </row>
    <row r="161" spans="2:22" x14ac:dyDescent="0.3">
      <c r="B161">
        <v>3</v>
      </c>
      <c r="C161">
        <v>-2067.6</v>
      </c>
      <c r="D161">
        <v>15359.4</v>
      </c>
      <c r="E161">
        <v>2660.8</v>
      </c>
      <c r="F161">
        <f t="shared" si="180"/>
        <v>1.5359399999999999</v>
      </c>
      <c r="G161">
        <f t="shared" si="181"/>
        <v>-0.20676</v>
      </c>
      <c r="H161">
        <f t="shared" si="182"/>
        <v>1.7426999999999999</v>
      </c>
      <c r="I161">
        <f t="shared" si="184"/>
        <v>0.26608000000000004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3.7919520685367532E-2</v>
      </c>
      <c r="P161" s="4">
        <v>3</v>
      </c>
      <c r="Q161" s="5">
        <f t="shared" si="187"/>
        <v>1.7426999999999999</v>
      </c>
      <c r="R161" s="5">
        <f t="shared" si="187"/>
        <v>0.26608000000000004</v>
      </c>
      <c r="S161" s="5">
        <f t="shared" si="188"/>
        <v>1.9361396999999998</v>
      </c>
      <c r="T161" s="5">
        <f t="shared" si="189"/>
        <v>0.11616838199999999</v>
      </c>
      <c r="U161" s="5">
        <f t="shared" si="190"/>
        <v>0.26522461643835615</v>
      </c>
      <c r="V161" s="5">
        <f t="shared" si="183"/>
        <v>3.7919520685367532E-2</v>
      </c>
    </row>
    <row r="162" spans="2:22" x14ac:dyDescent="0.3">
      <c r="B162">
        <v>4</v>
      </c>
      <c r="C162">
        <v>1517.5</v>
      </c>
      <c r="D162">
        <v>12998.6</v>
      </c>
      <c r="E162">
        <v>1063.7</v>
      </c>
      <c r="F162">
        <f t="shared" si="180"/>
        <v>1.29986</v>
      </c>
      <c r="G162">
        <f t="shared" si="181"/>
        <v>0.15175</v>
      </c>
      <c r="H162">
        <f t="shared" si="182"/>
        <v>1.14811</v>
      </c>
      <c r="I162">
        <f t="shared" si="184"/>
        <v>0.10637000000000001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2.2966932504725691E-2</v>
      </c>
      <c r="P162" s="4">
        <v>3</v>
      </c>
      <c r="Q162" s="5">
        <f t="shared" si="187"/>
        <v>1.14811</v>
      </c>
      <c r="R162" s="5">
        <f t="shared" si="187"/>
        <v>0.10637000000000001</v>
      </c>
      <c r="S162" s="5">
        <f t="shared" si="188"/>
        <v>1.27555021</v>
      </c>
      <c r="T162" s="5">
        <f t="shared" si="189"/>
        <v>7.6533012599999992E-2</v>
      </c>
      <c r="U162" s="5">
        <f t="shared" si="190"/>
        <v>0.17473290547945206</v>
      </c>
      <c r="V162" s="5">
        <f t="shared" si="183"/>
        <v>2.2966932504725691E-2</v>
      </c>
    </row>
    <row r="163" spans="2:22" x14ac:dyDescent="0.3">
      <c r="B163">
        <v>5</v>
      </c>
      <c r="C163">
        <v>0</v>
      </c>
      <c r="D163">
        <v>0</v>
      </c>
      <c r="E163">
        <v>0</v>
      </c>
      <c r="F163">
        <f t="shared" si="180"/>
        <v>0</v>
      </c>
      <c r="G163">
        <f t="shared" si="181"/>
        <v>0</v>
      </c>
      <c r="H163">
        <f t="shared" si="182"/>
        <v>0</v>
      </c>
      <c r="I163">
        <f t="shared" si="184"/>
        <v>0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1.6599657004103829E-2</v>
      </c>
      <c r="P163" s="4">
        <v>3</v>
      </c>
      <c r="Q163" s="5">
        <f t="shared" si="187"/>
        <v>0</v>
      </c>
      <c r="R163" s="5">
        <f t="shared" si="187"/>
        <v>0</v>
      </c>
      <c r="S163" s="5">
        <f t="shared" si="188"/>
        <v>0</v>
      </c>
      <c r="T163" s="5">
        <f t="shared" si="189"/>
        <v>0</v>
      </c>
      <c r="U163" s="5">
        <f t="shared" si="190"/>
        <v>0</v>
      </c>
      <c r="V163" s="5">
        <f t="shared" si="183"/>
        <v>1.6599657004103829E-2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1.1490159130493916E-2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1.1490159130493916E-2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8.3064213960254325E-3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8.3064213960254325E-3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6.9658943982202973E-3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6.9658943982202973E-3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5.6140155606467399E-3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5.6140155606467399E-3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4.0202993378190234E-3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4.0202993378190234E-3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2.5926026770901511E-3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2.5926026770901511E-3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Q170"/>
  <sheetViews>
    <sheetView zoomScaleNormal="100"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120.8</v>
      </c>
      <c r="D5">
        <v>75494.2</v>
      </c>
      <c r="E5">
        <v>2652.8</v>
      </c>
      <c r="F5">
        <f t="shared" ref="F5:F15" si="0">D5/10000</f>
        <v>7.5494199999999996</v>
      </c>
      <c r="G5">
        <f t="shared" ref="G5:G15" si="1">C5/10000</f>
        <v>1.208E-2</v>
      </c>
      <c r="H5">
        <f t="shared" ref="H5:H15" si="2">F5-G5</f>
        <v>7.5373399999999995</v>
      </c>
      <c r="I5">
        <f>E5/10000</f>
        <v>0.26528000000000002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0.55058111816682398</v>
      </c>
      <c r="P5" s="2">
        <v>3</v>
      </c>
      <c r="Q5" s="8">
        <f>H5</f>
        <v>7.5373399999999995</v>
      </c>
      <c r="R5" s="8">
        <f>I5</f>
        <v>0.26528000000000002</v>
      </c>
      <c r="S5" s="8">
        <f>Q5/10^6*$Z$4*$Z$3/P5*10^12</f>
        <v>8.3739847399999991</v>
      </c>
      <c r="T5" s="8">
        <f>S5*0.06</f>
        <v>0.50243908439999996</v>
      </c>
      <c r="U5" s="8">
        <f>S5/$Z$1</f>
        <v>1.147121197260274</v>
      </c>
      <c r="V5" s="12">
        <f t="shared" ref="V5:V15" si="4">O5</f>
        <v>0.55058111816682398</v>
      </c>
    </row>
    <row r="6" spans="2:95" x14ac:dyDescent="0.3">
      <c r="B6">
        <v>2</v>
      </c>
      <c r="C6">
        <v>9925.7000000000007</v>
      </c>
      <c r="D6">
        <v>76369.100000000006</v>
      </c>
      <c r="E6">
        <v>2943.5</v>
      </c>
      <c r="F6">
        <f t="shared" si="0"/>
        <v>7.6369100000000003</v>
      </c>
      <c r="G6">
        <f t="shared" si="1"/>
        <v>0.99257000000000006</v>
      </c>
      <c r="H6">
        <f t="shared" si="2"/>
        <v>6.6443400000000006</v>
      </c>
      <c r="I6">
        <f t="shared" ref="I6:I15" si="5">E6/10000</f>
        <v>0.29435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0.48838654947181837</v>
      </c>
      <c r="P6" s="4">
        <v>3</v>
      </c>
      <c r="Q6" s="5">
        <f t="shared" ref="Q6:R15" si="7">H6</f>
        <v>6.6443400000000006</v>
      </c>
      <c r="R6" s="5">
        <f t="shared" si="7"/>
        <v>0.29435</v>
      </c>
      <c r="S6" s="5">
        <f t="shared" ref="S6:S15" si="8">Q6/10^6*$Z$4*$Z$3/P6*10^12</f>
        <v>7.3818617400000006</v>
      </c>
      <c r="T6" s="5">
        <f t="shared" ref="T6:T15" si="9">S6*0.06</f>
        <v>0.44291170439999999</v>
      </c>
      <c r="U6" s="5">
        <f t="shared" ref="U6:U15" si="10">S6/$Z$1</f>
        <v>1.0112139369863016</v>
      </c>
      <c r="V6" s="5">
        <f t="shared" si="4"/>
        <v>0.48838654947181837</v>
      </c>
    </row>
    <row r="7" spans="2:95" x14ac:dyDescent="0.3">
      <c r="B7">
        <v>3</v>
      </c>
      <c r="C7">
        <v>8893.5</v>
      </c>
      <c r="D7">
        <v>65685.600000000006</v>
      </c>
      <c r="E7">
        <v>1955.1</v>
      </c>
      <c r="F7">
        <f t="shared" si="0"/>
        <v>6.5685600000000006</v>
      </c>
      <c r="G7">
        <f t="shared" si="1"/>
        <v>0.88934999999999997</v>
      </c>
      <c r="H7">
        <f t="shared" si="2"/>
        <v>5.6792100000000003</v>
      </c>
      <c r="I7">
        <f t="shared" si="5"/>
        <v>0.19550999999999999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0.42132800761519479</v>
      </c>
      <c r="P7" s="4">
        <v>3</v>
      </c>
      <c r="Q7" s="5">
        <f t="shared" si="7"/>
        <v>5.6792100000000003</v>
      </c>
      <c r="R7" s="5">
        <f t="shared" si="7"/>
        <v>0.19550999999999999</v>
      </c>
      <c r="S7" s="5">
        <f t="shared" si="8"/>
        <v>6.3096023100000007</v>
      </c>
      <c r="T7" s="5">
        <f t="shared" si="9"/>
        <v>0.37857613860000006</v>
      </c>
      <c r="U7" s="5">
        <f t="shared" si="10"/>
        <v>0.86432908356164395</v>
      </c>
      <c r="V7" s="5">
        <f t="shared" si="4"/>
        <v>0.42132800761519479</v>
      </c>
      <c r="Y7" t="s">
        <v>41</v>
      </c>
      <c r="Z7">
        <v>9</v>
      </c>
    </row>
    <row r="8" spans="2:95" x14ac:dyDescent="0.3">
      <c r="B8">
        <v>4</v>
      </c>
      <c r="C8">
        <v>7900.7</v>
      </c>
      <c r="D8">
        <v>73046.600000000006</v>
      </c>
      <c r="E8">
        <v>1559.5</v>
      </c>
      <c r="F8">
        <f t="shared" si="0"/>
        <v>7.3046600000000002</v>
      </c>
      <c r="G8">
        <f t="shared" si="1"/>
        <v>0.79006999999999994</v>
      </c>
      <c r="H8">
        <f t="shared" si="2"/>
        <v>6.5145900000000001</v>
      </c>
      <c r="I8">
        <f t="shared" si="5"/>
        <v>0.15595000000000001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0.25518813894139658</v>
      </c>
      <c r="P8" s="4">
        <v>3</v>
      </c>
      <c r="Q8" s="5">
        <f t="shared" si="7"/>
        <v>6.5145900000000001</v>
      </c>
      <c r="R8" s="5">
        <f t="shared" si="7"/>
        <v>0.15595000000000001</v>
      </c>
      <c r="S8" s="5">
        <f t="shared" si="8"/>
        <v>7.2377094900000012</v>
      </c>
      <c r="T8" s="5">
        <f t="shared" si="9"/>
        <v>0.43426256940000008</v>
      </c>
      <c r="U8" s="5">
        <f t="shared" si="10"/>
        <v>0.99146705342465768</v>
      </c>
      <c r="V8" s="5">
        <f t="shared" si="4"/>
        <v>0.25518813894139658</v>
      </c>
    </row>
    <row r="9" spans="2:95" x14ac:dyDescent="0.3">
      <c r="B9">
        <v>5</v>
      </c>
      <c r="C9">
        <v>3998.5</v>
      </c>
      <c r="D9">
        <v>69050</v>
      </c>
      <c r="E9">
        <v>1497</v>
      </c>
      <c r="F9">
        <f t="shared" si="0"/>
        <v>6.9050000000000002</v>
      </c>
      <c r="G9">
        <f t="shared" si="1"/>
        <v>0.39984999999999998</v>
      </c>
      <c r="H9">
        <f t="shared" si="2"/>
        <v>6.5051500000000004</v>
      </c>
      <c r="I9">
        <f t="shared" si="5"/>
        <v>0.1497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0.18444063337893141</v>
      </c>
      <c r="P9" s="4">
        <v>3</v>
      </c>
      <c r="Q9" s="5">
        <f t="shared" si="7"/>
        <v>6.5051500000000004</v>
      </c>
      <c r="R9" s="5">
        <f t="shared" si="7"/>
        <v>0.1497</v>
      </c>
      <c r="S9" s="5">
        <f t="shared" si="8"/>
        <v>7.2272216500000006</v>
      </c>
      <c r="T9" s="5">
        <f t="shared" si="9"/>
        <v>0.43363329900000003</v>
      </c>
      <c r="U9" s="5">
        <f t="shared" si="10"/>
        <v>0.99003036301369873</v>
      </c>
      <c r="V9" s="5">
        <f t="shared" si="4"/>
        <v>0.18444063337893141</v>
      </c>
    </row>
    <row r="10" spans="2:95" ht="15" thickBot="1" x14ac:dyDescent="0.35">
      <c r="B10">
        <v>6</v>
      </c>
      <c r="C10">
        <v>3418.9</v>
      </c>
      <c r="D10">
        <v>65702.899999999994</v>
      </c>
      <c r="E10">
        <v>1176.3</v>
      </c>
      <c r="F10">
        <f t="shared" si="0"/>
        <v>6.5702899999999991</v>
      </c>
      <c r="G10">
        <f t="shared" si="1"/>
        <v>0.34189000000000003</v>
      </c>
      <c r="H10">
        <f t="shared" si="2"/>
        <v>6.2283999999999988</v>
      </c>
      <c r="I10">
        <f t="shared" si="5"/>
        <v>0.11763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0.12766843478326573</v>
      </c>
      <c r="P10" s="4">
        <v>4</v>
      </c>
      <c r="Q10" s="5">
        <f t="shared" si="7"/>
        <v>6.2283999999999988</v>
      </c>
      <c r="R10" s="5">
        <f t="shared" si="7"/>
        <v>0.11763</v>
      </c>
      <c r="S10" s="5">
        <f t="shared" si="8"/>
        <v>5.1898142999999992</v>
      </c>
      <c r="T10" s="5">
        <f t="shared" si="9"/>
        <v>0.31138885799999994</v>
      </c>
      <c r="U10" s="5">
        <f t="shared" si="10"/>
        <v>0.71093346575342453</v>
      </c>
      <c r="V10" s="5">
        <f t="shared" si="4"/>
        <v>0.12766843478326573</v>
      </c>
    </row>
    <row r="11" spans="2:95" ht="15.6" thickTop="1" thickBot="1" x14ac:dyDescent="0.35">
      <c r="B11">
        <v>7</v>
      </c>
      <c r="C11">
        <v>9079.2000000000007</v>
      </c>
      <c r="D11">
        <v>33693.9</v>
      </c>
      <c r="E11">
        <v>1768.6</v>
      </c>
      <c r="F11">
        <f t="shared" si="0"/>
        <v>3.3693900000000001</v>
      </c>
      <c r="G11">
        <f t="shared" si="1"/>
        <v>0.90792000000000006</v>
      </c>
      <c r="H11">
        <f t="shared" si="2"/>
        <v>2.4614700000000003</v>
      </c>
      <c r="I11">
        <f t="shared" si="5"/>
        <v>0.17685999999999999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9.2293571066949256E-2</v>
      </c>
      <c r="P11" s="4">
        <v>4</v>
      </c>
      <c r="Q11" s="5">
        <f t="shared" si="7"/>
        <v>2.4614700000000003</v>
      </c>
      <c r="R11" s="5">
        <f t="shared" si="7"/>
        <v>0.17685999999999999</v>
      </c>
      <c r="S11" s="5">
        <f t="shared" si="8"/>
        <v>2.0510198774999999</v>
      </c>
      <c r="T11" s="5">
        <f t="shared" si="9"/>
        <v>0.12306119264999998</v>
      </c>
      <c r="U11" s="5">
        <f t="shared" si="10"/>
        <v>0.28096162705479449</v>
      </c>
      <c r="V11" s="5">
        <f t="shared" si="4"/>
        <v>9.2293571066949256E-2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5138.8</v>
      </c>
      <c r="D12">
        <v>27506.7</v>
      </c>
      <c r="E12">
        <v>2280.1999999999998</v>
      </c>
      <c r="F12">
        <f t="shared" si="0"/>
        <v>2.7506699999999999</v>
      </c>
      <c r="G12">
        <f t="shared" si="1"/>
        <v>0.51388</v>
      </c>
      <c r="H12">
        <f t="shared" si="2"/>
        <v>2.2367900000000001</v>
      </c>
      <c r="I12">
        <f t="shared" si="5"/>
        <v>0.22801999999999997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7.7398826646892183E-2</v>
      </c>
      <c r="P12" s="4">
        <v>5</v>
      </c>
      <c r="Q12" s="5">
        <f t="shared" si="7"/>
        <v>2.2367900000000001</v>
      </c>
      <c r="R12" s="5">
        <f t="shared" si="7"/>
        <v>0.22801999999999997</v>
      </c>
      <c r="S12" s="5">
        <f t="shared" si="8"/>
        <v>1.4910442140000002</v>
      </c>
      <c r="T12" s="5">
        <f t="shared" si="9"/>
        <v>8.9462652840000004E-2</v>
      </c>
      <c r="U12" s="5">
        <f t="shared" si="10"/>
        <v>0.20425263205479455</v>
      </c>
      <c r="V12" s="5">
        <f t="shared" si="4"/>
        <v>7.7398826646892183E-2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6501.6</v>
      </c>
      <c r="D13">
        <v>16297.2</v>
      </c>
      <c r="E13">
        <v>3011.8</v>
      </c>
      <c r="F13">
        <f t="shared" si="0"/>
        <v>1.6297200000000001</v>
      </c>
      <c r="G13">
        <f t="shared" si="1"/>
        <v>0.65016000000000007</v>
      </c>
      <c r="H13">
        <f t="shared" si="2"/>
        <v>0.97955999999999999</v>
      </c>
      <c r="I13">
        <f t="shared" si="5"/>
        <v>0.30118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6.237795067385267E-2</v>
      </c>
      <c r="P13" s="4">
        <v>8</v>
      </c>
      <c r="Q13" s="5">
        <f t="shared" si="7"/>
        <v>0.97955999999999999</v>
      </c>
      <c r="R13" s="5">
        <f t="shared" si="7"/>
        <v>0.30118</v>
      </c>
      <c r="S13" s="5">
        <f t="shared" si="8"/>
        <v>0.40810918500000004</v>
      </c>
      <c r="T13" s="5">
        <f t="shared" si="9"/>
        <v>2.44865511E-2</v>
      </c>
      <c r="U13" s="5">
        <f t="shared" si="10"/>
        <v>5.5905367808219184E-2</v>
      </c>
      <c r="V13" s="5">
        <f t="shared" si="4"/>
        <v>6.237795067385267E-2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0</v>
      </c>
      <c r="D14">
        <v>0</v>
      </c>
      <c r="E14">
        <v>0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5"/>
        <v>0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4.4669992642433591E-2</v>
      </c>
      <c r="P14" s="4">
        <v>14</v>
      </c>
      <c r="Q14" s="5">
        <f t="shared" si="7"/>
        <v>0</v>
      </c>
      <c r="R14" s="5">
        <f t="shared" si="7"/>
        <v>0</v>
      </c>
      <c r="S14" s="5">
        <f t="shared" si="8"/>
        <v>0</v>
      </c>
      <c r="T14" s="5">
        <f t="shared" si="9"/>
        <v>0</v>
      </c>
      <c r="U14" s="5">
        <f t="shared" si="10"/>
        <v>0</v>
      </c>
      <c r="V14" s="5">
        <f t="shared" si="4"/>
        <v>4.4669992642433591E-2</v>
      </c>
      <c r="X14" s="31">
        <f t="shared" ref="X14:X22" si="12">O5</f>
        <v>0.55058111816682398</v>
      </c>
      <c r="Y14" s="32">
        <f t="shared" ref="Y14:AA22" si="13">S5</f>
        <v>8.3739847399999991</v>
      </c>
      <c r="Z14" s="32">
        <f t="shared" si="13"/>
        <v>0.50243908439999996</v>
      </c>
      <c r="AA14" s="32">
        <f t="shared" si="13"/>
        <v>1.147121197260274</v>
      </c>
      <c r="AB14" s="41">
        <f>I5/H5</f>
        <v>3.5195440301220328E-2</v>
      </c>
      <c r="AC14" s="33">
        <f t="shared" ref="AC14:AC22" si="14">R5</f>
        <v>0.26528000000000002</v>
      </c>
      <c r="AD14" s="31">
        <f t="shared" ref="AD14:AD20" si="15">O19</f>
        <v>0.36705407877788265</v>
      </c>
      <c r="AE14" s="32">
        <f t="shared" ref="AE14:AG20" si="16">S19</f>
        <v>5.0142985199999996</v>
      </c>
      <c r="AF14" s="32">
        <f t="shared" si="16"/>
        <v>0.30085791119999999</v>
      </c>
      <c r="AG14" s="32">
        <f t="shared" si="16"/>
        <v>0.68689020821917801</v>
      </c>
      <c r="AH14" s="41">
        <f>I19/H19</f>
        <v>5.601198231013977E-2</v>
      </c>
      <c r="AI14" s="33">
        <f>R19</f>
        <v>0.25280000000000002</v>
      </c>
      <c r="AJ14" s="31">
        <f t="shared" ref="AJ14:AJ19" si="17">O33</f>
        <v>0.27529055908341199</v>
      </c>
      <c r="AK14" s="32">
        <f t="shared" ref="AK14:AM19" si="18">S33</f>
        <v>4.1643835200000003</v>
      </c>
      <c r="AL14" s="32">
        <f t="shared" si="18"/>
        <v>0.24986301120000001</v>
      </c>
      <c r="AM14" s="32">
        <f t="shared" si="18"/>
        <v>0.57046349589041101</v>
      </c>
      <c r="AN14" s="41">
        <f>I33/H33</f>
        <v>8.162323387544286E-2</v>
      </c>
      <c r="AO14" s="33">
        <f>R33</f>
        <v>0.30595</v>
      </c>
      <c r="AP14" s="31">
        <f t="shared" ref="AP14:AP19" si="19">O47</f>
        <v>0.22023244726672958</v>
      </c>
      <c r="AQ14" s="32">
        <f t="shared" ref="AQ14:AS19" si="20">S47</f>
        <v>3.9970113700000005</v>
      </c>
      <c r="AR14" s="32">
        <f t="shared" si="20"/>
        <v>0.23982068220000002</v>
      </c>
      <c r="AS14" s="32">
        <f t="shared" si="20"/>
        <v>0.54753580410958913</v>
      </c>
      <c r="AT14" s="41">
        <f>I47/H47</f>
        <v>7.2694271570210731E-2</v>
      </c>
      <c r="AU14" s="33">
        <f>R47</f>
        <v>0.26153000000000004</v>
      </c>
      <c r="AV14" s="31">
        <f t="shared" ref="AV14:AV18" si="21">O61</f>
        <v>0.18352703938894133</v>
      </c>
      <c r="AW14" s="32">
        <f t="shared" ref="AW14:AY18" si="22">S61</f>
        <v>3.5031496499999997</v>
      </c>
      <c r="AX14" s="32">
        <f t="shared" si="22"/>
        <v>0.21018897899999997</v>
      </c>
      <c r="AY14" s="32">
        <f t="shared" si="22"/>
        <v>0.47988351369863008</v>
      </c>
      <c r="AZ14" s="41">
        <f>I61/H61</f>
        <v>8.5127570841856556E-2</v>
      </c>
      <c r="BA14" s="33">
        <f>R61</f>
        <v>0.26841999999999999</v>
      </c>
      <c r="BB14" s="31">
        <f t="shared" ref="BB14:BB18" si="23">O75</f>
        <v>0.15730889090480685</v>
      </c>
      <c r="BC14" s="32">
        <f t="shared" ref="BC14:BE18" si="24">S75</f>
        <v>2.8323722899999995</v>
      </c>
      <c r="BD14" s="32">
        <f t="shared" si="24"/>
        <v>0.16994233739999995</v>
      </c>
      <c r="BE14" s="32">
        <f t="shared" si="24"/>
        <v>0.38799620410958896</v>
      </c>
      <c r="BF14" s="41">
        <f>I75/H75</f>
        <v>0.10698637713335347</v>
      </c>
      <c r="BG14" s="33">
        <f>R75</f>
        <v>0.27274999999999999</v>
      </c>
      <c r="BH14" s="31">
        <f t="shared" ref="BH14:BH18" si="25">O89</f>
        <v>0.13764527954170599</v>
      </c>
      <c r="BI14" s="32">
        <f t="shared" ref="BI14:BK18" si="26">S89</f>
        <v>2.41660276</v>
      </c>
      <c r="BJ14" s="32">
        <f t="shared" si="26"/>
        <v>0.1449961656</v>
      </c>
      <c r="BK14" s="32">
        <f t="shared" si="26"/>
        <v>0.33104147397260275</v>
      </c>
      <c r="BL14" s="41">
        <f>I89/H89</f>
        <v>0.12554478750988435</v>
      </c>
      <c r="BM14" s="33">
        <f>R89</f>
        <v>0.27308000000000004</v>
      </c>
      <c r="BN14" s="31">
        <f t="shared" ref="BN14:BN18" si="27">O103</f>
        <v>0.12235135959262755</v>
      </c>
      <c r="BO14" s="32">
        <f t="shared" ref="BO14:BQ18" si="28">S103</f>
        <v>2.8125631600000003</v>
      </c>
      <c r="BP14" s="32">
        <f t="shared" si="28"/>
        <v>0.16875378960000001</v>
      </c>
      <c r="BQ14" s="32">
        <f t="shared" si="28"/>
        <v>0.38528262465753427</v>
      </c>
      <c r="BR14" s="41">
        <f>I103/H103</f>
        <v>0.11129106163788337</v>
      </c>
      <c r="BS14" s="33">
        <f>R103</f>
        <v>0.28173999999999999</v>
      </c>
      <c r="BT14" s="31">
        <f t="shared" ref="BT14:BT17" si="29">O117</f>
        <v>0.11011622363336479</v>
      </c>
      <c r="BU14" s="32">
        <f t="shared" ref="BU14:BW17" si="30">S117</f>
        <v>2.09824571</v>
      </c>
      <c r="BV14" s="32">
        <f t="shared" si="30"/>
        <v>0.1258947426</v>
      </c>
      <c r="BW14" s="32">
        <f t="shared" si="30"/>
        <v>0.28743091917808222</v>
      </c>
      <c r="BX14" s="41">
        <f>I117/H117</f>
        <v>0.14896670037752635</v>
      </c>
      <c r="BY14" s="33">
        <f>R117</f>
        <v>0.28134000000000003</v>
      </c>
      <c r="BZ14" s="31">
        <f t="shared" ref="BZ14:BZ18" si="31">O131</f>
        <v>7.3410815755576536E-2</v>
      </c>
      <c r="CA14" s="32">
        <f t="shared" ref="CA14:CC18" si="32">S131</f>
        <v>2.94700527</v>
      </c>
      <c r="CB14" s="32">
        <f t="shared" si="32"/>
        <v>0.17682031619999999</v>
      </c>
      <c r="CC14" s="32">
        <f t="shared" si="32"/>
        <v>0.40369935205479451</v>
      </c>
      <c r="CD14" s="41">
        <f>I131/H131</f>
        <v>0.14392834119363487</v>
      </c>
      <c r="CE14" s="33">
        <f>R131</f>
        <v>0.38178000000000001</v>
      </c>
      <c r="CF14" s="31">
        <f t="shared" ref="CF14:CF18" si="33">O145</f>
        <v>5.5058111816682395E-2</v>
      </c>
      <c r="CG14" s="32">
        <f t="shared" ref="CG14:CI18" si="34">S145</f>
        <v>2.2918263500000005</v>
      </c>
      <c r="CH14" s="32">
        <f t="shared" si="34"/>
        <v>0.13750958100000002</v>
      </c>
      <c r="CI14" s="32">
        <f t="shared" si="34"/>
        <v>0.3139488150684932</v>
      </c>
      <c r="CJ14" s="41">
        <f>I145/H145</f>
        <v>0.13034394163414692</v>
      </c>
      <c r="CK14" s="33">
        <f>R145</f>
        <v>0.26888000000000001</v>
      </c>
      <c r="CL14" s="31">
        <f t="shared" ref="CL14:CL18" si="35">O159</f>
        <v>4.4046489453345918E-2</v>
      </c>
      <c r="CM14" s="32">
        <f t="shared" ref="CM14:CO18" si="36">S159</f>
        <v>1.6988745399999998</v>
      </c>
      <c r="CN14" s="32">
        <f t="shared" si="36"/>
        <v>0.10193247239999999</v>
      </c>
      <c r="CO14" s="32">
        <f t="shared" si="36"/>
        <v>0.23272253972602738</v>
      </c>
      <c r="CP14" s="41">
        <f>I159/H159</f>
        <v>0.26756215912212095</v>
      </c>
      <c r="CQ14" s="33">
        <f>R159</f>
        <v>0.40914</v>
      </c>
    </row>
    <row r="15" spans="2:95" ht="15" thickBot="1" x14ac:dyDescent="0.35">
      <c r="B15">
        <v>11</v>
      </c>
      <c r="C15">
        <v>0</v>
      </c>
      <c r="D15">
        <v>0</v>
      </c>
      <c r="E15">
        <v>0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5"/>
        <v>0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2.8806696412112791E-2</v>
      </c>
      <c r="P15" s="7">
        <v>21</v>
      </c>
      <c r="Q15" s="6">
        <f t="shared" si="7"/>
        <v>0</v>
      </c>
      <c r="R15" s="6">
        <f t="shared" si="7"/>
        <v>0</v>
      </c>
      <c r="S15" s="6">
        <f t="shared" si="8"/>
        <v>0</v>
      </c>
      <c r="T15" s="6">
        <f t="shared" si="9"/>
        <v>0</v>
      </c>
      <c r="U15" s="6">
        <f t="shared" si="10"/>
        <v>0</v>
      </c>
      <c r="V15" s="6">
        <f t="shared" si="4"/>
        <v>2.8806696412112791E-2</v>
      </c>
      <c r="X15" s="34">
        <f t="shared" si="12"/>
        <v>0.48838654947181837</v>
      </c>
      <c r="Y15" s="35">
        <f t="shared" si="13"/>
        <v>7.3818617400000006</v>
      </c>
      <c r="Z15" s="35">
        <f t="shared" si="13"/>
        <v>0.44291170439999999</v>
      </c>
      <c r="AA15" s="35">
        <f t="shared" si="13"/>
        <v>1.0112139369863016</v>
      </c>
      <c r="AB15" s="42">
        <f t="shared" ref="AB15:AB22" si="37">I6/H6</f>
        <v>4.4300863592170177E-2</v>
      </c>
      <c r="AC15" s="36">
        <f t="shared" si="14"/>
        <v>0.29435</v>
      </c>
      <c r="AD15" s="34">
        <f t="shared" si="15"/>
        <v>0.32559103298121228</v>
      </c>
      <c r="AE15" s="35">
        <f t="shared" si="16"/>
        <v>5.1433745000000011</v>
      </c>
      <c r="AF15" s="35">
        <f t="shared" si="16"/>
        <v>0.30860247000000007</v>
      </c>
      <c r="AG15" s="35">
        <f t="shared" si="16"/>
        <v>0.70457184931506867</v>
      </c>
      <c r="AH15" s="42">
        <f t="shared" ref="AH15:AH20" si="38">I20/H20</f>
        <v>4.9074414083594337E-2</v>
      </c>
      <c r="AI15" s="36">
        <f t="shared" ref="AI15:AI20" si="39">R20</f>
        <v>0.22719</v>
      </c>
      <c r="AJ15" s="34">
        <f t="shared" si="17"/>
        <v>0.24419327473590918</v>
      </c>
      <c r="AK15" s="35">
        <f t="shared" si="18"/>
        <v>3.8014309300000004</v>
      </c>
      <c r="AL15" s="35">
        <f t="shared" si="18"/>
        <v>0.22808585580000001</v>
      </c>
      <c r="AM15" s="35">
        <f t="shared" si="18"/>
        <v>0.52074396301369874</v>
      </c>
      <c r="AN15" s="42">
        <f t="shared" ref="AN15:AN19" si="40">I34/H34</f>
        <v>8.4249319768648273E-2</v>
      </c>
      <c r="AO15" s="36">
        <f t="shared" ref="AO15:AO19" si="41">R34</f>
        <v>0.28826999999999997</v>
      </c>
      <c r="AP15" s="34">
        <f t="shared" si="19"/>
        <v>0.19535461978872737</v>
      </c>
      <c r="AQ15" s="35">
        <f t="shared" si="20"/>
        <v>3.2433534100000005</v>
      </c>
      <c r="AR15" s="35">
        <f t="shared" si="20"/>
        <v>0.19460120460000002</v>
      </c>
      <c r="AS15" s="35">
        <f t="shared" si="20"/>
        <v>0.44429498767123299</v>
      </c>
      <c r="AT15" s="42">
        <f t="shared" ref="AT15:AT19" si="42">I48/H48</f>
        <v>7.391815189205668E-2</v>
      </c>
      <c r="AU15" s="36">
        <f t="shared" ref="AU15:AU19" si="43">R48</f>
        <v>0.21579000000000001</v>
      </c>
      <c r="AV15" s="34">
        <f t="shared" si="21"/>
        <v>0.16279551649060614</v>
      </c>
      <c r="AW15" s="35">
        <f t="shared" si="22"/>
        <v>2.8646357300000003</v>
      </c>
      <c r="AX15" s="35">
        <f t="shared" si="22"/>
        <v>0.17187814380000002</v>
      </c>
      <c r="AY15" s="35">
        <f t="shared" si="22"/>
        <v>0.39241585342465757</v>
      </c>
      <c r="AZ15" s="42">
        <f t="shared" ref="AZ15:AZ18" si="44">I62/H62</f>
        <v>9.6163169060242082E-2</v>
      </c>
      <c r="BA15" s="36">
        <f t="shared" ref="BA15:BA18" si="45">R62</f>
        <v>0.24795</v>
      </c>
      <c r="BB15" s="34">
        <f t="shared" si="23"/>
        <v>0.13953901413480527</v>
      </c>
      <c r="BC15" s="35">
        <f t="shared" si="24"/>
        <v>2.7844104200000004</v>
      </c>
      <c r="BD15" s="35">
        <f t="shared" si="24"/>
        <v>0.16706462520000001</v>
      </c>
      <c r="BE15" s="35">
        <f t="shared" si="24"/>
        <v>0.38142608493150693</v>
      </c>
      <c r="BF15" s="42">
        <f t="shared" ref="BF15:BF18" si="46">I76/H76</f>
        <v>0.10041017947346999</v>
      </c>
      <c r="BG15" s="36">
        <f t="shared" ref="BG15:BG18" si="47">R76</f>
        <v>0.25164999999999998</v>
      </c>
      <c r="BH15" s="34">
        <f t="shared" si="25"/>
        <v>0.12209663736795459</v>
      </c>
      <c r="BI15" s="35">
        <f t="shared" si="26"/>
        <v>2.3997266700000002</v>
      </c>
      <c r="BJ15" s="35">
        <f t="shared" si="26"/>
        <v>0.14398360020000001</v>
      </c>
      <c r="BK15" s="35">
        <f t="shared" si="26"/>
        <v>0.32872968082191784</v>
      </c>
      <c r="BL15" s="42">
        <f t="shared" ref="BL15:BL18" si="48">I90/H90</f>
        <v>0.11605716746065918</v>
      </c>
      <c r="BM15" s="36">
        <f t="shared" ref="BM15:BM18" si="49">R90</f>
        <v>0.25068000000000001</v>
      </c>
      <c r="BN15" s="34">
        <f t="shared" si="27"/>
        <v>0.10853034432707075</v>
      </c>
      <c r="BO15" s="35">
        <f t="shared" si="28"/>
        <v>2.2427423700000007</v>
      </c>
      <c r="BP15" s="35">
        <f t="shared" si="28"/>
        <v>0.13456454220000003</v>
      </c>
      <c r="BQ15" s="35">
        <f t="shared" si="28"/>
        <v>0.3072249821917809</v>
      </c>
      <c r="BR15" s="42">
        <f t="shared" ref="BR15:BR18" si="50">I104/H104</f>
        <v>0.10281026616534648</v>
      </c>
      <c r="BS15" s="36">
        <f t="shared" ref="BS15:BS18" si="51">R104</f>
        <v>0.20754</v>
      </c>
      <c r="BT15" s="34">
        <f t="shared" si="29"/>
        <v>9.7677309894363684E-2</v>
      </c>
      <c r="BU15" s="35">
        <f t="shared" si="30"/>
        <v>1.9859347199999999</v>
      </c>
      <c r="BV15" s="35">
        <f t="shared" si="30"/>
        <v>0.11915608319999998</v>
      </c>
      <c r="BW15" s="35">
        <f t="shared" si="30"/>
        <v>0.27204585205479453</v>
      </c>
      <c r="BX15" s="42">
        <f t="shared" ref="BX15:BX17" si="52">I118/H118</f>
        <v>0.15527098997493738</v>
      </c>
      <c r="BY15" s="36">
        <f t="shared" ref="BY15:BY17" si="53">R118</f>
        <v>0.27755000000000002</v>
      </c>
      <c r="BZ15" s="34">
        <f t="shared" si="31"/>
        <v>6.5118206596242456E-2</v>
      </c>
      <c r="CA15" s="35">
        <f t="shared" si="32"/>
        <v>2.7840549000000006</v>
      </c>
      <c r="CB15" s="35">
        <f t="shared" si="32"/>
        <v>0.16704329400000004</v>
      </c>
      <c r="CC15" s="35">
        <f t="shared" si="32"/>
        <v>0.38137738356164391</v>
      </c>
      <c r="CD15" s="42">
        <f t="shared" ref="CD15:CD18" si="54">I132/H132</f>
        <v>9.9980047088870261E-2</v>
      </c>
      <c r="CE15" s="36">
        <f t="shared" ref="CE15:CE18" si="55">R132</f>
        <v>0.25053999999999998</v>
      </c>
      <c r="CF15" s="34">
        <f t="shared" si="33"/>
        <v>4.8838654947181842E-2</v>
      </c>
      <c r="CG15" s="35">
        <f t="shared" si="34"/>
        <v>2.4761634699999999</v>
      </c>
      <c r="CH15" s="35">
        <f t="shared" si="34"/>
        <v>0.14856980819999999</v>
      </c>
      <c r="CI15" s="35">
        <f t="shared" si="34"/>
        <v>0.33920047534246572</v>
      </c>
      <c r="CJ15" s="42">
        <f t="shared" ref="CJ15:CJ18" si="56">I146/H146</f>
        <v>0.10373883352701266</v>
      </c>
      <c r="CK15" s="36">
        <f t="shared" ref="CK15:CK18" si="57">R146</f>
        <v>0.23121</v>
      </c>
      <c r="CL15" s="34">
        <f t="shared" si="35"/>
        <v>3.9070923957745467E-2</v>
      </c>
      <c r="CM15" s="35">
        <f t="shared" si="36"/>
        <v>1.8827117099999999</v>
      </c>
      <c r="CN15" s="35">
        <f t="shared" si="36"/>
        <v>0.11296270259999999</v>
      </c>
      <c r="CO15" s="35">
        <f t="shared" si="36"/>
        <v>0.25790571369863013</v>
      </c>
      <c r="CP15" s="42">
        <f t="shared" ref="CP15:CP18" si="58">I160/H160</f>
        <v>0.20157440355007938</v>
      </c>
      <c r="CQ15" s="36">
        <f t="shared" ref="CQ15:CQ18" si="59">R160</f>
        <v>0.34159</v>
      </c>
    </row>
    <row r="16" spans="2:95" ht="15" thickTop="1" x14ac:dyDescent="0.3">
      <c r="X16" s="34">
        <f t="shared" si="12"/>
        <v>0.42132800761519479</v>
      </c>
      <c r="Y16" s="35">
        <f t="shared" si="13"/>
        <v>6.3096023100000007</v>
      </c>
      <c r="Z16" s="35">
        <f t="shared" si="13"/>
        <v>0.37857613860000006</v>
      </c>
      <c r="AA16" s="35">
        <f t="shared" si="13"/>
        <v>0.86432908356164395</v>
      </c>
      <c r="AB16" s="42">
        <f t="shared" si="37"/>
        <v>3.4425562710306536E-2</v>
      </c>
      <c r="AC16" s="36">
        <f t="shared" si="14"/>
        <v>0.19550999999999999</v>
      </c>
      <c r="AD16" s="34">
        <f t="shared" si="15"/>
        <v>0.28088533841012986</v>
      </c>
      <c r="AE16" s="35">
        <f t="shared" si="16"/>
        <v>4.9213855900000008</v>
      </c>
      <c r="AF16" s="35">
        <f t="shared" si="16"/>
        <v>0.29528313540000001</v>
      </c>
      <c r="AG16" s="35">
        <f t="shared" si="16"/>
        <v>0.67416240958904117</v>
      </c>
      <c r="AH16" s="42">
        <f t="shared" si="38"/>
        <v>3.8503823066625427E-2</v>
      </c>
      <c r="AI16" s="36">
        <f t="shared" si="39"/>
        <v>0.17055999999999999</v>
      </c>
      <c r="AJ16" s="34">
        <f t="shared" si="17"/>
        <v>0.21066400380759739</v>
      </c>
      <c r="AK16" s="35">
        <f t="shared" si="18"/>
        <v>4.1393526899999999</v>
      </c>
      <c r="AL16" s="35">
        <f t="shared" si="18"/>
        <v>0.24836116139999997</v>
      </c>
      <c r="AM16" s="35">
        <f t="shared" si="18"/>
        <v>0.56703461506849318</v>
      </c>
      <c r="AN16" s="42">
        <f t="shared" si="40"/>
        <v>4.8277009708008238E-2</v>
      </c>
      <c r="AO16" s="36">
        <f t="shared" si="41"/>
        <v>0.17987</v>
      </c>
      <c r="AP16" s="34">
        <f t="shared" si="19"/>
        <v>0.16853120304607791</v>
      </c>
      <c r="AQ16" s="35">
        <f t="shared" si="20"/>
        <v>2.5088935299999999</v>
      </c>
      <c r="AR16" s="35">
        <f t="shared" si="20"/>
        <v>0.15053361179999999</v>
      </c>
      <c r="AS16" s="35">
        <f t="shared" si="20"/>
        <v>0.34368404520547946</v>
      </c>
      <c r="AT16" s="42">
        <f t="shared" si="42"/>
        <v>7.8809510103045308E-2</v>
      </c>
      <c r="AU16" s="36">
        <f t="shared" si="43"/>
        <v>0.17797000000000002</v>
      </c>
      <c r="AV16" s="34">
        <f t="shared" si="21"/>
        <v>0.14044266920506493</v>
      </c>
      <c r="AW16" s="35">
        <f t="shared" si="22"/>
        <v>2.5322689700000001</v>
      </c>
      <c r="AX16" s="35">
        <f t="shared" si="22"/>
        <v>0.15193613819999999</v>
      </c>
      <c r="AY16" s="35">
        <f t="shared" si="22"/>
        <v>0.34688616027397262</v>
      </c>
      <c r="AZ16" s="42">
        <f t="shared" si="44"/>
        <v>8.2605395587183619E-2</v>
      </c>
      <c r="BA16" s="36">
        <f t="shared" si="45"/>
        <v>0.18828</v>
      </c>
      <c r="BB16" s="34">
        <f t="shared" si="23"/>
        <v>0.12037943074719852</v>
      </c>
      <c r="BC16" s="35">
        <f t="shared" si="24"/>
        <v>2.4498661000000004</v>
      </c>
      <c r="BD16" s="35">
        <f t="shared" si="24"/>
        <v>0.14699196600000003</v>
      </c>
      <c r="BE16" s="35">
        <f t="shared" si="24"/>
        <v>0.33559809589041101</v>
      </c>
      <c r="BF16" s="42">
        <f t="shared" si="46"/>
        <v>6.9824497755203829E-2</v>
      </c>
      <c r="BG16" s="36">
        <f t="shared" si="47"/>
        <v>0.15397</v>
      </c>
      <c r="BH16" s="34">
        <f t="shared" si="25"/>
        <v>0.1053320019037987</v>
      </c>
      <c r="BI16" s="35">
        <f t="shared" si="26"/>
        <v>2.3732071000000001</v>
      </c>
      <c r="BJ16" s="35">
        <f t="shared" si="26"/>
        <v>0.14239242599999999</v>
      </c>
      <c r="BK16" s="35">
        <f t="shared" si="26"/>
        <v>0.32509686301369867</v>
      </c>
      <c r="BL16" s="42">
        <f t="shared" si="48"/>
        <v>7.1850568793595818E-2</v>
      </c>
      <c r="BM16" s="36">
        <f t="shared" si="49"/>
        <v>0.15348000000000001</v>
      </c>
      <c r="BN16" s="34">
        <f t="shared" si="27"/>
        <v>9.3628446136709953E-2</v>
      </c>
      <c r="BO16" s="35">
        <f t="shared" si="28"/>
        <v>1.8234509700000001</v>
      </c>
      <c r="BP16" s="35">
        <f t="shared" si="28"/>
        <v>0.1094070582</v>
      </c>
      <c r="BQ16" s="35">
        <f t="shared" si="28"/>
        <v>0.24978780410958906</v>
      </c>
      <c r="BR16" s="42">
        <f t="shared" si="50"/>
        <v>0.12077232874542275</v>
      </c>
      <c r="BS16" s="36">
        <f t="shared" si="51"/>
        <v>0.19822000000000001</v>
      </c>
      <c r="BT16" s="34">
        <f t="shared" si="29"/>
        <v>8.4265601523038955E-2</v>
      </c>
      <c r="BU16" s="35">
        <f t="shared" si="30"/>
        <v>1.69075313</v>
      </c>
      <c r="BV16" s="35">
        <f t="shared" si="30"/>
        <v>0.1014451878</v>
      </c>
      <c r="BW16" s="35">
        <f t="shared" si="30"/>
        <v>0.23161001780821919</v>
      </c>
      <c r="BX16" s="42">
        <f t="shared" si="52"/>
        <v>0.10967716499214761</v>
      </c>
      <c r="BY16" s="36">
        <f t="shared" si="53"/>
        <v>0.16691</v>
      </c>
      <c r="BZ16" s="34">
        <f t="shared" si="31"/>
        <v>5.6177067682025968E-2</v>
      </c>
      <c r="CA16" s="35">
        <f t="shared" si="32"/>
        <v>2.9384505699999997</v>
      </c>
      <c r="CB16" s="35">
        <f t="shared" si="32"/>
        <v>0.17630703419999996</v>
      </c>
      <c r="CC16" s="35">
        <f t="shared" si="32"/>
        <v>0.40252747534246569</v>
      </c>
      <c r="CD16" s="42">
        <f t="shared" si="54"/>
        <v>8.9074321233179724E-2</v>
      </c>
      <c r="CE16" s="36">
        <f t="shared" si="55"/>
        <v>0.23559000000000002</v>
      </c>
      <c r="CF16" s="34">
        <f t="shared" si="33"/>
        <v>4.2132800761519477E-2</v>
      </c>
      <c r="CG16" s="35">
        <f t="shared" si="34"/>
        <v>2.4261018100000005</v>
      </c>
      <c r="CH16" s="35">
        <f t="shared" si="34"/>
        <v>0.14556610860000002</v>
      </c>
      <c r="CI16" s="35">
        <f t="shared" si="34"/>
        <v>0.33234271369863022</v>
      </c>
      <c r="CJ16" s="42">
        <f t="shared" si="56"/>
        <v>0.10896593412128899</v>
      </c>
      <c r="CK16" s="36">
        <f t="shared" si="57"/>
        <v>0.23794999999999999</v>
      </c>
      <c r="CL16" s="34">
        <f t="shared" si="35"/>
        <v>3.3706240609215586E-2</v>
      </c>
      <c r="CM16" s="35">
        <f t="shared" si="36"/>
        <v>2.1231432200000002</v>
      </c>
      <c r="CN16" s="35">
        <f t="shared" si="36"/>
        <v>0.12738859320000001</v>
      </c>
      <c r="CO16" s="35">
        <f t="shared" si="36"/>
        <v>0.29084153698630139</v>
      </c>
      <c r="CP16" s="42">
        <f t="shared" si="58"/>
        <v>8.2709757093070713E-2</v>
      </c>
      <c r="CQ16" s="36">
        <f t="shared" si="59"/>
        <v>0.15805999999999998</v>
      </c>
    </row>
    <row r="17" spans="2:95" ht="15" thickBot="1" x14ac:dyDescent="0.35">
      <c r="X17" s="34">
        <f t="shared" si="12"/>
        <v>0.25518813894139658</v>
      </c>
      <c r="Y17" s="35">
        <f t="shared" si="13"/>
        <v>7.2377094900000012</v>
      </c>
      <c r="Z17" s="35">
        <f t="shared" si="13"/>
        <v>0.43426256940000008</v>
      </c>
      <c r="AA17" s="35">
        <f t="shared" si="13"/>
        <v>0.99146705342465768</v>
      </c>
      <c r="AB17" s="42">
        <f t="shared" si="37"/>
        <v>2.3938574799028028E-2</v>
      </c>
      <c r="AC17" s="36">
        <f t="shared" si="14"/>
        <v>0.15595000000000001</v>
      </c>
      <c r="AD17" s="34">
        <f t="shared" si="15"/>
        <v>0.17012542596093105</v>
      </c>
      <c r="AE17" s="35">
        <f t="shared" si="16"/>
        <v>3.8048305900000003</v>
      </c>
      <c r="AF17" s="35">
        <f t="shared" si="16"/>
        <v>0.2282898354</v>
      </c>
      <c r="AG17" s="35">
        <f t="shared" si="16"/>
        <v>0.52120966986301376</v>
      </c>
      <c r="AH17" s="42">
        <f t="shared" si="38"/>
        <v>2.975451792717005E-2</v>
      </c>
      <c r="AI17" s="36">
        <f t="shared" si="39"/>
        <v>0.1019</v>
      </c>
      <c r="AJ17" s="34">
        <f t="shared" si="17"/>
        <v>0.12759406947069829</v>
      </c>
      <c r="AK17" s="35">
        <f t="shared" si="18"/>
        <v>3.2647290499999997</v>
      </c>
      <c r="AL17" s="35">
        <f t="shared" si="18"/>
        <v>0.19588374299999997</v>
      </c>
      <c r="AM17" s="35">
        <f t="shared" si="18"/>
        <v>0.44722315753424652</v>
      </c>
      <c r="AN17" s="42">
        <f t="shared" si="40"/>
        <v>2.4144561093056096E-2</v>
      </c>
      <c r="AO17" s="36">
        <f t="shared" si="41"/>
        <v>7.0949999999999999E-2</v>
      </c>
      <c r="AP17" s="34">
        <f t="shared" si="19"/>
        <v>0.10207525557655864</v>
      </c>
      <c r="AQ17" s="35">
        <f t="shared" si="20"/>
        <v>2.7583019200000001</v>
      </c>
      <c r="AR17" s="35">
        <f t="shared" si="20"/>
        <v>0.16549811519999999</v>
      </c>
      <c r="AS17" s="35">
        <f t="shared" si="20"/>
        <v>0.37784957808219177</v>
      </c>
      <c r="AT17" s="42">
        <f t="shared" si="42"/>
        <v>2.835599664883676E-2</v>
      </c>
      <c r="AU17" s="36">
        <f t="shared" si="43"/>
        <v>7.0400000000000004E-2</v>
      </c>
      <c r="AV17" s="34">
        <f t="shared" si="21"/>
        <v>8.5062712980465527E-2</v>
      </c>
      <c r="AW17" s="35">
        <f t="shared" si="22"/>
        <v>1.9762690199999999</v>
      </c>
      <c r="AX17" s="35">
        <f t="shared" si="22"/>
        <v>0.11857614119999998</v>
      </c>
      <c r="AY17" s="35">
        <f t="shared" si="22"/>
        <v>0.27072178356164384</v>
      </c>
      <c r="AZ17" s="42">
        <f t="shared" si="44"/>
        <v>5.1191239136056485E-2</v>
      </c>
      <c r="BA17" s="36">
        <f t="shared" si="45"/>
        <v>9.1060000000000002E-2</v>
      </c>
      <c r="BB17" s="34">
        <f t="shared" si="23"/>
        <v>7.2910896840399031E-2</v>
      </c>
      <c r="BC17" s="35">
        <f t="shared" si="24"/>
        <v>1.4962392499999999</v>
      </c>
      <c r="BD17" s="35">
        <f t="shared" si="24"/>
        <v>8.9774354999999986E-2</v>
      </c>
      <c r="BE17" s="35">
        <f t="shared" si="24"/>
        <v>0.20496428082191781</v>
      </c>
      <c r="BF17" s="42">
        <f t="shared" si="46"/>
        <v>4.8746983478745134E-2</v>
      </c>
      <c r="BG17" s="36">
        <f t="shared" si="47"/>
        <v>6.565E-2</v>
      </c>
      <c r="BH17" s="34">
        <f t="shared" si="25"/>
        <v>6.3797034735349145E-2</v>
      </c>
      <c r="BI17" s="35">
        <f t="shared" si="26"/>
        <v>0.75924629000000021</v>
      </c>
      <c r="BJ17" s="35">
        <f t="shared" si="26"/>
        <v>4.555477740000001E-2</v>
      </c>
      <c r="BK17" s="35">
        <f t="shared" si="26"/>
        <v>0.10400634109589044</v>
      </c>
      <c r="BL17" s="42">
        <f t="shared" si="48"/>
        <v>9.3182516571796464E-2</v>
      </c>
      <c r="BM17" s="36">
        <f t="shared" si="49"/>
        <v>6.368E-2</v>
      </c>
      <c r="BN17" s="34">
        <f t="shared" si="27"/>
        <v>5.6708475320310349E-2</v>
      </c>
      <c r="BO17" s="35">
        <f t="shared" si="28"/>
        <v>1.0344409900000002</v>
      </c>
      <c r="BP17" s="35">
        <f t="shared" si="28"/>
        <v>6.206645940000001E-2</v>
      </c>
      <c r="BQ17" s="35">
        <f t="shared" si="28"/>
        <v>0.14170424520547947</v>
      </c>
      <c r="BR17" s="42">
        <f t="shared" si="50"/>
        <v>8.7950681459364813E-2</v>
      </c>
      <c r="BS17" s="36">
        <f t="shared" si="51"/>
        <v>8.1890000000000004E-2</v>
      </c>
      <c r="BT17" s="34">
        <f t="shared" si="29"/>
        <v>5.1037627788279319E-2</v>
      </c>
      <c r="BU17" s="35">
        <f t="shared" si="30"/>
        <v>0.35998621999999997</v>
      </c>
      <c r="BV17" s="35">
        <f t="shared" si="30"/>
        <v>2.1599173199999998E-2</v>
      </c>
      <c r="BW17" s="35">
        <f t="shared" si="30"/>
        <v>4.9313180821917803E-2</v>
      </c>
      <c r="BX17" s="42">
        <f t="shared" si="52"/>
        <v>0.36368125424356529</v>
      </c>
      <c r="BY17" s="36">
        <f t="shared" si="53"/>
        <v>0.11784000000000001</v>
      </c>
      <c r="BZ17" s="34">
        <f t="shared" si="31"/>
        <v>3.4025085192186208E-2</v>
      </c>
      <c r="CA17" s="35">
        <f t="shared" si="32"/>
        <v>1.4568320799999999</v>
      </c>
      <c r="CB17" s="35">
        <f t="shared" si="32"/>
        <v>8.7409924799999983E-2</v>
      </c>
      <c r="CC17" s="35">
        <f t="shared" si="32"/>
        <v>0.19956603835616438</v>
      </c>
      <c r="CD17" s="42">
        <f t="shared" si="54"/>
        <v>5.7783234701970596E-2</v>
      </c>
      <c r="CE17" s="36">
        <f t="shared" si="55"/>
        <v>7.5770000000000004E-2</v>
      </c>
      <c r="CF17" s="34">
        <f t="shared" si="33"/>
        <v>2.5518813894139659E-2</v>
      </c>
      <c r="CG17" s="35">
        <f t="shared" si="34"/>
        <v>1.3797286799999999</v>
      </c>
      <c r="CH17" s="35">
        <f t="shared" si="34"/>
        <v>8.2783720799999988E-2</v>
      </c>
      <c r="CI17" s="35">
        <f t="shared" si="34"/>
        <v>0.18900392876712327</v>
      </c>
      <c r="CJ17" s="42">
        <f t="shared" si="56"/>
        <v>4.6590652881115732E-2</v>
      </c>
      <c r="CK17" s="36">
        <f t="shared" si="57"/>
        <v>5.7860000000000002E-2</v>
      </c>
      <c r="CL17" s="34">
        <f t="shared" si="35"/>
        <v>2.0415051115311725E-2</v>
      </c>
      <c r="CM17" s="35">
        <f t="shared" si="36"/>
        <v>1.0739703699999998</v>
      </c>
      <c r="CN17" s="35">
        <f t="shared" si="36"/>
        <v>6.4438222199999992E-2</v>
      </c>
      <c r="CO17" s="35">
        <f t="shared" si="36"/>
        <v>0.14711922876712327</v>
      </c>
      <c r="CP17" s="42">
        <f t="shared" si="58"/>
        <v>8.0937651939131258E-2</v>
      </c>
      <c r="CQ17" s="36">
        <f t="shared" si="59"/>
        <v>7.8240000000000004E-2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0.18444063337893141</v>
      </c>
      <c r="Y18" s="35">
        <f t="shared" si="13"/>
        <v>7.2272216500000006</v>
      </c>
      <c r="Z18" s="35">
        <f t="shared" si="13"/>
        <v>0.43363329900000003</v>
      </c>
      <c r="AA18" s="35">
        <f t="shared" si="13"/>
        <v>0.99003036301369873</v>
      </c>
      <c r="AB18" s="42">
        <f t="shared" si="37"/>
        <v>2.3012536221301581E-2</v>
      </c>
      <c r="AC18" s="36">
        <f t="shared" si="14"/>
        <v>0.1497</v>
      </c>
      <c r="AD18" s="34">
        <f t="shared" si="15"/>
        <v>0.12296042225262095</v>
      </c>
      <c r="AE18" s="35">
        <f t="shared" si="16"/>
        <v>4.1681164800000001</v>
      </c>
      <c r="AF18" s="35">
        <f t="shared" si="16"/>
        <v>0.25008698880000002</v>
      </c>
      <c r="AG18" s="35">
        <f t="shared" si="16"/>
        <v>0.5709748602739726</v>
      </c>
      <c r="AH18" s="42">
        <f t="shared" si="38"/>
        <v>4.592342630501535E-2</v>
      </c>
      <c r="AI18" s="36">
        <f t="shared" si="39"/>
        <v>0.17229</v>
      </c>
      <c r="AJ18" s="34">
        <f t="shared" si="17"/>
        <v>9.2220316689465703E-2</v>
      </c>
      <c r="AK18" s="35">
        <f t="shared" si="18"/>
        <v>3.5660322500000006</v>
      </c>
      <c r="AL18" s="35">
        <f t="shared" si="18"/>
        <v>0.21396193500000002</v>
      </c>
      <c r="AM18" s="35">
        <f t="shared" si="18"/>
        <v>0.48849756849315079</v>
      </c>
      <c r="AN18" s="42">
        <f t="shared" si="40"/>
        <v>7.0603629566165588E-2</v>
      </c>
      <c r="AO18" s="36">
        <f t="shared" si="41"/>
        <v>0.22661999999999999</v>
      </c>
      <c r="AP18" s="34">
        <f t="shared" si="19"/>
        <v>7.3776253351572563E-2</v>
      </c>
      <c r="AQ18" s="35">
        <f t="shared" si="20"/>
        <v>1.9901787399999999</v>
      </c>
      <c r="AR18" s="35">
        <f t="shared" si="20"/>
        <v>0.11941072439999999</v>
      </c>
      <c r="AS18" s="35">
        <f t="shared" si="20"/>
        <v>0.27262722465753425</v>
      </c>
      <c r="AT18" s="42">
        <f t="shared" si="42"/>
        <v>4.3375350296426141E-2</v>
      </c>
      <c r="AU18" s="36">
        <f t="shared" si="43"/>
        <v>7.7700000000000005E-2</v>
      </c>
      <c r="AV18" s="34">
        <f t="shared" si="21"/>
        <v>6.1480211126310476E-2</v>
      </c>
      <c r="AW18" s="35">
        <f t="shared" si="22"/>
        <v>1.5035051900000005</v>
      </c>
      <c r="AX18" s="35">
        <f t="shared" si="22"/>
        <v>9.0210311400000021E-2</v>
      </c>
      <c r="AY18" s="35">
        <f t="shared" si="22"/>
        <v>0.20595961506849322</v>
      </c>
      <c r="AZ18" s="42">
        <f t="shared" si="44"/>
        <v>9.778391918953068E-2</v>
      </c>
      <c r="BA18" s="36">
        <f t="shared" si="45"/>
        <v>0.13233</v>
      </c>
      <c r="BB18" s="34">
        <f t="shared" si="23"/>
        <v>5.2697323822551836E-2</v>
      </c>
      <c r="BC18" s="35">
        <f t="shared" si="24"/>
        <v>0.89529935000000005</v>
      </c>
      <c r="BD18" s="35">
        <f t="shared" si="24"/>
        <v>5.3717961000000002E-2</v>
      </c>
      <c r="BE18" s="35">
        <f t="shared" si="24"/>
        <v>0.12264374657534248</v>
      </c>
      <c r="BF18" s="42">
        <f t="shared" si="46"/>
        <v>0.16845566792827452</v>
      </c>
      <c r="BG18" s="36">
        <f t="shared" si="47"/>
        <v>0.13575000000000001</v>
      </c>
      <c r="BH18" s="34">
        <f t="shared" si="25"/>
        <v>4.6110158344732852E-2</v>
      </c>
      <c r="BI18" s="35">
        <f t="shared" si="26"/>
        <v>0.32338988000000002</v>
      </c>
      <c r="BJ18" s="35">
        <f t="shared" si="26"/>
        <v>1.9403392799999999E-2</v>
      </c>
      <c r="BK18" s="35">
        <f t="shared" si="26"/>
        <v>4.4299983561643837E-2</v>
      </c>
      <c r="BL18" s="42">
        <f t="shared" si="48"/>
        <v>0.33633365397828774</v>
      </c>
      <c r="BM18" s="36">
        <f t="shared" si="49"/>
        <v>9.7900000000000001E-2</v>
      </c>
      <c r="BN18" s="34">
        <f t="shared" si="27"/>
        <v>4.0986807417540315E-2</v>
      </c>
      <c r="BO18" s="35">
        <f t="shared" si="28"/>
        <v>0.61924918000000007</v>
      </c>
      <c r="BP18" s="35">
        <f t="shared" si="28"/>
        <v>3.7154950800000003E-2</v>
      </c>
      <c r="BQ18" s="35">
        <f t="shared" si="28"/>
        <v>8.4828654794520564E-2</v>
      </c>
      <c r="BR18" s="42">
        <f t="shared" si="50"/>
        <v>0.21810972765438302</v>
      </c>
      <c r="BS18" s="36">
        <f t="shared" si="51"/>
        <v>0.12157000000000001</v>
      </c>
      <c r="BT18" s="34"/>
      <c r="BU18" s="35"/>
      <c r="BV18" s="35"/>
      <c r="BW18" s="35"/>
      <c r="BX18" s="42"/>
      <c r="BY18" s="36"/>
      <c r="BZ18" s="34">
        <f t="shared" si="31"/>
        <v>2.4592084450524188E-2</v>
      </c>
      <c r="CA18" s="35">
        <f t="shared" si="32"/>
        <v>1.1834927500000003</v>
      </c>
      <c r="CB18" s="35">
        <f t="shared" si="32"/>
        <v>7.1009565000000011E-2</v>
      </c>
      <c r="CC18" s="35">
        <f t="shared" si="32"/>
        <v>0.16212229452054799</v>
      </c>
      <c r="CD18" s="42">
        <f t="shared" si="54"/>
        <v>0.12716263787843229</v>
      </c>
      <c r="CE18" s="36">
        <f t="shared" si="55"/>
        <v>0.13546</v>
      </c>
      <c r="CF18" s="34">
        <f t="shared" si="33"/>
        <v>1.8444063337893141E-2</v>
      </c>
      <c r="CG18" s="35">
        <f t="shared" si="34"/>
        <v>1.41680275</v>
      </c>
      <c r="CH18" s="35">
        <f t="shared" si="34"/>
        <v>8.5008164999999997E-2</v>
      </c>
      <c r="CI18" s="35">
        <f t="shared" si="34"/>
        <v>0.1940825684931507</v>
      </c>
      <c r="CJ18" s="42">
        <f t="shared" si="56"/>
        <v>0.1529347186826113</v>
      </c>
      <c r="CK18" s="36">
        <f t="shared" si="57"/>
        <v>0.19503000000000001</v>
      </c>
      <c r="CL18" s="34">
        <f t="shared" si="35"/>
        <v>1.4755250670314515E-2</v>
      </c>
      <c r="CM18" s="35">
        <f t="shared" si="36"/>
        <v>1.40225976</v>
      </c>
      <c r="CN18" s="35">
        <f t="shared" si="36"/>
        <v>8.4135585599999993E-2</v>
      </c>
      <c r="CO18" s="35">
        <f t="shared" si="36"/>
        <v>0.19209037808219179</v>
      </c>
      <c r="CP18" s="42">
        <f t="shared" si="58"/>
        <v>0.11447835456677442</v>
      </c>
      <c r="CQ18" s="36">
        <f t="shared" si="59"/>
        <v>0.14449000000000001</v>
      </c>
    </row>
    <row r="19" spans="2:95" ht="15" thickTop="1" x14ac:dyDescent="0.3">
      <c r="B19">
        <v>1</v>
      </c>
      <c r="C19">
        <v>-484.7</v>
      </c>
      <c r="D19">
        <v>44648.5</v>
      </c>
      <c r="E19">
        <v>2528</v>
      </c>
      <c r="F19">
        <f t="shared" ref="F19:F29" si="60">D19/10000</f>
        <v>4.4648500000000002</v>
      </c>
      <c r="G19">
        <f t="shared" ref="G19:G29" si="61">C19/10000</f>
        <v>-4.8469999999999999E-2</v>
      </c>
      <c r="H19">
        <f t="shared" ref="H19:H29" si="62">F19-G19</f>
        <v>4.5133200000000002</v>
      </c>
      <c r="I19">
        <f>E19/10000</f>
        <v>0.25280000000000002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0.36705407877788265</v>
      </c>
      <c r="P19" s="2">
        <v>3</v>
      </c>
      <c r="Q19" s="8">
        <f>H19</f>
        <v>4.5133200000000002</v>
      </c>
      <c r="R19" s="8">
        <f>I19</f>
        <v>0.25280000000000002</v>
      </c>
      <c r="S19" s="8">
        <f>Q19/10^6*$Z$4*$Z$3/P19*10^12</f>
        <v>5.0142985199999996</v>
      </c>
      <c r="T19" s="8">
        <f>S19*0.06</f>
        <v>0.30085791119999999</v>
      </c>
      <c r="U19" s="8">
        <f>S19/$Z$1</f>
        <v>0.68689020821917801</v>
      </c>
      <c r="V19" s="12">
        <f t="shared" ref="V19:V29" si="63">O19</f>
        <v>0.36705407877788265</v>
      </c>
      <c r="W19" s="19"/>
      <c r="X19" s="34">
        <f t="shared" si="12"/>
        <v>0.12766843478326573</v>
      </c>
      <c r="Y19" s="35">
        <f t="shared" si="13"/>
        <v>5.1898142999999992</v>
      </c>
      <c r="Z19" s="35">
        <f t="shared" si="13"/>
        <v>0.31138885799999994</v>
      </c>
      <c r="AA19" s="35">
        <f t="shared" si="13"/>
        <v>0.71093346575342453</v>
      </c>
      <c r="AB19" s="42">
        <f t="shared" si="37"/>
        <v>1.8886070258814468E-2</v>
      </c>
      <c r="AC19" s="36">
        <f t="shared" si="14"/>
        <v>0.11763</v>
      </c>
      <c r="AD19" s="34">
        <f t="shared" si="15"/>
        <v>8.511228985551049E-2</v>
      </c>
      <c r="AE19" s="35">
        <f t="shared" si="16"/>
        <v>2.8512898425000004</v>
      </c>
      <c r="AF19" s="35">
        <f t="shared" si="16"/>
        <v>0.17107739055000001</v>
      </c>
      <c r="AG19" s="35">
        <f t="shared" si="16"/>
        <v>0.39058764965753429</v>
      </c>
      <c r="AH19" s="42">
        <f t="shared" si="38"/>
        <v>5.0892927592646173E-2</v>
      </c>
      <c r="AI19" s="36">
        <f t="shared" si="39"/>
        <v>0.17415</v>
      </c>
      <c r="AJ19" s="34">
        <f t="shared" si="17"/>
        <v>6.3834217391632864E-2</v>
      </c>
      <c r="AK19" s="35">
        <f t="shared" si="18"/>
        <v>2.0151984599999997</v>
      </c>
      <c r="AL19" s="35">
        <f t="shared" si="18"/>
        <v>0.12091190759999998</v>
      </c>
      <c r="AM19" s="35">
        <f t="shared" si="18"/>
        <v>0.27605458356164381</v>
      </c>
      <c r="AN19" s="42">
        <f t="shared" si="40"/>
        <v>0.11931874565843009</v>
      </c>
      <c r="AO19" s="36">
        <f t="shared" si="41"/>
        <v>0.28856999999999999</v>
      </c>
      <c r="AP19" s="34">
        <f t="shared" si="19"/>
        <v>5.1067373913306291E-2</v>
      </c>
      <c r="AQ19" s="35">
        <f t="shared" si="20"/>
        <v>0.33365829749999998</v>
      </c>
      <c r="AR19" s="35">
        <f t="shared" si="20"/>
        <v>2.0019497849999998E-2</v>
      </c>
      <c r="AS19" s="35">
        <f t="shared" si="20"/>
        <v>4.5706616095890412E-2</v>
      </c>
      <c r="AT19" s="42">
        <f t="shared" si="42"/>
        <v>0.67017955697625053</v>
      </c>
      <c r="AU19" s="36">
        <f t="shared" si="43"/>
        <v>0.26835999999999999</v>
      </c>
      <c r="AV19" s="34"/>
      <c r="AW19" s="35"/>
      <c r="AX19" s="35"/>
      <c r="AY19" s="35"/>
      <c r="AZ19" s="42"/>
      <c r="BA19" s="36"/>
      <c r="BB19" s="34"/>
      <c r="BC19" s="35"/>
      <c r="BD19" s="35"/>
      <c r="BE19" s="35"/>
      <c r="BF19" s="42"/>
      <c r="BG19" s="36"/>
      <c r="BH19" s="34"/>
      <c r="BI19" s="35"/>
      <c r="BJ19" s="35"/>
      <c r="BK19" s="35"/>
      <c r="BL19" s="42"/>
      <c r="BM19" s="36"/>
      <c r="BN19" s="34"/>
      <c r="BO19" s="35"/>
      <c r="BP19" s="35"/>
      <c r="BQ19" s="35"/>
      <c r="BR19" s="42"/>
      <c r="BS19" s="36"/>
      <c r="BT19" s="34"/>
      <c r="BU19" s="35"/>
      <c r="BV19" s="35"/>
      <c r="BW19" s="35"/>
      <c r="BX19" s="42"/>
      <c r="BY19" s="36"/>
      <c r="BZ19" s="34"/>
      <c r="CA19" s="35"/>
      <c r="CB19" s="35"/>
      <c r="CC19" s="35"/>
      <c r="CD19" s="42"/>
      <c r="CE19" s="36"/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-1825</v>
      </c>
      <c r="D20">
        <v>44470</v>
      </c>
      <c r="E20">
        <v>2271.9</v>
      </c>
      <c r="F20">
        <f t="shared" si="60"/>
        <v>4.4470000000000001</v>
      </c>
      <c r="G20">
        <f t="shared" si="61"/>
        <v>-0.1825</v>
      </c>
      <c r="H20">
        <f t="shared" si="62"/>
        <v>4.6295000000000002</v>
      </c>
      <c r="I20">
        <f t="shared" ref="I20:I29" si="64">E20/10000</f>
        <v>0.22719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0.32559103298121228</v>
      </c>
      <c r="P20" s="4">
        <v>3</v>
      </c>
      <c r="Q20" s="5">
        <f t="shared" ref="Q20:R29" si="67">H20</f>
        <v>4.6295000000000002</v>
      </c>
      <c r="R20" s="5">
        <f t="shared" si="67"/>
        <v>0.22719</v>
      </c>
      <c r="S20" s="5">
        <f t="shared" ref="S20:S29" si="68">Q20/10^6*$Z$4*$Z$3/P20*10^12</f>
        <v>5.1433745000000011</v>
      </c>
      <c r="T20" s="5">
        <f t="shared" ref="T20:T29" si="69">S20*0.06</f>
        <v>0.30860247000000007</v>
      </c>
      <c r="U20" s="5">
        <f t="shared" ref="U20:U29" si="70">S20/$Z$1</f>
        <v>0.70457184931506867</v>
      </c>
      <c r="V20" s="5">
        <f t="shared" si="63"/>
        <v>0.32559103298121228</v>
      </c>
      <c r="W20" s="19"/>
      <c r="X20" s="34">
        <f t="shared" si="12"/>
        <v>9.2293571066949256E-2</v>
      </c>
      <c r="Y20" s="35">
        <f t="shared" si="13"/>
        <v>2.0510198774999999</v>
      </c>
      <c r="Z20" s="35">
        <f t="shared" si="13"/>
        <v>0.12306119264999998</v>
      </c>
      <c r="AA20" s="35">
        <f t="shared" si="13"/>
        <v>0.28096162705479449</v>
      </c>
      <c r="AB20" s="42">
        <f t="shared" si="37"/>
        <v>7.1851373366321733E-2</v>
      </c>
      <c r="AC20" s="36">
        <f t="shared" si="14"/>
        <v>0.17685999999999999</v>
      </c>
      <c r="AD20" s="34">
        <f t="shared" si="15"/>
        <v>6.1529047377966176E-2</v>
      </c>
      <c r="AE20" s="35">
        <f t="shared" si="16"/>
        <v>1.4745108674999998</v>
      </c>
      <c r="AF20" s="35">
        <f t="shared" si="16"/>
        <v>8.8470652049999987E-2</v>
      </c>
      <c r="AG20" s="35">
        <f t="shared" si="16"/>
        <v>0.20198779006849313</v>
      </c>
      <c r="AH20" s="42">
        <f t="shared" si="38"/>
        <v>0.18116625885092028</v>
      </c>
      <c r="AI20" s="36">
        <f t="shared" si="39"/>
        <v>0.32058999999999999</v>
      </c>
      <c r="AJ20" s="34"/>
      <c r="AK20" s="35"/>
      <c r="AL20" s="35"/>
      <c r="AM20" s="35"/>
      <c r="AN20" s="42"/>
      <c r="AO20" s="36"/>
      <c r="AP20" s="34"/>
      <c r="AQ20" s="35"/>
      <c r="AR20" s="35"/>
      <c r="AS20" s="35"/>
      <c r="AT20" s="42"/>
      <c r="AU20" s="36"/>
      <c r="AV20" s="34"/>
      <c r="AW20" s="35"/>
      <c r="AX20" s="35"/>
      <c r="AY20" s="35"/>
      <c r="AZ20" s="42"/>
      <c r="BA20" s="36"/>
      <c r="BB20" s="34"/>
      <c r="BC20" s="35"/>
      <c r="BD20" s="35"/>
      <c r="BE20" s="35"/>
      <c r="BF20" s="42"/>
      <c r="BG20" s="36"/>
      <c r="BH20" s="34"/>
      <c r="BI20" s="35"/>
      <c r="BJ20" s="35"/>
      <c r="BK20" s="35"/>
      <c r="BL20" s="42"/>
      <c r="BM20" s="36"/>
      <c r="BN20" s="34"/>
      <c r="BO20" s="35"/>
      <c r="BP20" s="35"/>
      <c r="BQ20" s="35"/>
      <c r="BR20" s="42"/>
      <c r="BS20" s="36"/>
      <c r="BT20" s="34"/>
      <c r="BU20" s="35"/>
      <c r="BV20" s="35"/>
      <c r="BW20" s="35"/>
      <c r="BX20" s="42"/>
      <c r="BY20" s="36"/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1062.9000000000001</v>
      </c>
      <c r="D21">
        <v>45359.8</v>
      </c>
      <c r="E21">
        <v>1705.6</v>
      </c>
      <c r="F21">
        <f t="shared" si="60"/>
        <v>4.5359800000000003</v>
      </c>
      <c r="G21">
        <f t="shared" si="61"/>
        <v>0.10629000000000001</v>
      </c>
      <c r="H21">
        <f t="shared" si="62"/>
        <v>4.4296899999999999</v>
      </c>
      <c r="I21">
        <f t="shared" si="64"/>
        <v>0.17055999999999999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0.28088533841012986</v>
      </c>
      <c r="P21" s="4">
        <v>3</v>
      </c>
      <c r="Q21" s="5">
        <f t="shared" si="67"/>
        <v>4.4296899999999999</v>
      </c>
      <c r="R21" s="5">
        <f t="shared" si="67"/>
        <v>0.17055999999999999</v>
      </c>
      <c r="S21" s="5">
        <f t="shared" si="68"/>
        <v>4.9213855900000008</v>
      </c>
      <c r="T21" s="5">
        <f t="shared" si="69"/>
        <v>0.29528313540000001</v>
      </c>
      <c r="U21" s="5">
        <f t="shared" si="70"/>
        <v>0.67416240958904117</v>
      </c>
      <c r="V21" s="5">
        <f t="shared" si="63"/>
        <v>0.28088533841012986</v>
      </c>
      <c r="W21" s="19"/>
      <c r="X21" s="34">
        <f t="shared" si="12"/>
        <v>7.7398826646892183E-2</v>
      </c>
      <c r="Y21" s="35">
        <f t="shared" si="13"/>
        <v>1.4910442140000002</v>
      </c>
      <c r="Z21" s="35">
        <f t="shared" si="13"/>
        <v>8.9462652840000004E-2</v>
      </c>
      <c r="AA21" s="35">
        <f t="shared" si="13"/>
        <v>0.20425263205479455</v>
      </c>
      <c r="AB21" s="42">
        <f t="shared" si="37"/>
        <v>0.10194072756047727</v>
      </c>
      <c r="AC21" s="36">
        <f t="shared" si="14"/>
        <v>0.22801999999999997</v>
      </c>
      <c r="AD21" s="34"/>
      <c r="AE21" s="35"/>
      <c r="AF21" s="35"/>
      <c r="AG21" s="35"/>
      <c r="AH21" s="42"/>
      <c r="AI21" s="36"/>
      <c r="AJ21" s="34"/>
      <c r="AK21" s="35"/>
      <c r="AL21" s="35"/>
      <c r="AM21" s="35"/>
      <c r="AN21" s="42"/>
      <c r="AO21" s="36"/>
      <c r="AP21" s="34"/>
      <c r="AQ21" s="35"/>
      <c r="AR21" s="35"/>
      <c r="AS21" s="35"/>
      <c r="AT21" s="42"/>
      <c r="AU21" s="36"/>
      <c r="AV21" s="34"/>
      <c r="AW21" s="35"/>
      <c r="AX21" s="35"/>
      <c r="AY21" s="35"/>
      <c r="AZ21" s="42"/>
      <c r="BA21" s="36"/>
      <c r="BB21" s="34"/>
      <c r="BC21" s="35"/>
      <c r="BD21" s="35"/>
      <c r="BE21" s="35"/>
      <c r="BF21" s="42"/>
      <c r="BG21" s="36"/>
      <c r="BH21" s="34"/>
      <c r="BI21" s="35"/>
      <c r="BJ21" s="35"/>
      <c r="BK21" s="35"/>
      <c r="BL21" s="42"/>
      <c r="BM21" s="36"/>
      <c r="BN21" s="34"/>
      <c r="BO21" s="35"/>
      <c r="BP21" s="35"/>
      <c r="BQ21" s="35"/>
      <c r="BR21" s="42"/>
      <c r="BS21" s="36"/>
      <c r="BT21" s="34"/>
      <c r="BU21" s="35"/>
      <c r="BV21" s="35"/>
      <c r="BW21" s="35"/>
      <c r="BX21" s="42"/>
      <c r="BY21" s="36"/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5385</v>
      </c>
      <c r="D22">
        <v>39631.9</v>
      </c>
      <c r="E22">
        <v>1019</v>
      </c>
      <c r="F22">
        <f t="shared" si="60"/>
        <v>3.96319</v>
      </c>
      <c r="G22">
        <f t="shared" si="61"/>
        <v>0.53849999999999998</v>
      </c>
      <c r="H22">
        <f t="shared" si="62"/>
        <v>3.42469</v>
      </c>
      <c r="I22">
        <f t="shared" si="64"/>
        <v>0.1019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0.17012542596093105</v>
      </c>
      <c r="P22" s="4">
        <v>3</v>
      </c>
      <c r="Q22" s="5">
        <f t="shared" si="67"/>
        <v>3.42469</v>
      </c>
      <c r="R22" s="5">
        <f t="shared" si="67"/>
        <v>0.1019</v>
      </c>
      <c r="S22" s="5">
        <f t="shared" si="68"/>
        <v>3.8048305900000003</v>
      </c>
      <c r="T22" s="5">
        <f t="shared" si="69"/>
        <v>0.2282898354</v>
      </c>
      <c r="U22" s="5">
        <f t="shared" si="70"/>
        <v>0.52120966986301376</v>
      </c>
      <c r="V22" s="5">
        <f t="shared" si="63"/>
        <v>0.17012542596093105</v>
      </c>
      <c r="W22" s="19"/>
      <c r="X22" s="34">
        <f t="shared" si="12"/>
        <v>6.237795067385267E-2</v>
      </c>
      <c r="Y22" s="35">
        <f t="shared" si="13"/>
        <v>0.40810918500000004</v>
      </c>
      <c r="Z22" s="35">
        <f t="shared" si="13"/>
        <v>2.44865511E-2</v>
      </c>
      <c r="AA22" s="35">
        <f t="shared" si="13"/>
        <v>5.5905367808219184E-2</v>
      </c>
      <c r="AB22" s="42">
        <f t="shared" si="37"/>
        <v>0.30746457593205112</v>
      </c>
      <c r="AC22" s="36">
        <f t="shared" si="14"/>
        <v>0.30118</v>
      </c>
      <c r="AD22" s="34"/>
      <c r="AE22" s="35"/>
      <c r="AF22" s="35"/>
      <c r="AG22" s="35"/>
      <c r="AH22" s="42"/>
      <c r="AI22" s="36"/>
      <c r="AJ22" s="34"/>
      <c r="AK22" s="35"/>
      <c r="AL22" s="35"/>
      <c r="AM22" s="35"/>
      <c r="AN22" s="42"/>
      <c r="AO22" s="36"/>
      <c r="AP22" s="34"/>
      <c r="AQ22" s="35"/>
      <c r="AR22" s="35"/>
      <c r="AS22" s="35"/>
      <c r="AT22" s="42"/>
      <c r="AU22" s="36"/>
      <c r="AV22" s="34"/>
      <c r="AW22" s="35"/>
      <c r="AX22" s="35"/>
      <c r="AY22" s="35"/>
      <c r="AZ22" s="42"/>
      <c r="BA22" s="36"/>
      <c r="BB22" s="34"/>
      <c r="BC22" s="35"/>
      <c r="BD22" s="35"/>
      <c r="BE22" s="35"/>
      <c r="BF22" s="42"/>
      <c r="BG22" s="36"/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3092.6</v>
      </c>
      <c r="D23">
        <v>40609.4</v>
      </c>
      <c r="E23">
        <v>1722.9</v>
      </c>
      <c r="F23">
        <f t="shared" si="60"/>
        <v>4.0609400000000004</v>
      </c>
      <c r="G23">
        <f t="shared" si="61"/>
        <v>0.30925999999999998</v>
      </c>
      <c r="H23">
        <f t="shared" si="62"/>
        <v>3.7516800000000003</v>
      </c>
      <c r="I23">
        <f t="shared" si="64"/>
        <v>0.17229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0.12296042225262095</v>
      </c>
      <c r="P23" s="4">
        <v>3</v>
      </c>
      <c r="Q23" s="5">
        <f t="shared" si="67"/>
        <v>3.7516800000000003</v>
      </c>
      <c r="R23" s="5">
        <f t="shared" si="67"/>
        <v>0.17229</v>
      </c>
      <c r="S23" s="5">
        <f t="shared" si="68"/>
        <v>4.1681164800000001</v>
      </c>
      <c r="T23" s="5">
        <f t="shared" si="69"/>
        <v>0.25008698880000002</v>
      </c>
      <c r="U23" s="5">
        <f t="shared" si="70"/>
        <v>0.5709748602739726</v>
      </c>
      <c r="V23" s="5">
        <f t="shared" si="63"/>
        <v>0.12296042225262095</v>
      </c>
      <c r="W23" s="19"/>
      <c r="X23" s="34"/>
      <c r="Y23" s="35"/>
      <c r="Z23" s="35"/>
      <c r="AA23" s="35"/>
      <c r="AB23" s="42"/>
      <c r="AC23" s="36"/>
      <c r="AD23" s="34"/>
      <c r="AE23" s="35"/>
      <c r="AF23" s="35"/>
      <c r="AG23" s="35"/>
      <c r="AH23" s="42"/>
      <c r="AI23" s="36"/>
      <c r="AJ23" s="34"/>
      <c r="AK23" s="35"/>
      <c r="AL23" s="35"/>
      <c r="AM23" s="35"/>
      <c r="AN23" s="42"/>
      <c r="AO23" s="36"/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2371.1999999999998</v>
      </c>
      <c r="D24">
        <v>36590.1</v>
      </c>
      <c r="E24">
        <v>1741.5</v>
      </c>
      <c r="F24">
        <f t="shared" si="60"/>
        <v>3.6590099999999999</v>
      </c>
      <c r="G24">
        <f t="shared" si="61"/>
        <v>0.23711999999999997</v>
      </c>
      <c r="H24">
        <f t="shared" si="62"/>
        <v>3.4218899999999999</v>
      </c>
      <c r="I24">
        <f t="shared" si="64"/>
        <v>0.17415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8.511228985551049E-2</v>
      </c>
      <c r="P24" s="4">
        <v>4</v>
      </c>
      <c r="Q24" s="5">
        <f t="shared" si="67"/>
        <v>3.4218899999999999</v>
      </c>
      <c r="R24" s="5">
        <f t="shared" si="67"/>
        <v>0.17415</v>
      </c>
      <c r="S24" s="5">
        <f t="shared" si="68"/>
        <v>2.8512898425000004</v>
      </c>
      <c r="T24" s="5">
        <f t="shared" si="69"/>
        <v>0.17107739055000001</v>
      </c>
      <c r="U24" s="5">
        <f t="shared" si="70"/>
        <v>0.39058764965753429</v>
      </c>
      <c r="V24" s="5">
        <f t="shared" si="63"/>
        <v>8.511228985551049E-2</v>
      </c>
      <c r="W24" s="19"/>
      <c r="X24" s="37"/>
      <c r="Y24" s="38"/>
      <c r="Z24" s="38"/>
      <c r="AA24" s="38"/>
      <c r="AB24" s="43"/>
      <c r="AC24" s="39"/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-4470.5</v>
      </c>
      <c r="D25">
        <v>13225.4</v>
      </c>
      <c r="E25">
        <v>3205.9</v>
      </c>
      <c r="F25">
        <f t="shared" si="60"/>
        <v>1.32254</v>
      </c>
      <c r="G25">
        <f t="shared" si="61"/>
        <v>-0.44705</v>
      </c>
      <c r="H25">
        <f t="shared" si="62"/>
        <v>1.76959</v>
      </c>
      <c r="I25">
        <f t="shared" si="64"/>
        <v>0.32058999999999999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6.1529047377966176E-2</v>
      </c>
      <c r="P25" s="4">
        <v>4</v>
      </c>
      <c r="Q25" s="5">
        <f t="shared" si="67"/>
        <v>1.76959</v>
      </c>
      <c r="R25" s="5">
        <f t="shared" si="67"/>
        <v>0.32058999999999999</v>
      </c>
      <c r="S25" s="5">
        <f t="shared" si="68"/>
        <v>1.4745108674999998</v>
      </c>
      <c r="T25" s="5">
        <f t="shared" si="69"/>
        <v>8.8470652049999987E-2</v>
      </c>
      <c r="U25" s="5">
        <f t="shared" si="70"/>
        <v>0.20198779006849313</v>
      </c>
      <c r="V25" s="5">
        <f t="shared" si="63"/>
        <v>6.1529047377966176E-2</v>
      </c>
      <c r="W25" s="19"/>
      <c r="X25" s="20"/>
      <c r="Y25" s="21"/>
      <c r="Z25" s="18"/>
    </row>
    <row r="26" spans="2:95" x14ac:dyDescent="0.3">
      <c r="B26">
        <v>8</v>
      </c>
      <c r="C26">
        <v>0</v>
      </c>
      <c r="D26">
        <v>0</v>
      </c>
      <c r="E26">
        <v>0</v>
      </c>
      <c r="F26">
        <f t="shared" si="60"/>
        <v>0</v>
      </c>
      <c r="G26">
        <f t="shared" si="61"/>
        <v>0</v>
      </c>
      <c r="H26">
        <f t="shared" si="62"/>
        <v>0</v>
      </c>
      <c r="I26">
        <f t="shared" si="64"/>
        <v>0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5.1599217764594793E-2</v>
      </c>
      <c r="P26" s="4">
        <v>5</v>
      </c>
      <c r="Q26" s="5">
        <f t="shared" si="67"/>
        <v>0</v>
      </c>
      <c r="R26" s="5">
        <f t="shared" si="67"/>
        <v>0</v>
      </c>
      <c r="S26" s="5">
        <f t="shared" si="68"/>
        <v>0</v>
      </c>
      <c r="T26" s="5">
        <f t="shared" si="69"/>
        <v>0</v>
      </c>
      <c r="U26" s="5">
        <f t="shared" si="70"/>
        <v>0</v>
      </c>
      <c r="V26" s="5">
        <f t="shared" si="63"/>
        <v>5.1599217764594793E-2</v>
      </c>
      <c r="W26" s="19"/>
      <c r="X26" s="20"/>
      <c r="Y26" s="21"/>
      <c r="Z26" s="18"/>
    </row>
    <row r="27" spans="2:95" x14ac:dyDescent="0.3">
      <c r="B27">
        <v>9</v>
      </c>
      <c r="C27">
        <v>0</v>
      </c>
      <c r="D27">
        <v>0</v>
      </c>
      <c r="E27">
        <v>0</v>
      </c>
      <c r="F27">
        <f t="shared" si="60"/>
        <v>0</v>
      </c>
      <c r="G27">
        <f t="shared" si="61"/>
        <v>0</v>
      </c>
      <c r="H27">
        <f t="shared" si="62"/>
        <v>0</v>
      </c>
      <c r="I27">
        <f t="shared" si="64"/>
        <v>0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4.1585300449235113E-2</v>
      </c>
      <c r="P27" s="4">
        <v>8</v>
      </c>
      <c r="Q27" s="5">
        <f t="shared" si="67"/>
        <v>0</v>
      </c>
      <c r="R27" s="5">
        <f t="shared" si="67"/>
        <v>0</v>
      </c>
      <c r="S27" s="5">
        <f t="shared" si="68"/>
        <v>0</v>
      </c>
      <c r="T27" s="5">
        <f t="shared" si="69"/>
        <v>0</v>
      </c>
      <c r="U27" s="5">
        <f t="shared" si="70"/>
        <v>0</v>
      </c>
      <c r="V27" s="5">
        <f t="shared" si="63"/>
        <v>4.1585300449235113E-2</v>
      </c>
      <c r="W27" s="19"/>
      <c r="X27" s="20"/>
      <c r="Y27" s="21"/>
      <c r="Z27" s="17"/>
    </row>
    <row r="28" spans="2:95" x14ac:dyDescent="0.3">
      <c r="B28">
        <v>10</v>
      </c>
      <c r="C28">
        <v>0</v>
      </c>
      <c r="D28">
        <v>0</v>
      </c>
      <c r="E28">
        <v>0</v>
      </c>
      <c r="F28">
        <f t="shared" si="60"/>
        <v>0</v>
      </c>
      <c r="G28">
        <f t="shared" si="61"/>
        <v>0</v>
      </c>
      <c r="H28">
        <f t="shared" si="62"/>
        <v>0</v>
      </c>
      <c r="I28">
        <f t="shared" si="64"/>
        <v>0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2.9779995094955727E-2</v>
      </c>
      <c r="P28" s="4">
        <v>14</v>
      </c>
      <c r="Q28" s="5">
        <f t="shared" si="67"/>
        <v>0</v>
      </c>
      <c r="R28" s="5">
        <f t="shared" si="67"/>
        <v>0</v>
      </c>
      <c r="S28" s="5">
        <f t="shared" si="68"/>
        <v>0</v>
      </c>
      <c r="T28" s="5">
        <f t="shared" si="69"/>
        <v>0</v>
      </c>
      <c r="U28" s="5">
        <f t="shared" si="70"/>
        <v>0</v>
      </c>
      <c r="V28" s="5">
        <f t="shared" si="63"/>
        <v>2.9779995094955727E-2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1.9204464274741859E-2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1.9204464274741859E-2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-182</v>
      </c>
      <c r="D33">
        <v>37301.199999999997</v>
      </c>
      <c r="E33">
        <v>3059.5</v>
      </c>
      <c r="F33">
        <f t="shared" ref="F33:F43" si="72">D33/10000</f>
        <v>3.7301199999999999</v>
      </c>
      <c r="G33">
        <f t="shared" ref="G33:G43" si="73">C33/10000</f>
        <v>-1.8200000000000001E-2</v>
      </c>
      <c r="H33">
        <f t="shared" ref="H33:H43" si="74">F33-G33</f>
        <v>3.7483200000000001</v>
      </c>
      <c r="I33">
        <f>E33/10000</f>
        <v>0.30595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0.27529055908341199</v>
      </c>
      <c r="P33" s="2">
        <v>3</v>
      </c>
      <c r="Q33" s="8">
        <f>H33</f>
        <v>3.7483200000000001</v>
      </c>
      <c r="R33" s="8">
        <f>I33</f>
        <v>0.30595</v>
      </c>
      <c r="S33" s="8">
        <f>Q33/10^6*$Z$4*$Z$3/P33*10^12</f>
        <v>4.1643835200000003</v>
      </c>
      <c r="T33" s="8">
        <f>S33*0.06</f>
        <v>0.24986301120000001</v>
      </c>
      <c r="U33" s="8">
        <f>S33/$Z$1</f>
        <v>0.57046349589041101</v>
      </c>
      <c r="V33" s="12">
        <f t="shared" ref="V33:V43" si="75">O33</f>
        <v>0.27529055908341199</v>
      </c>
    </row>
    <row r="34" spans="2:22" x14ac:dyDescent="0.3">
      <c r="B34">
        <v>2</v>
      </c>
      <c r="C34">
        <v>3031.3</v>
      </c>
      <c r="D34">
        <v>37247.599999999999</v>
      </c>
      <c r="E34">
        <v>2882.7</v>
      </c>
      <c r="F34">
        <f t="shared" si="72"/>
        <v>3.7247599999999998</v>
      </c>
      <c r="G34">
        <f t="shared" si="73"/>
        <v>0.30313000000000001</v>
      </c>
      <c r="H34">
        <f t="shared" si="74"/>
        <v>3.4216299999999999</v>
      </c>
      <c r="I34">
        <f t="shared" ref="I34:I43" si="76">E34/10000</f>
        <v>0.28826999999999997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0.24419327473590918</v>
      </c>
      <c r="P34" s="4">
        <v>3</v>
      </c>
      <c r="Q34" s="5">
        <f t="shared" ref="Q34:R43" si="79">H34</f>
        <v>3.4216299999999999</v>
      </c>
      <c r="R34" s="5">
        <f t="shared" si="79"/>
        <v>0.28826999999999997</v>
      </c>
      <c r="S34" s="5">
        <f t="shared" ref="S34:S43" si="80">Q34/10^6*$Z$4*$Z$3/P34*10^12</f>
        <v>3.8014309300000004</v>
      </c>
      <c r="T34" s="5">
        <f t="shared" ref="T34:T43" si="81">S34*0.06</f>
        <v>0.22808585580000001</v>
      </c>
      <c r="U34" s="5">
        <f t="shared" ref="U34:U43" si="82">S34/$Z$1</f>
        <v>0.52074396301369874</v>
      </c>
      <c r="V34" s="5">
        <f t="shared" si="75"/>
        <v>0.24419327473590918</v>
      </c>
    </row>
    <row r="35" spans="2:22" x14ac:dyDescent="0.3">
      <c r="B35">
        <v>3</v>
      </c>
      <c r="C35">
        <v>3440.3</v>
      </c>
      <c r="D35">
        <v>40698.199999999997</v>
      </c>
      <c r="E35">
        <v>1798.7</v>
      </c>
      <c r="F35">
        <f t="shared" si="72"/>
        <v>4.06982</v>
      </c>
      <c r="G35">
        <f t="shared" si="73"/>
        <v>0.34403</v>
      </c>
      <c r="H35">
        <f t="shared" si="74"/>
        <v>3.7257899999999999</v>
      </c>
      <c r="I35">
        <f t="shared" si="76"/>
        <v>0.17987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0.21066400380759739</v>
      </c>
      <c r="P35" s="4">
        <v>3</v>
      </c>
      <c r="Q35" s="5">
        <f t="shared" si="79"/>
        <v>3.7257899999999999</v>
      </c>
      <c r="R35" s="5">
        <f t="shared" si="79"/>
        <v>0.17987</v>
      </c>
      <c r="S35" s="5">
        <f t="shared" si="80"/>
        <v>4.1393526899999999</v>
      </c>
      <c r="T35" s="5">
        <f t="shared" si="81"/>
        <v>0.24836116139999997</v>
      </c>
      <c r="U35" s="5">
        <f t="shared" si="82"/>
        <v>0.56703461506849318</v>
      </c>
      <c r="V35" s="5">
        <f t="shared" si="75"/>
        <v>0.21066400380759739</v>
      </c>
    </row>
    <row r="36" spans="2:22" x14ac:dyDescent="0.3">
      <c r="B36">
        <v>4</v>
      </c>
      <c r="C36">
        <v>2820.7</v>
      </c>
      <c r="D36">
        <v>32206.2</v>
      </c>
      <c r="E36">
        <v>709.5</v>
      </c>
      <c r="F36">
        <f t="shared" si="72"/>
        <v>3.2206200000000003</v>
      </c>
      <c r="G36">
        <f t="shared" si="73"/>
        <v>0.28206999999999999</v>
      </c>
      <c r="H36">
        <f t="shared" si="74"/>
        <v>2.9385500000000002</v>
      </c>
      <c r="I36">
        <f t="shared" si="76"/>
        <v>7.0949999999999999E-2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0.12759406947069829</v>
      </c>
      <c r="P36" s="4">
        <v>3</v>
      </c>
      <c r="Q36" s="5">
        <f t="shared" si="79"/>
        <v>2.9385500000000002</v>
      </c>
      <c r="R36" s="5">
        <f t="shared" si="79"/>
        <v>7.0949999999999999E-2</v>
      </c>
      <c r="S36" s="5">
        <f t="shared" si="80"/>
        <v>3.2647290499999997</v>
      </c>
      <c r="T36" s="5">
        <f t="shared" si="81"/>
        <v>0.19588374299999997</v>
      </c>
      <c r="U36" s="5">
        <f t="shared" si="82"/>
        <v>0.44722315753424652</v>
      </c>
      <c r="V36" s="5">
        <f t="shared" si="75"/>
        <v>0.12759406947069829</v>
      </c>
    </row>
    <row r="37" spans="2:22" x14ac:dyDescent="0.3">
      <c r="B37">
        <v>5</v>
      </c>
      <c r="C37">
        <v>173.6</v>
      </c>
      <c r="D37">
        <v>32271.1</v>
      </c>
      <c r="E37">
        <v>2266.1999999999998</v>
      </c>
      <c r="F37">
        <f t="shared" si="72"/>
        <v>3.2271099999999997</v>
      </c>
      <c r="G37">
        <f t="shared" si="73"/>
        <v>1.736E-2</v>
      </c>
      <c r="H37">
        <f t="shared" si="74"/>
        <v>3.2097499999999997</v>
      </c>
      <c r="I37">
        <f t="shared" si="76"/>
        <v>0.22661999999999999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9.2220316689465703E-2</v>
      </c>
      <c r="P37" s="4">
        <v>3</v>
      </c>
      <c r="Q37" s="5">
        <f t="shared" si="79"/>
        <v>3.2097499999999997</v>
      </c>
      <c r="R37" s="5">
        <f t="shared" si="79"/>
        <v>0.22661999999999999</v>
      </c>
      <c r="S37" s="5">
        <f t="shared" si="80"/>
        <v>3.5660322500000006</v>
      </c>
      <c r="T37" s="5">
        <f t="shared" si="81"/>
        <v>0.21396193500000002</v>
      </c>
      <c r="U37" s="5">
        <f t="shared" si="82"/>
        <v>0.48849756849315079</v>
      </c>
      <c r="V37" s="5">
        <f t="shared" si="75"/>
        <v>9.2220316689465703E-2</v>
      </c>
    </row>
    <row r="38" spans="2:22" x14ac:dyDescent="0.3">
      <c r="B38">
        <v>6</v>
      </c>
      <c r="C38">
        <v>2071</v>
      </c>
      <c r="D38">
        <v>26255.8</v>
      </c>
      <c r="E38">
        <v>2885.7</v>
      </c>
      <c r="F38">
        <f t="shared" si="72"/>
        <v>2.6255799999999998</v>
      </c>
      <c r="G38">
        <f t="shared" si="73"/>
        <v>0.20710000000000001</v>
      </c>
      <c r="H38">
        <f t="shared" si="74"/>
        <v>2.4184799999999997</v>
      </c>
      <c r="I38">
        <f t="shared" si="76"/>
        <v>0.28856999999999999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6.3834217391632864E-2</v>
      </c>
      <c r="P38" s="4">
        <v>4</v>
      </c>
      <c r="Q38" s="5">
        <f t="shared" si="79"/>
        <v>2.4184799999999997</v>
      </c>
      <c r="R38" s="5">
        <f t="shared" si="79"/>
        <v>0.28856999999999999</v>
      </c>
      <c r="S38" s="5">
        <f t="shared" si="80"/>
        <v>2.0151984599999997</v>
      </c>
      <c r="T38" s="5">
        <f t="shared" si="81"/>
        <v>0.12091190759999998</v>
      </c>
      <c r="U38" s="5">
        <f t="shared" si="82"/>
        <v>0.27605458356164381</v>
      </c>
      <c r="V38" s="5">
        <f t="shared" si="75"/>
        <v>6.3834217391632864E-2</v>
      </c>
    </row>
    <row r="39" spans="2:22" x14ac:dyDescent="0.3">
      <c r="B39">
        <v>7</v>
      </c>
      <c r="C39">
        <v>0</v>
      </c>
      <c r="D39">
        <v>0</v>
      </c>
      <c r="E39">
        <v>0</v>
      </c>
      <c r="F39">
        <f t="shared" si="72"/>
        <v>0</v>
      </c>
      <c r="G39">
        <f t="shared" si="73"/>
        <v>0</v>
      </c>
      <c r="H39">
        <f t="shared" si="74"/>
        <v>0</v>
      </c>
      <c r="I39">
        <f t="shared" si="76"/>
        <v>0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4.6146785533474628E-2</v>
      </c>
      <c r="P39" s="4">
        <v>4</v>
      </c>
      <c r="Q39" s="5">
        <f t="shared" si="79"/>
        <v>0</v>
      </c>
      <c r="R39" s="5">
        <f t="shared" si="79"/>
        <v>0</v>
      </c>
      <c r="S39" s="5">
        <f t="shared" si="80"/>
        <v>0</v>
      </c>
      <c r="T39" s="5">
        <f t="shared" si="81"/>
        <v>0</v>
      </c>
      <c r="U39" s="5">
        <f t="shared" si="82"/>
        <v>0</v>
      </c>
      <c r="V39" s="5">
        <f t="shared" si="75"/>
        <v>4.6146785533474628E-2</v>
      </c>
    </row>
    <row r="40" spans="2:22" x14ac:dyDescent="0.3">
      <c r="B40">
        <v>8</v>
      </c>
      <c r="C40">
        <v>0</v>
      </c>
      <c r="D40">
        <v>0</v>
      </c>
      <c r="E40">
        <v>0</v>
      </c>
      <c r="F40">
        <f t="shared" si="72"/>
        <v>0</v>
      </c>
      <c r="G40">
        <f t="shared" si="73"/>
        <v>0</v>
      </c>
      <c r="H40">
        <f t="shared" si="74"/>
        <v>0</v>
      </c>
      <c r="I40">
        <f t="shared" si="76"/>
        <v>0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3.8699413323446091E-2</v>
      </c>
      <c r="P40" s="4">
        <v>5</v>
      </c>
      <c r="Q40" s="5">
        <f t="shared" si="79"/>
        <v>0</v>
      </c>
      <c r="R40" s="5">
        <f t="shared" si="79"/>
        <v>0</v>
      </c>
      <c r="S40" s="5">
        <f t="shared" si="80"/>
        <v>0</v>
      </c>
      <c r="T40" s="5">
        <f t="shared" si="81"/>
        <v>0</v>
      </c>
      <c r="U40" s="5">
        <f t="shared" si="82"/>
        <v>0</v>
      </c>
      <c r="V40" s="5">
        <f t="shared" si="75"/>
        <v>3.8699413323446091E-2</v>
      </c>
    </row>
    <row r="41" spans="2:22" x14ac:dyDescent="0.3">
      <c r="B41">
        <v>9</v>
      </c>
      <c r="C41">
        <v>0</v>
      </c>
      <c r="D41">
        <v>0</v>
      </c>
      <c r="E41">
        <v>0</v>
      </c>
      <c r="F41">
        <f t="shared" si="72"/>
        <v>0</v>
      </c>
      <c r="G41">
        <f t="shared" si="73"/>
        <v>0</v>
      </c>
      <c r="H41">
        <f t="shared" si="74"/>
        <v>0</v>
      </c>
      <c r="I41">
        <f t="shared" si="76"/>
        <v>0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3.1188975336926335E-2</v>
      </c>
      <c r="P41" s="4">
        <v>8</v>
      </c>
      <c r="Q41" s="5">
        <f t="shared" si="79"/>
        <v>0</v>
      </c>
      <c r="R41" s="5">
        <f t="shared" si="79"/>
        <v>0</v>
      </c>
      <c r="S41" s="5">
        <f t="shared" si="80"/>
        <v>0</v>
      </c>
      <c r="T41" s="5">
        <f t="shared" si="81"/>
        <v>0</v>
      </c>
      <c r="U41" s="5">
        <f t="shared" si="82"/>
        <v>0</v>
      </c>
      <c r="V41" s="5">
        <f t="shared" si="75"/>
        <v>3.1188975336926335E-2</v>
      </c>
    </row>
    <row r="42" spans="2:22" x14ac:dyDescent="0.3">
      <c r="B42">
        <v>10</v>
      </c>
      <c r="C42">
        <v>0</v>
      </c>
      <c r="D42">
        <v>0</v>
      </c>
      <c r="E42">
        <v>0</v>
      </c>
      <c r="F42">
        <f t="shared" si="72"/>
        <v>0</v>
      </c>
      <c r="G42">
        <f t="shared" si="73"/>
        <v>0</v>
      </c>
      <c r="H42">
        <f t="shared" si="74"/>
        <v>0</v>
      </c>
      <c r="I42">
        <f t="shared" si="76"/>
        <v>0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2.2334996321216796E-2</v>
      </c>
      <c r="P42" s="4">
        <v>14</v>
      </c>
      <c r="Q42" s="5">
        <f t="shared" si="79"/>
        <v>0</v>
      </c>
      <c r="R42" s="5">
        <f t="shared" si="79"/>
        <v>0</v>
      </c>
      <c r="S42" s="5">
        <f t="shared" si="80"/>
        <v>0</v>
      </c>
      <c r="T42" s="5">
        <f t="shared" si="81"/>
        <v>0</v>
      </c>
      <c r="U42" s="5">
        <f t="shared" si="82"/>
        <v>0</v>
      </c>
      <c r="V42" s="5">
        <f t="shared" si="75"/>
        <v>2.2334996321216796E-2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1.4403348206056396E-2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1.4403348206056396E-2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2265.1</v>
      </c>
      <c r="D47">
        <v>38241.800000000003</v>
      </c>
      <c r="E47">
        <v>2615.3000000000002</v>
      </c>
      <c r="F47">
        <f t="shared" ref="F47:F57" si="84">D47/10000</f>
        <v>3.8241800000000001</v>
      </c>
      <c r="G47">
        <f t="shared" ref="G47:G57" si="85">C47/10000</f>
        <v>0.22650999999999999</v>
      </c>
      <c r="H47">
        <f t="shared" ref="H47:H57" si="86">F47-G47</f>
        <v>3.5976699999999999</v>
      </c>
      <c r="I47">
        <f>E47/10000</f>
        <v>0.26153000000000004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0.22023244726672958</v>
      </c>
      <c r="P47" s="2">
        <v>3</v>
      </c>
      <c r="Q47" s="8">
        <f>H47</f>
        <v>3.5976699999999999</v>
      </c>
      <c r="R47" s="8">
        <f>I47</f>
        <v>0.26153000000000004</v>
      </c>
      <c r="S47" s="8">
        <f>Q47/10^6*$Z$4*$Z$3/P47*10^12</f>
        <v>3.9970113700000005</v>
      </c>
      <c r="T47" s="8">
        <f>S47*0.06</f>
        <v>0.23982068220000002</v>
      </c>
      <c r="U47" s="8">
        <f>S47/$Z$1</f>
        <v>0.54753580410958913</v>
      </c>
      <c r="V47" s="12">
        <f t="shared" ref="V47:V57" si="87">O47</f>
        <v>0.22023244726672958</v>
      </c>
    </row>
    <row r="48" spans="2:22" x14ac:dyDescent="0.3">
      <c r="B48">
        <v>2</v>
      </c>
      <c r="C48">
        <v>9214.2000000000007</v>
      </c>
      <c r="D48">
        <v>38407.300000000003</v>
      </c>
      <c r="E48">
        <v>2157.9</v>
      </c>
      <c r="F48">
        <f t="shared" si="84"/>
        <v>3.8407300000000002</v>
      </c>
      <c r="G48">
        <f t="shared" si="85"/>
        <v>0.92142000000000013</v>
      </c>
      <c r="H48">
        <f t="shared" si="86"/>
        <v>2.9193100000000003</v>
      </c>
      <c r="I48">
        <f t="shared" ref="I48:I57" si="88">E48/10000</f>
        <v>0.21579000000000001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0.19535461978872737</v>
      </c>
      <c r="P48" s="4">
        <v>3</v>
      </c>
      <c r="Q48" s="5">
        <f t="shared" ref="Q48:R57" si="91">H48</f>
        <v>2.9193100000000003</v>
      </c>
      <c r="R48" s="5">
        <f t="shared" si="91"/>
        <v>0.21579000000000001</v>
      </c>
      <c r="S48" s="5">
        <f t="shared" ref="S48:S57" si="92">Q48/10^6*$Z$4*$Z$3/P48*10^12</f>
        <v>3.2433534100000005</v>
      </c>
      <c r="T48" s="5">
        <f t="shared" ref="T48:T57" si="93">S48*0.06</f>
        <v>0.19460120460000002</v>
      </c>
      <c r="U48" s="5">
        <f t="shared" ref="U48:U57" si="94">S48/$Z$1</f>
        <v>0.44429498767123299</v>
      </c>
      <c r="V48" s="5">
        <f t="shared" si="87"/>
        <v>0.19535461978872737</v>
      </c>
    </row>
    <row r="49" spans="2:22" x14ac:dyDescent="0.3">
      <c r="B49">
        <v>3</v>
      </c>
      <c r="C49">
        <v>7464.7</v>
      </c>
      <c r="D49">
        <v>30047</v>
      </c>
      <c r="E49">
        <v>1779.7</v>
      </c>
      <c r="F49">
        <f t="shared" si="84"/>
        <v>3.0047000000000001</v>
      </c>
      <c r="G49">
        <f t="shared" si="85"/>
        <v>0.74646999999999997</v>
      </c>
      <c r="H49">
        <f t="shared" si="86"/>
        <v>2.2582300000000002</v>
      </c>
      <c r="I49">
        <f t="shared" si="88"/>
        <v>0.17797000000000002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0.16853120304607791</v>
      </c>
      <c r="P49" s="4">
        <v>3</v>
      </c>
      <c r="Q49" s="5">
        <f t="shared" si="91"/>
        <v>2.2582300000000002</v>
      </c>
      <c r="R49" s="5">
        <f t="shared" si="91"/>
        <v>0.17797000000000002</v>
      </c>
      <c r="S49" s="5">
        <f t="shared" si="92"/>
        <v>2.5088935299999999</v>
      </c>
      <c r="T49" s="5">
        <f t="shared" si="93"/>
        <v>0.15053361179999999</v>
      </c>
      <c r="U49" s="5">
        <f t="shared" si="94"/>
        <v>0.34368404520547946</v>
      </c>
      <c r="V49" s="5">
        <f t="shared" si="87"/>
        <v>0.16853120304607791</v>
      </c>
    </row>
    <row r="50" spans="2:22" x14ac:dyDescent="0.3">
      <c r="B50">
        <v>4</v>
      </c>
      <c r="C50">
        <v>461.8</v>
      </c>
      <c r="D50">
        <v>25289</v>
      </c>
      <c r="E50">
        <v>704</v>
      </c>
      <c r="F50">
        <f t="shared" si="84"/>
        <v>2.5289000000000001</v>
      </c>
      <c r="G50">
        <f t="shared" si="85"/>
        <v>4.6179999999999999E-2</v>
      </c>
      <c r="H50">
        <f t="shared" si="86"/>
        <v>2.48272</v>
      </c>
      <c r="I50">
        <f t="shared" si="88"/>
        <v>7.0400000000000004E-2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0.10207525557655864</v>
      </c>
      <c r="P50" s="4">
        <v>3</v>
      </c>
      <c r="Q50" s="5">
        <f t="shared" si="91"/>
        <v>2.48272</v>
      </c>
      <c r="R50" s="5">
        <f t="shared" si="91"/>
        <v>7.0400000000000004E-2</v>
      </c>
      <c r="S50" s="5">
        <f t="shared" si="92"/>
        <v>2.7583019200000001</v>
      </c>
      <c r="T50" s="5">
        <f t="shared" si="93"/>
        <v>0.16549811519999999</v>
      </c>
      <c r="U50" s="5">
        <f t="shared" si="94"/>
        <v>0.37784957808219177</v>
      </c>
      <c r="V50" s="5">
        <f t="shared" si="87"/>
        <v>0.10207525557655864</v>
      </c>
    </row>
    <row r="51" spans="2:22" x14ac:dyDescent="0.3">
      <c r="B51">
        <v>5</v>
      </c>
      <c r="C51">
        <v>255.6</v>
      </c>
      <c r="D51">
        <v>18169</v>
      </c>
      <c r="E51">
        <v>777</v>
      </c>
      <c r="F51">
        <f t="shared" si="84"/>
        <v>1.8169</v>
      </c>
      <c r="G51">
        <f t="shared" si="85"/>
        <v>2.5559999999999999E-2</v>
      </c>
      <c r="H51">
        <f t="shared" si="86"/>
        <v>1.7913399999999999</v>
      </c>
      <c r="I51">
        <f t="shared" si="88"/>
        <v>7.7700000000000005E-2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7.3776253351572563E-2</v>
      </c>
      <c r="P51" s="4">
        <v>3</v>
      </c>
      <c r="Q51" s="5">
        <f t="shared" si="91"/>
        <v>1.7913399999999999</v>
      </c>
      <c r="R51" s="5">
        <f t="shared" si="91"/>
        <v>7.7700000000000005E-2</v>
      </c>
      <c r="S51" s="5">
        <f t="shared" si="92"/>
        <v>1.9901787399999999</v>
      </c>
      <c r="T51" s="5">
        <f t="shared" si="93"/>
        <v>0.11941072439999999</v>
      </c>
      <c r="U51" s="5">
        <f t="shared" si="94"/>
        <v>0.27262722465753425</v>
      </c>
      <c r="V51" s="5">
        <f t="shared" si="87"/>
        <v>7.3776253351572563E-2</v>
      </c>
    </row>
    <row r="52" spans="2:22" x14ac:dyDescent="0.3">
      <c r="B52">
        <v>6</v>
      </c>
      <c r="C52">
        <v>3491.9</v>
      </c>
      <c r="D52">
        <v>7496.2</v>
      </c>
      <c r="E52">
        <v>2683.6</v>
      </c>
      <c r="F52">
        <f t="shared" si="84"/>
        <v>0.74961999999999995</v>
      </c>
      <c r="G52">
        <f t="shared" si="85"/>
        <v>0.34919</v>
      </c>
      <c r="H52">
        <f t="shared" si="86"/>
        <v>0.40042999999999995</v>
      </c>
      <c r="I52">
        <f t="shared" si="88"/>
        <v>0.26835999999999999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5.1067373913306291E-2</v>
      </c>
      <c r="P52" s="4">
        <v>4</v>
      </c>
      <c r="Q52" s="5">
        <f t="shared" si="91"/>
        <v>0.40042999999999995</v>
      </c>
      <c r="R52" s="5">
        <f t="shared" si="91"/>
        <v>0.26835999999999999</v>
      </c>
      <c r="S52" s="5">
        <f t="shared" si="92"/>
        <v>0.33365829749999998</v>
      </c>
      <c r="T52" s="5">
        <f t="shared" si="93"/>
        <v>2.0019497849999998E-2</v>
      </c>
      <c r="U52" s="5">
        <f t="shared" si="94"/>
        <v>4.5706616095890412E-2</v>
      </c>
      <c r="V52" s="5">
        <f t="shared" si="87"/>
        <v>5.1067373913306291E-2</v>
      </c>
    </row>
    <row r="53" spans="2:22" x14ac:dyDescent="0.3">
      <c r="B53">
        <v>7</v>
      </c>
      <c r="C53">
        <v>0</v>
      </c>
      <c r="D53">
        <v>0</v>
      </c>
      <c r="E53">
        <v>0</v>
      </c>
      <c r="F53">
        <f t="shared" si="84"/>
        <v>0</v>
      </c>
      <c r="G53">
        <f t="shared" si="85"/>
        <v>0</v>
      </c>
      <c r="H53">
        <f t="shared" si="86"/>
        <v>0</v>
      </c>
      <c r="I53">
        <f t="shared" si="88"/>
        <v>0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3.6917428426779704E-2</v>
      </c>
      <c r="P53" s="4">
        <v>4</v>
      </c>
      <c r="Q53" s="5">
        <f t="shared" si="91"/>
        <v>0</v>
      </c>
      <c r="R53" s="5">
        <f t="shared" si="91"/>
        <v>0</v>
      </c>
      <c r="S53" s="5">
        <f t="shared" si="92"/>
        <v>0</v>
      </c>
      <c r="T53" s="5">
        <f t="shared" si="93"/>
        <v>0</v>
      </c>
      <c r="U53" s="5">
        <f t="shared" si="94"/>
        <v>0</v>
      </c>
      <c r="V53" s="5">
        <f t="shared" si="87"/>
        <v>3.6917428426779704E-2</v>
      </c>
    </row>
    <row r="54" spans="2:22" x14ac:dyDescent="0.3">
      <c r="B54">
        <v>8</v>
      </c>
      <c r="C54">
        <v>0</v>
      </c>
      <c r="D54">
        <v>0</v>
      </c>
      <c r="E54">
        <v>0</v>
      </c>
      <c r="F54">
        <f t="shared" si="84"/>
        <v>0</v>
      </c>
      <c r="G54">
        <f t="shared" si="85"/>
        <v>0</v>
      </c>
      <c r="H54">
        <f t="shared" si="86"/>
        <v>0</v>
      </c>
      <c r="I54">
        <f t="shared" si="88"/>
        <v>0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3.0959530658756878E-2</v>
      </c>
      <c r="P54" s="4">
        <v>5</v>
      </c>
      <c r="Q54" s="5">
        <f t="shared" si="91"/>
        <v>0</v>
      </c>
      <c r="R54" s="5">
        <f t="shared" si="91"/>
        <v>0</v>
      </c>
      <c r="S54" s="5">
        <f t="shared" si="92"/>
        <v>0</v>
      </c>
      <c r="T54" s="5">
        <f t="shared" si="93"/>
        <v>0</v>
      </c>
      <c r="U54" s="5">
        <f t="shared" si="94"/>
        <v>0</v>
      </c>
      <c r="V54" s="5">
        <f t="shared" si="87"/>
        <v>3.0959530658756878E-2</v>
      </c>
    </row>
    <row r="55" spans="2:22" x14ac:dyDescent="0.3">
      <c r="B55">
        <v>9</v>
      </c>
      <c r="C55">
        <v>0</v>
      </c>
      <c r="D55">
        <v>0</v>
      </c>
      <c r="E55">
        <v>0</v>
      </c>
      <c r="F55">
        <f t="shared" si="84"/>
        <v>0</v>
      </c>
      <c r="G55">
        <f t="shared" si="85"/>
        <v>0</v>
      </c>
      <c r="H55">
        <f t="shared" si="86"/>
        <v>0</v>
      </c>
      <c r="I55">
        <f t="shared" si="88"/>
        <v>0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2.4951180269541066E-2</v>
      </c>
      <c r="P55" s="4">
        <v>8</v>
      </c>
      <c r="Q55" s="5">
        <f t="shared" si="91"/>
        <v>0</v>
      </c>
      <c r="R55" s="5">
        <f t="shared" si="91"/>
        <v>0</v>
      </c>
      <c r="S55" s="5">
        <f t="shared" si="92"/>
        <v>0</v>
      </c>
      <c r="T55" s="5">
        <f t="shared" si="93"/>
        <v>0</v>
      </c>
      <c r="U55" s="5">
        <f t="shared" si="94"/>
        <v>0</v>
      </c>
      <c r="V55" s="5">
        <f t="shared" si="87"/>
        <v>2.4951180269541066E-2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84"/>
        <v>0</v>
      </c>
      <c r="G56">
        <f t="shared" si="85"/>
        <v>0</v>
      </c>
      <c r="H56">
        <f t="shared" si="86"/>
        <v>0</v>
      </c>
      <c r="I56">
        <f t="shared" si="88"/>
        <v>0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1.7867997056973436E-2</v>
      </c>
      <c r="P56" s="4">
        <v>14</v>
      </c>
      <c r="Q56" s="5">
        <f t="shared" si="91"/>
        <v>0</v>
      </c>
      <c r="R56" s="5">
        <f t="shared" si="91"/>
        <v>0</v>
      </c>
      <c r="S56" s="5">
        <f t="shared" si="92"/>
        <v>0</v>
      </c>
      <c r="T56" s="5">
        <f t="shared" si="93"/>
        <v>0</v>
      </c>
      <c r="U56" s="5">
        <f t="shared" si="94"/>
        <v>0</v>
      </c>
      <c r="V56" s="5">
        <f t="shared" si="87"/>
        <v>1.7867997056973436E-2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1.1522678564845117E-2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1.1522678564845117E-2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-2103.6</v>
      </c>
      <c r="D61">
        <v>29427.9</v>
      </c>
      <c r="E61">
        <v>2684.2</v>
      </c>
      <c r="F61">
        <f t="shared" ref="F61:F71" si="96">D61/10000</f>
        <v>2.94279</v>
      </c>
      <c r="G61">
        <f t="shared" ref="G61:G71" si="97">C61/10000</f>
        <v>-0.21035999999999999</v>
      </c>
      <c r="H61">
        <f t="shared" ref="H61:H71" si="98">F61-G61</f>
        <v>3.1531500000000001</v>
      </c>
      <c r="I61">
        <f>E61/10000</f>
        <v>0.26841999999999999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0.18352703938894133</v>
      </c>
      <c r="P61" s="2">
        <v>3</v>
      </c>
      <c r="Q61" s="8">
        <f>H61</f>
        <v>3.1531500000000001</v>
      </c>
      <c r="R61" s="8">
        <f>I61</f>
        <v>0.26841999999999999</v>
      </c>
      <c r="S61" s="8">
        <f>Q61/10^6*$Z$4*$Z$3/P61*10^12</f>
        <v>3.5031496499999997</v>
      </c>
      <c r="T61" s="8">
        <f>S61*0.06</f>
        <v>0.21018897899999997</v>
      </c>
      <c r="U61" s="8">
        <f>S61/$Z$1</f>
        <v>0.47988351369863008</v>
      </c>
      <c r="V61" s="12">
        <f t="shared" ref="V61:V71" si="99">O61</f>
        <v>0.18352703938894133</v>
      </c>
    </row>
    <row r="62" spans="2:22" x14ac:dyDescent="0.3">
      <c r="B62">
        <v>2</v>
      </c>
      <c r="C62">
        <v>2548.9</v>
      </c>
      <c r="D62">
        <v>28333.200000000001</v>
      </c>
      <c r="E62">
        <v>2479.5</v>
      </c>
      <c r="F62">
        <f t="shared" si="96"/>
        <v>2.8333200000000001</v>
      </c>
      <c r="G62">
        <f t="shared" si="97"/>
        <v>0.25489000000000001</v>
      </c>
      <c r="H62">
        <f t="shared" si="98"/>
        <v>2.57843</v>
      </c>
      <c r="I62">
        <f t="shared" ref="I62:I71" si="100">E62/10000</f>
        <v>0.24795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0.16279551649060614</v>
      </c>
      <c r="P62" s="4">
        <v>3</v>
      </c>
      <c r="Q62" s="5">
        <f t="shared" ref="Q62:R71" si="103">H62</f>
        <v>2.57843</v>
      </c>
      <c r="R62" s="5">
        <f t="shared" si="103"/>
        <v>0.24795</v>
      </c>
      <c r="S62" s="5">
        <f t="shared" ref="S62:S71" si="104">Q62/10^6*$Z$4*$Z$3/P62*10^12</f>
        <v>2.8646357300000003</v>
      </c>
      <c r="T62" s="5">
        <f t="shared" ref="T62:T71" si="105">S62*0.06</f>
        <v>0.17187814380000002</v>
      </c>
      <c r="U62" s="5">
        <f t="shared" ref="U62:U71" si="106">S62/$Z$1</f>
        <v>0.39241585342465757</v>
      </c>
      <c r="V62" s="5">
        <f t="shared" si="99"/>
        <v>0.16279551649060614</v>
      </c>
    </row>
    <row r="63" spans="2:22" x14ac:dyDescent="0.3">
      <c r="B63">
        <v>3</v>
      </c>
      <c r="C63">
        <v>4037.6</v>
      </c>
      <c r="D63">
        <v>26830.3</v>
      </c>
      <c r="E63">
        <v>1882.8</v>
      </c>
      <c r="F63">
        <f t="shared" si="96"/>
        <v>2.68303</v>
      </c>
      <c r="G63">
        <f t="shared" si="97"/>
        <v>0.40376000000000001</v>
      </c>
      <c r="H63">
        <f t="shared" si="98"/>
        <v>2.2792699999999999</v>
      </c>
      <c r="I63">
        <f t="shared" si="100"/>
        <v>0.18828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0.14044266920506493</v>
      </c>
      <c r="P63" s="4">
        <v>3</v>
      </c>
      <c r="Q63" s="5">
        <f t="shared" si="103"/>
        <v>2.2792699999999999</v>
      </c>
      <c r="R63" s="5">
        <f t="shared" si="103"/>
        <v>0.18828</v>
      </c>
      <c r="S63" s="5">
        <f t="shared" si="104"/>
        <v>2.5322689700000001</v>
      </c>
      <c r="T63" s="5">
        <f t="shared" si="105"/>
        <v>0.15193613819999999</v>
      </c>
      <c r="U63" s="5">
        <f t="shared" si="106"/>
        <v>0.34688616027397262</v>
      </c>
      <c r="V63" s="5">
        <f t="shared" si="99"/>
        <v>0.14044266920506493</v>
      </c>
    </row>
    <row r="64" spans="2:22" x14ac:dyDescent="0.3">
      <c r="B64">
        <v>4</v>
      </c>
      <c r="C64">
        <v>8517</v>
      </c>
      <c r="D64">
        <v>26305.200000000001</v>
      </c>
      <c r="E64">
        <v>910.6</v>
      </c>
      <c r="F64">
        <f t="shared" si="96"/>
        <v>2.6305200000000002</v>
      </c>
      <c r="G64">
        <f t="shared" si="97"/>
        <v>0.85170000000000001</v>
      </c>
      <c r="H64">
        <f t="shared" si="98"/>
        <v>1.7788200000000001</v>
      </c>
      <c r="I64">
        <f t="shared" si="100"/>
        <v>9.1060000000000002E-2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8.5062712980465527E-2</v>
      </c>
      <c r="P64" s="4">
        <v>3</v>
      </c>
      <c r="Q64" s="5">
        <f t="shared" si="103"/>
        <v>1.7788200000000001</v>
      </c>
      <c r="R64" s="5">
        <f t="shared" si="103"/>
        <v>9.1060000000000002E-2</v>
      </c>
      <c r="S64" s="5">
        <f t="shared" si="104"/>
        <v>1.9762690199999999</v>
      </c>
      <c r="T64" s="5">
        <f t="shared" si="105"/>
        <v>0.11857614119999998</v>
      </c>
      <c r="U64" s="5">
        <f t="shared" si="106"/>
        <v>0.27072178356164384</v>
      </c>
      <c r="V64" s="5">
        <f t="shared" si="99"/>
        <v>8.5062712980465527E-2</v>
      </c>
    </row>
    <row r="65" spans="2:22" x14ac:dyDescent="0.3">
      <c r="B65">
        <v>5</v>
      </c>
      <c r="C65">
        <v>7022.6</v>
      </c>
      <c r="D65">
        <v>20555.5</v>
      </c>
      <c r="E65">
        <v>1323.3</v>
      </c>
      <c r="F65">
        <f t="shared" si="96"/>
        <v>2.0555500000000002</v>
      </c>
      <c r="G65">
        <f t="shared" si="97"/>
        <v>0.70226</v>
      </c>
      <c r="H65">
        <f t="shared" si="98"/>
        <v>1.3532900000000003</v>
      </c>
      <c r="I65">
        <f t="shared" si="100"/>
        <v>0.13233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6.1480211126310476E-2</v>
      </c>
      <c r="P65" s="4">
        <v>3</v>
      </c>
      <c r="Q65" s="5">
        <f t="shared" si="103"/>
        <v>1.3532900000000003</v>
      </c>
      <c r="R65" s="5">
        <f t="shared" si="103"/>
        <v>0.13233</v>
      </c>
      <c r="S65" s="5">
        <f t="shared" si="104"/>
        <v>1.5035051900000005</v>
      </c>
      <c r="T65" s="5">
        <f t="shared" si="105"/>
        <v>9.0210311400000021E-2</v>
      </c>
      <c r="U65" s="5">
        <f t="shared" si="106"/>
        <v>0.20595961506849322</v>
      </c>
      <c r="V65" s="5">
        <f t="shared" si="99"/>
        <v>6.1480211126310476E-2</v>
      </c>
    </row>
    <row r="66" spans="2:22" x14ac:dyDescent="0.3">
      <c r="B66">
        <v>6</v>
      </c>
      <c r="C66">
        <v>0</v>
      </c>
      <c r="D66">
        <v>0</v>
      </c>
      <c r="E66">
        <v>0</v>
      </c>
      <c r="F66">
        <f t="shared" si="96"/>
        <v>0</v>
      </c>
      <c r="G66">
        <f t="shared" si="97"/>
        <v>0</v>
      </c>
      <c r="H66">
        <f t="shared" si="98"/>
        <v>0</v>
      </c>
      <c r="I66">
        <f t="shared" si="100"/>
        <v>0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4.2556144927755245E-2</v>
      </c>
      <c r="P66" s="4">
        <v>4</v>
      </c>
      <c r="Q66" s="5">
        <f t="shared" si="103"/>
        <v>0</v>
      </c>
      <c r="R66" s="5">
        <f t="shared" si="103"/>
        <v>0</v>
      </c>
      <c r="S66" s="5">
        <f t="shared" si="104"/>
        <v>0</v>
      </c>
      <c r="T66" s="5">
        <f t="shared" si="105"/>
        <v>0</v>
      </c>
      <c r="U66" s="5">
        <f t="shared" si="106"/>
        <v>0</v>
      </c>
      <c r="V66" s="5">
        <f t="shared" si="99"/>
        <v>4.2556144927755245E-2</v>
      </c>
    </row>
    <row r="67" spans="2:22" x14ac:dyDescent="0.3">
      <c r="B67">
        <v>7</v>
      </c>
      <c r="C67">
        <v>0</v>
      </c>
      <c r="D67">
        <v>0</v>
      </c>
      <c r="E67">
        <v>0</v>
      </c>
      <c r="F67">
        <f t="shared" si="96"/>
        <v>0</v>
      </c>
      <c r="G67">
        <f t="shared" si="97"/>
        <v>0</v>
      </c>
      <c r="H67">
        <f t="shared" si="98"/>
        <v>0</v>
      </c>
      <c r="I67">
        <f t="shared" si="100"/>
        <v>0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3.0764523688983088E-2</v>
      </c>
      <c r="P67" s="4">
        <v>4</v>
      </c>
      <c r="Q67" s="5">
        <f t="shared" si="103"/>
        <v>0</v>
      </c>
      <c r="R67" s="5">
        <f t="shared" si="103"/>
        <v>0</v>
      </c>
      <c r="S67" s="5">
        <f t="shared" si="104"/>
        <v>0</v>
      </c>
      <c r="T67" s="5">
        <f t="shared" si="105"/>
        <v>0</v>
      </c>
      <c r="U67" s="5">
        <f t="shared" si="106"/>
        <v>0</v>
      </c>
      <c r="V67" s="5">
        <f t="shared" si="99"/>
        <v>3.0764523688983088E-2</v>
      </c>
    </row>
    <row r="68" spans="2:22" x14ac:dyDescent="0.3">
      <c r="B68">
        <v>8</v>
      </c>
      <c r="C68">
        <v>0</v>
      </c>
      <c r="D68">
        <v>0</v>
      </c>
      <c r="E68">
        <v>0</v>
      </c>
      <c r="F68">
        <f t="shared" si="96"/>
        <v>0</v>
      </c>
      <c r="G68">
        <f t="shared" si="97"/>
        <v>0</v>
      </c>
      <c r="H68">
        <f t="shared" si="98"/>
        <v>0</v>
      </c>
      <c r="I68">
        <f t="shared" si="100"/>
        <v>0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2.5799608882297397E-2</v>
      </c>
      <c r="P68" s="4">
        <v>5</v>
      </c>
      <c r="Q68" s="5">
        <f t="shared" si="103"/>
        <v>0</v>
      </c>
      <c r="R68" s="5">
        <f t="shared" si="103"/>
        <v>0</v>
      </c>
      <c r="S68" s="5">
        <f t="shared" si="104"/>
        <v>0</v>
      </c>
      <c r="T68" s="5">
        <f t="shared" si="105"/>
        <v>0</v>
      </c>
      <c r="U68" s="5">
        <f t="shared" si="106"/>
        <v>0</v>
      </c>
      <c r="V68" s="5">
        <f t="shared" si="99"/>
        <v>2.5799608882297397E-2</v>
      </c>
    </row>
    <row r="69" spans="2:22" x14ac:dyDescent="0.3">
      <c r="B69">
        <v>9</v>
      </c>
      <c r="C69">
        <v>0</v>
      </c>
      <c r="D69">
        <v>0</v>
      </c>
      <c r="E69">
        <v>0</v>
      </c>
      <c r="F69">
        <f t="shared" si="96"/>
        <v>0</v>
      </c>
      <c r="G69">
        <f t="shared" si="97"/>
        <v>0</v>
      </c>
      <c r="H69">
        <f t="shared" si="98"/>
        <v>0</v>
      </c>
      <c r="I69">
        <f t="shared" si="100"/>
        <v>0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2.0792650224617557E-2</v>
      </c>
      <c r="P69" s="4">
        <v>8</v>
      </c>
      <c r="Q69" s="5">
        <f t="shared" si="103"/>
        <v>0</v>
      </c>
      <c r="R69" s="5">
        <f t="shared" si="103"/>
        <v>0</v>
      </c>
      <c r="S69" s="5">
        <f t="shared" si="104"/>
        <v>0</v>
      </c>
      <c r="T69" s="5">
        <f t="shared" si="105"/>
        <v>0</v>
      </c>
      <c r="U69" s="5">
        <f t="shared" si="106"/>
        <v>0</v>
      </c>
      <c r="V69" s="5">
        <f t="shared" si="99"/>
        <v>2.0792650224617557E-2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96"/>
        <v>0</v>
      </c>
      <c r="G70">
        <f t="shared" si="97"/>
        <v>0</v>
      </c>
      <c r="H70">
        <f t="shared" si="98"/>
        <v>0</v>
      </c>
      <c r="I70">
        <f t="shared" si="100"/>
        <v>0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1.4889997547477864E-2</v>
      </c>
      <c r="P70" s="4">
        <v>14</v>
      </c>
      <c r="Q70" s="5">
        <f t="shared" si="103"/>
        <v>0</v>
      </c>
      <c r="R70" s="5">
        <f t="shared" si="103"/>
        <v>0</v>
      </c>
      <c r="S70" s="5">
        <f t="shared" si="104"/>
        <v>0</v>
      </c>
      <c r="T70" s="5">
        <f t="shared" si="105"/>
        <v>0</v>
      </c>
      <c r="U70" s="5">
        <f t="shared" si="106"/>
        <v>0</v>
      </c>
      <c r="V70" s="5">
        <f t="shared" si="99"/>
        <v>1.4889997547477864E-2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9.6022321373709293E-3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9.6022321373709293E-3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1172.9000000000001</v>
      </c>
      <c r="D75">
        <v>26666.799999999999</v>
      </c>
      <c r="E75">
        <v>2727.5</v>
      </c>
      <c r="F75">
        <f t="shared" ref="F75:F85" si="108">D75/10000</f>
        <v>2.6666799999999999</v>
      </c>
      <c r="G75">
        <f t="shared" ref="G75:G85" si="109">C75/10000</f>
        <v>0.11729000000000001</v>
      </c>
      <c r="H75">
        <f t="shared" ref="H75:H85" si="110">F75-G75</f>
        <v>2.5493899999999998</v>
      </c>
      <c r="I75">
        <f>E75/10000</f>
        <v>0.27274999999999999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0.15730889090480685</v>
      </c>
      <c r="P75" s="2">
        <v>3</v>
      </c>
      <c r="Q75" s="8">
        <f>H75</f>
        <v>2.5493899999999998</v>
      </c>
      <c r="R75" s="8">
        <f>I75</f>
        <v>0.27274999999999999</v>
      </c>
      <c r="S75" s="8">
        <f>Q75/10^6*$Z$4*$Z$3/P75*10^12</f>
        <v>2.8323722899999995</v>
      </c>
      <c r="T75" s="8">
        <f>S75*0.06</f>
        <v>0.16994233739999995</v>
      </c>
      <c r="U75" s="8">
        <f>S75/$Z$1</f>
        <v>0.38799620410958896</v>
      </c>
      <c r="V75" s="12">
        <f t="shared" ref="V75:V85" si="111">O75</f>
        <v>0.15730889090480685</v>
      </c>
    </row>
    <row r="76" spans="2:22" x14ac:dyDescent="0.3">
      <c r="B76">
        <v>2</v>
      </c>
      <c r="C76">
        <v>3098.3</v>
      </c>
      <c r="D76">
        <v>28160.5</v>
      </c>
      <c r="E76">
        <v>2516.5</v>
      </c>
      <c r="F76">
        <f t="shared" si="108"/>
        <v>2.8160500000000002</v>
      </c>
      <c r="G76">
        <f t="shared" si="109"/>
        <v>0.30982999999999999</v>
      </c>
      <c r="H76">
        <f t="shared" si="110"/>
        <v>2.5062200000000003</v>
      </c>
      <c r="I76">
        <f t="shared" ref="I76:I85" si="112">E76/10000</f>
        <v>0.25164999999999998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0.13953901413480527</v>
      </c>
      <c r="P76" s="4">
        <v>3</v>
      </c>
      <c r="Q76" s="5">
        <f t="shared" ref="Q76:R85" si="115">H76</f>
        <v>2.5062200000000003</v>
      </c>
      <c r="R76" s="5">
        <f t="shared" si="115"/>
        <v>0.25164999999999998</v>
      </c>
      <c r="S76" s="5">
        <f t="shared" ref="S76:S85" si="116">Q76/10^6*$Z$4*$Z$3/P76*10^12</f>
        <v>2.7844104200000004</v>
      </c>
      <c r="T76" s="5">
        <f t="shared" ref="T76:T85" si="117">S76*0.06</f>
        <v>0.16706462520000001</v>
      </c>
      <c r="U76" s="5">
        <f t="shared" ref="U76:U85" si="118">S76/$Z$1</f>
        <v>0.38142608493150693</v>
      </c>
      <c r="V76" s="5">
        <f t="shared" si="111"/>
        <v>0.13953901413480527</v>
      </c>
    </row>
    <row r="77" spans="2:22" x14ac:dyDescent="0.3">
      <c r="B77">
        <v>3</v>
      </c>
      <c r="C77">
        <v>7788</v>
      </c>
      <c r="D77">
        <v>29839</v>
      </c>
      <c r="E77">
        <v>1539.7</v>
      </c>
      <c r="F77">
        <f t="shared" si="108"/>
        <v>2.9839000000000002</v>
      </c>
      <c r="G77">
        <f t="shared" si="109"/>
        <v>0.77880000000000005</v>
      </c>
      <c r="H77">
        <f t="shared" si="110"/>
        <v>2.2051000000000003</v>
      </c>
      <c r="I77">
        <f t="shared" si="112"/>
        <v>0.15397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0.12037943074719852</v>
      </c>
      <c r="P77" s="4">
        <v>3</v>
      </c>
      <c r="Q77" s="5">
        <f t="shared" si="115"/>
        <v>2.2051000000000003</v>
      </c>
      <c r="R77" s="5">
        <f t="shared" si="115"/>
        <v>0.15397</v>
      </c>
      <c r="S77" s="5">
        <f t="shared" si="116"/>
        <v>2.4498661000000004</v>
      </c>
      <c r="T77" s="5">
        <f t="shared" si="117"/>
        <v>0.14699196600000003</v>
      </c>
      <c r="U77" s="5">
        <f t="shared" si="118"/>
        <v>0.33559809589041101</v>
      </c>
      <c r="V77" s="5">
        <f t="shared" si="111"/>
        <v>0.12037943074719852</v>
      </c>
    </row>
    <row r="78" spans="2:22" x14ac:dyDescent="0.3">
      <c r="B78">
        <v>4</v>
      </c>
      <c r="C78">
        <v>4975</v>
      </c>
      <c r="D78">
        <v>18442.5</v>
      </c>
      <c r="E78">
        <v>656.5</v>
      </c>
      <c r="F78">
        <f t="shared" si="108"/>
        <v>1.8442499999999999</v>
      </c>
      <c r="G78">
        <f t="shared" si="109"/>
        <v>0.4975</v>
      </c>
      <c r="H78">
        <f t="shared" si="110"/>
        <v>1.3467499999999999</v>
      </c>
      <c r="I78">
        <f t="shared" si="112"/>
        <v>6.565E-2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7.2910896840399031E-2</v>
      </c>
      <c r="P78" s="4">
        <v>3</v>
      </c>
      <c r="Q78" s="5">
        <f t="shared" si="115"/>
        <v>1.3467499999999999</v>
      </c>
      <c r="R78" s="5">
        <f t="shared" si="115"/>
        <v>6.565E-2</v>
      </c>
      <c r="S78" s="5">
        <f t="shared" si="116"/>
        <v>1.4962392499999999</v>
      </c>
      <c r="T78" s="5">
        <f t="shared" si="117"/>
        <v>8.9774354999999986E-2</v>
      </c>
      <c r="U78" s="5">
        <f t="shared" si="118"/>
        <v>0.20496428082191781</v>
      </c>
      <c r="V78" s="5">
        <f t="shared" si="111"/>
        <v>7.2910896840399031E-2</v>
      </c>
    </row>
    <row r="79" spans="2:22" x14ac:dyDescent="0.3">
      <c r="B79">
        <v>5</v>
      </c>
      <c r="C79">
        <v>9294</v>
      </c>
      <c r="D79">
        <v>17352.5</v>
      </c>
      <c r="E79">
        <v>1357.5</v>
      </c>
      <c r="F79">
        <f t="shared" si="108"/>
        <v>1.73525</v>
      </c>
      <c r="G79">
        <f t="shared" si="109"/>
        <v>0.9294</v>
      </c>
      <c r="H79">
        <f t="shared" si="110"/>
        <v>0.80584999999999996</v>
      </c>
      <c r="I79">
        <f t="shared" si="112"/>
        <v>0.13575000000000001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5.2697323822551836E-2</v>
      </c>
      <c r="P79" s="4">
        <v>3</v>
      </c>
      <c r="Q79" s="5">
        <f t="shared" si="115"/>
        <v>0.80584999999999996</v>
      </c>
      <c r="R79" s="5">
        <f t="shared" si="115"/>
        <v>0.13575000000000001</v>
      </c>
      <c r="S79" s="5">
        <f t="shared" si="116"/>
        <v>0.89529935000000005</v>
      </c>
      <c r="T79" s="5">
        <f t="shared" si="117"/>
        <v>5.3717961000000002E-2</v>
      </c>
      <c r="U79" s="5">
        <f t="shared" si="118"/>
        <v>0.12264374657534248</v>
      </c>
      <c r="V79" s="5">
        <f t="shared" si="111"/>
        <v>5.2697323822551836E-2</v>
      </c>
    </row>
    <row r="80" spans="2:22" x14ac:dyDescent="0.3">
      <c r="B80">
        <v>6</v>
      </c>
      <c r="C80">
        <v>0</v>
      </c>
      <c r="D80">
        <v>0</v>
      </c>
      <c r="E80">
        <v>0</v>
      </c>
      <c r="F80">
        <f t="shared" si="108"/>
        <v>0</v>
      </c>
      <c r="G80">
        <f t="shared" si="109"/>
        <v>0</v>
      </c>
      <c r="H80">
        <f t="shared" si="110"/>
        <v>0</v>
      </c>
      <c r="I80">
        <f t="shared" si="112"/>
        <v>0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3.647669565236164E-2</v>
      </c>
      <c r="P80" s="4">
        <v>4</v>
      </c>
      <c r="Q80" s="5">
        <f t="shared" si="115"/>
        <v>0</v>
      </c>
      <c r="R80" s="5">
        <f t="shared" si="115"/>
        <v>0</v>
      </c>
      <c r="S80" s="5">
        <f t="shared" si="116"/>
        <v>0</v>
      </c>
      <c r="T80" s="5">
        <f t="shared" si="117"/>
        <v>0</v>
      </c>
      <c r="U80" s="5">
        <f t="shared" si="118"/>
        <v>0</v>
      </c>
      <c r="V80" s="5">
        <f t="shared" si="111"/>
        <v>3.647669565236164E-2</v>
      </c>
    </row>
    <row r="81" spans="2:22" x14ac:dyDescent="0.3">
      <c r="B81">
        <v>7</v>
      </c>
      <c r="C81">
        <v>0</v>
      </c>
      <c r="D81">
        <v>0</v>
      </c>
      <c r="E81">
        <v>0</v>
      </c>
      <c r="F81">
        <f t="shared" si="108"/>
        <v>0</v>
      </c>
      <c r="G81">
        <f t="shared" si="109"/>
        <v>0</v>
      </c>
      <c r="H81">
        <f t="shared" si="110"/>
        <v>0</v>
      </c>
      <c r="I81">
        <f t="shared" si="112"/>
        <v>0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2.6369591733414074E-2</v>
      </c>
      <c r="P81" s="4">
        <v>4</v>
      </c>
      <c r="Q81" s="5">
        <f t="shared" si="115"/>
        <v>0</v>
      </c>
      <c r="R81" s="5">
        <f t="shared" si="115"/>
        <v>0</v>
      </c>
      <c r="S81" s="5">
        <f t="shared" si="116"/>
        <v>0</v>
      </c>
      <c r="T81" s="5">
        <f t="shared" si="117"/>
        <v>0</v>
      </c>
      <c r="U81" s="5">
        <f t="shared" si="118"/>
        <v>0</v>
      </c>
      <c r="V81" s="5">
        <f t="shared" si="111"/>
        <v>2.6369591733414074E-2</v>
      </c>
    </row>
    <row r="82" spans="2:22" x14ac:dyDescent="0.3">
      <c r="B82">
        <v>8</v>
      </c>
      <c r="C82">
        <v>0</v>
      </c>
      <c r="D82">
        <v>0</v>
      </c>
      <c r="E82">
        <v>0</v>
      </c>
      <c r="F82">
        <f t="shared" si="108"/>
        <v>0</v>
      </c>
      <c r="G82">
        <f t="shared" si="109"/>
        <v>0</v>
      </c>
      <c r="H82">
        <f t="shared" si="110"/>
        <v>0</v>
      </c>
      <c r="I82">
        <f t="shared" si="112"/>
        <v>0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2.2113950470540624E-2</v>
      </c>
      <c r="P82" s="4">
        <v>5</v>
      </c>
      <c r="Q82" s="5">
        <f t="shared" si="115"/>
        <v>0</v>
      </c>
      <c r="R82" s="5">
        <f t="shared" si="115"/>
        <v>0</v>
      </c>
      <c r="S82" s="5">
        <f t="shared" si="116"/>
        <v>0</v>
      </c>
      <c r="T82" s="5">
        <f t="shared" si="117"/>
        <v>0</v>
      </c>
      <c r="U82" s="5">
        <f t="shared" si="118"/>
        <v>0</v>
      </c>
      <c r="V82" s="5">
        <f t="shared" si="111"/>
        <v>2.2113950470540624E-2</v>
      </c>
    </row>
    <row r="83" spans="2:22" x14ac:dyDescent="0.3">
      <c r="B83">
        <v>9</v>
      </c>
      <c r="C83">
        <v>0</v>
      </c>
      <c r="D83">
        <v>0</v>
      </c>
      <c r="E83">
        <v>0</v>
      </c>
      <c r="F83">
        <f t="shared" si="108"/>
        <v>0</v>
      </c>
      <c r="G83">
        <f t="shared" si="109"/>
        <v>0</v>
      </c>
      <c r="H83">
        <f t="shared" si="110"/>
        <v>0</v>
      </c>
      <c r="I83">
        <f t="shared" si="112"/>
        <v>0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1.7822271621100762E-2</v>
      </c>
      <c r="P83" s="4">
        <v>8</v>
      </c>
      <c r="Q83" s="5">
        <f t="shared" si="115"/>
        <v>0</v>
      </c>
      <c r="R83" s="5">
        <f t="shared" si="115"/>
        <v>0</v>
      </c>
      <c r="S83" s="5">
        <f t="shared" si="116"/>
        <v>0</v>
      </c>
      <c r="T83" s="5">
        <f t="shared" si="117"/>
        <v>0</v>
      </c>
      <c r="U83" s="5">
        <f t="shared" si="118"/>
        <v>0</v>
      </c>
      <c r="V83" s="5">
        <f t="shared" si="111"/>
        <v>1.7822271621100762E-2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08"/>
        <v>0</v>
      </c>
      <c r="G84">
        <f t="shared" si="109"/>
        <v>0</v>
      </c>
      <c r="H84">
        <f t="shared" si="110"/>
        <v>0</v>
      </c>
      <c r="I84">
        <f t="shared" si="112"/>
        <v>0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1.2762855040695312E-2</v>
      </c>
      <c r="P84" s="4">
        <v>14</v>
      </c>
      <c r="Q84" s="5">
        <f t="shared" si="115"/>
        <v>0</v>
      </c>
      <c r="R84" s="5">
        <f t="shared" si="115"/>
        <v>0</v>
      </c>
      <c r="S84" s="5">
        <f t="shared" si="116"/>
        <v>0</v>
      </c>
      <c r="T84" s="5">
        <f t="shared" si="117"/>
        <v>0</v>
      </c>
      <c r="U84" s="5">
        <f t="shared" si="118"/>
        <v>0</v>
      </c>
      <c r="V84" s="5">
        <f t="shared" si="111"/>
        <v>1.2762855040695312E-2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8.230484689175083E-3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8.230484689175083E-3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1132.7</v>
      </c>
      <c r="D89">
        <v>22884.3</v>
      </c>
      <c r="E89">
        <v>2730.8</v>
      </c>
      <c r="F89">
        <f t="shared" ref="F89:F99" si="120">D89/10000</f>
        <v>2.28843</v>
      </c>
      <c r="G89">
        <f t="shared" ref="G89:G99" si="121">C89/10000</f>
        <v>0.11327000000000001</v>
      </c>
      <c r="H89">
        <f t="shared" ref="H89:H99" si="122">F89-G89</f>
        <v>2.17516</v>
      </c>
      <c r="I89">
        <f>E89/10000</f>
        <v>0.27308000000000004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0.13764527954170599</v>
      </c>
      <c r="P89" s="2">
        <v>3</v>
      </c>
      <c r="Q89" s="8">
        <f>H89</f>
        <v>2.17516</v>
      </c>
      <c r="R89" s="8">
        <f>I89</f>
        <v>0.27308000000000004</v>
      </c>
      <c r="S89" s="8">
        <f>Q89/10^6*$Z$4*$Z$3/P89*10^12</f>
        <v>2.41660276</v>
      </c>
      <c r="T89" s="8">
        <f>S89*0.06</f>
        <v>0.1449961656</v>
      </c>
      <c r="U89" s="8">
        <f>S89/$Z$1</f>
        <v>0.33104147397260275</v>
      </c>
      <c r="V89" s="12">
        <f t="shared" ref="V89:V99" si="123">O89</f>
        <v>0.13764527954170599</v>
      </c>
    </row>
    <row r="90" spans="2:22" x14ac:dyDescent="0.3">
      <c r="B90">
        <v>2</v>
      </c>
      <c r="C90">
        <v>-501.7</v>
      </c>
      <c r="D90">
        <v>21098</v>
      </c>
      <c r="E90">
        <v>2506.8000000000002</v>
      </c>
      <c r="F90">
        <f t="shared" si="120"/>
        <v>2.1097999999999999</v>
      </c>
      <c r="G90">
        <f t="shared" si="121"/>
        <v>-5.0169999999999999E-2</v>
      </c>
      <c r="H90">
        <f t="shared" si="122"/>
        <v>2.1599699999999999</v>
      </c>
      <c r="I90">
        <f t="shared" ref="I90:I99" si="124">E90/10000</f>
        <v>0.25068000000000001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0.12209663736795459</v>
      </c>
      <c r="P90" s="4">
        <v>3</v>
      </c>
      <c r="Q90" s="5">
        <f t="shared" ref="Q90:R99" si="127">H90</f>
        <v>2.1599699999999999</v>
      </c>
      <c r="R90" s="5">
        <f t="shared" si="127"/>
        <v>0.25068000000000001</v>
      </c>
      <c r="S90" s="5">
        <f t="shared" ref="S90:S99" si="128">Q90/10^6*$Z$4*$Z$3/P90*10^12</f>
        <v>2.3997266700000002</v>
      </c>
      <c r="T90" s="5">
        <f t="shared" ref="T90:T99" si="129">S90*0.06</f>
        <v>0.14398360020000001</v>
      </c>
      <c r="U90" s="5">
        <f t="shared" ref="U90:U99" si="130">S90/$Z$1</f>
        <v>0.32872968082191784</v>
      </c>
      <c r="V90" s="5">
        <f t="shared" si="123"/>
        <v>0.12209663736795459</v>
      </c>
    </row>
    <row r="91" spans="2:22" x14ac:dyDescent="0.3">
      <c r="B91">
        <v>3</v>
      </c>
      <c r="C91">
        <v>2327.9</v>
      </c>
      <c r="D91">
        <v>23688.9</v>
      </c>
      <c r="E91">
        <v>1534.8</v>
      </c>
      <c r="F91">
        <f t="shared" si="120"/>
        <v>2.3688899999999999</v>
      </c>
      <c r="G91">
        <f t="shared" si="121"/>
        <v>0.23279</v>
      </c>
      <c r="H91">
        <f t="shared" si="122"/>
        <v>2.1360999999999999</v>
      </c>
      <c r="I91">
        <f t="shared" si="124"/>
        <v>0.15348000000000001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0.1053320019037987</v>
      </c>
      <c r="P91" s="4">
        <v>3</v>
      </c>
      <c r="Q91" s="5">
        <f t="shared" si="127"/>
        <v>2.1360999999999999</v>
      </c>
      <c r="R91" s="5">
        <f t="shared" si="127"/>
        <v>0.15348000000000001</v>
      </c>
      <c r="S91" s="5">
        <f t="shared" si="128"/>
        <v>2.3732071000000001</v>
      </c>
      <c r="T91" s="5">
        <f t="shared" si="129"/>
        <v>0.14239242599999999</v>
      </c>
      <c r="U91" s="5">
        <f t="shared" si="130"/>
        <v>0.32509686301369867</v>
      </c>
      <c r="V91" s="5">
        <f t="shared" si="123"/>
        <v>0.1053320019037987</v>
      </c>
    </row>
    <row r="92" spans="2:22" x14ac:dyDescent="0.3">
      <c r="B92">
        <v>4</v>
      </c>
      <c r="C92">
        <v>3838.8</v>
      </c>
      <c r="D92">
        <v>10672.7</v>
      </c>
      <c r="E92">
        <v>636.79999999999995</v>
      </c>
      <c r="F92">
        <f t="shared" si="120"/>
        <v>1.0672700000000002</v>
      </c>
      <c r="G92">
        <f t="shared" si="121"/>
        <v>0.38388</v>
      </c>
      <c r="H92">
        <f t="shared" si="122"/>
        <v>0.68339000000000016</v>
      </c>
      <c r="I92">
        <f t="shared" si="124"/>
        <v>6.368E-2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6.3797034735349145E-2</v>
      </c>
      <c r="P92" s="4">
        <v>3</v>
      </c>
      <c r="Q92" s="5">
        <f t="shared" si="127"/>
        <v>0.68339000000000016</v>
      </c>
      <c r="R92" s="5">
        <f t="shared" si="127"/>
        <v>6.368E-2</v>
      </c>
      <c r="S92" s="5">
        <f t="shared" si="128"/>
        <v>0.75924629000000021</v>
      </c>
      <c r="T92" s="5">
        <f t="shared" si="129"/>
        <v>4.555477740000001E-2</v>
      </c>
      <c r="U92" s="5">
        <f t="shared" si="130"/>
        <v>0.10400634109589044</v>
      </c>
      <c r="V92" s="5">
        <f t="shared" si="123"/>
        <v>6.3797034735349145E-2</v>
      </c>
    </row>
    <row r="93" spans="2:22" x14ac:dyDescent="0.3">
      <c r="B93">
        <v>5</v>
      </c>
      <c r="C93">
        <v>4060</v>
      </c>
      <c r="D93">
        <v>6970.8</v>
      </c>
      <c r="E93">
        <v>979</v>
      </c>
      <c r="F93">
        <f t="shared" si="120"/>
        <v>0.69708000000000003</v>
      </c>
      <c r="G93">
        <f t="shared" si="121"/>
        <v>0.40600000000000003</v>
      </c>
      <c r="H93">
        <f t="shared" si="122"/>
        <v>0.29108000000000001</v>
      </c>
      <c r="I93">
        <f t="shared" si="124"/>
        <v>9.7900000000000001E-2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4.6110158344732852E-2</v>
      </c>
      <c r="P93" s="4">
        <v>3</v>
      </c>
      <c r="Q93" s="5">
        <f t="shared" si="127"/>
        <v>0.29108000000000001</v>
      </c>
      <c r="R93" s="5">
        <f t="shared" si="127"/>
        <v>9.7900000000000001E-2</v>
      </c>
      <c r="S93" s="5">
        <f t="shared" si="128"/>
        <v>0.32338988000000002</v>
      </c>
      <c r="T93" s="5">
        <f t="shared" si="129"/>
        <v>1.9403392799999999E-2</v>
      </c>
      <c r="U93" s="5">
        <f t="shared" si="130"/>
        <v>4.4299983561643837E-2</v>
      </c>
      <c r="V93" s="5">
        <f t="shared" si="123"/>
        <v>4.6110158344732852E-2</v>
      </c>
    </row>
    <row r="94" spans="2:22" x14ac:dyDescent="0.3">
      <c r="B94">
        <v>6</v>
      </c>
      <c r="C94">
        <v>0</v>
      </c>
      <c r="D94">
        <v>0</v>
      </c>
      <c r="E94">
        <v>0</v>
      </c>
      <c r="F94">
        <f t="shared" si="120"/>
        <v>0</v>
      </c>
      <c r="G94">
        <f t="shared" si="121"/>
        <v>0</v>
      </c>
      <c r="H94">
        <f t="shared" si="122"/>
        <v>0</v>
      </c>
      <c r="I94">
        <f t="shared" si="124"/>
        <v>0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3.1917108695816432E-2</v>
      </c>
      <c r="P94" s="4">
        <v>4</v>
      </c>
      <c r="Q94" s="5">
        <f t="shared" si="127"/>
        <v>0</v>
      </c>
      <c r="R94" s="5">
        <f t="shared" si="127"/>
        <v>0</v>
      </c>
      <c r="S94" s="5">
        <f t="shared" si="128"/>
        <v>0</v>
      </c>
      <c r="T94" s="5">
        <f t="shared" si="129"/>
        <v>0</v>
      </c>
      <c r="U94" s="5">
        <f t="shared" si="130"/>
        <v>0</v>
      </c>
      <c r="V94" s="5">
        <f t="shared" si="123"/>
        <v>3.1917108695816432E-2</v>
      </c>
    </row>
    <row r="95" spans="2:22" x14ac:dyDescent="0.3">
      <c r="B95">
        <v>7</v>
      </c>
      <c r="C95">
        <v>0</v>
      </c>
      <c r="D95">
        <v>0</v>
      </c>
      <c r="E95">
        <v>0</v>
      </c>
      <c r="F95">
        <f t="shared" si="120"/>
        <v>0</v>
      </c>
      <c r="G95">
        <f t="shared" si="121"/>
        <v>0</v>
      </c>
      <c r="H95">
        <f t="shared" si="122"/>
        <v>0</v>
      </c>
      <c r="I95">
        <f t="shared" si="124"/>
        <v>0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2.3073392766737314E-2</v>
      </c>
      <c r="P95" s="4">
        <v>4</v>
      </c>
      <c r="Q95" s="5">
        <f t="shared" si="127"/>
        <v>0</v>
      </c>
      <c r="R95" s="5">
        <f t="shared" si="127"/>
        <v>0</v>
      </c>
      <c r="S95" s="5">
        <f t="shared" si="128"/>
        <v>0</v>
      </c>
      <c r="T95" s="5">
        <f t="shared" si="129"/>
        <v>0</v>
      </c>
      <c r="U95" s="5">
        <f t="shared" si="130"/>
        <v>0</v>
      </c>
      <c r="V95" s="5">
        <f t="shared" si="123"/>
        <v>2.3073392766737314E-2</v>
      </c>
    </row>
    <row r="96" spans="2:22" x14ac:dyDescent="0.3">
      <c r="B96">
        <v>8</v>
      </c>
      <c r="C96">
        <v>0</v>
      </c>
      <c r="D96">
        <v>0</v>
      </c>
      <c r="E96">
        <v>0</v>
      </c>
      <c r="F96">
        <f t="shared" si="120"/>
        <v>0</v>
      </c>
      <c r="G96">
        <f t="shared" si="121"/>
        <v>0</v>
      </c>
      <c r="H96">
        <f t="shared" si="122"/>
        <v>0</v>
      </c>
      <c r="I96">
        <f t="shared" si="124"/>
        <v>0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1.9349706661723046E-2</v>
      </c>
      <c r="P96" s="4">
        <v>5</v>
      </c>
      <c r="Q96" s="5">
        <f t="shared" si="127"/>
        <v>0</v>
      </c>
      <c r="R96" s="5">
        <f t="shared" si="127"/>
        <v>0</v>
      </c>
      <c r="S96" s="5">
        <f t="shared" si="128"/>
        <v>0</v>
      </c>
      <c r="T96" s="5">
        <f t="shared" si="129"/>
        <v>0</v>
      </c>
      <c r="U96" s="5">
        <f t="shared" si="130"/>
        <v>0</v>
      </c>
      <c r="V96" s="5">
        <f t="shared" si="123"/>
        <v>1.9349706661723046E-2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20"/>
        <v>0</v>
      </c>
      <c r="G97">
        <f t="shared" si="121"/>
        <v>0</v>
      </c>
      <c r="H97">
        <f t="shared" si="122"/>
        <v>0</v>
      </c>
      <c r="I97">
        <f t="shared" si="124"/>
        <v>0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1.5594487668463167E-2</v>
      </c>
      <c r="P97" s="4">
        <v>8</v>
      </c>
      <c r="Q97" s="5">
        <f t="shared" si="127"/>
        <v>0</v>
      </c>
      <c r="R97" s="5">
        <f t="shared" si="127"/>
        <v>0</v>
      </c>
      <c r="S97" s="5">
        <f t="shared" si="128"/>
        <v>0</v>
      </c>
      <c r="T97" s="5">
        <f t="shared" si="129"/>
        <v>0</v>
      </c>
      <c r="U97" s="5">
        <f t="shared" si="130"/>
        <v>0</v>
      </c>
      <c r="V97" s="5">
        <f t="shared" si="123"/>
        <v>1.5594487668463167E-2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1.1167498160608398E-2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1.1167498160608398E-2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7.2016741030281979E-3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7.2016741030281979E-3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-1971.8</v>
      </c>
      <c r="D103">
        <v>23343.8</v>
      </c>
      <c r="E103">
        <v>2817.4</v>
      </c>
      <c r="F103">
        <f t="shared" ref="F103:F113" si="132">D103/10000</f>
        <v>2.3343799999999999</v>
      </c>
      <c r="G103">
        <f t="shared" ref="G103:G113" si="133">C103/10000</f>
        <v>-0.19717999999999999</v>
      </c>
      <c r="H103">
        <f t="shared" ref="H103:H113" si="134">F103-G103</f>
        <v>2.5315599999999998</v>
      </c>
      <c r="I103">
        <f>E103/10000</f>
        <v>0.28173999999999999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0.12235135959262755</v>
      </c>
      <c r="P103" s="2">
        <v>3</v>
      </c>
      <c r="Q103" s="8">
        <f>H103</f>
        <v>2.5315599999999998</v>
      </c>
      <c r="R103" s="8">
        <f>I103</f>
        <v>0.28173999999999999</v>
      </c>
      <c r="S103" s="8">
        <f>Q103/10^6*$Z$4*$Z$3/P103*10^12</f>
        <v>2.8125631600000003</v>
      </c>
      <c r="T103" s="8">
        <f>S103*0.06</f>
        <v>0.16875378960000001</v>
      </c>
      <c r="U103" s="8">
        <f>S103/$Z$1</f>
        <v>0.38528262465753427</v>
      </c>
      <c r="V103" s="12">
        <f t="shared" ref="V103:V113" si="135">O103</f>
        <v>0.12235135959262755</v>
      </c>
    </row>
    <row r="104" spans="2:22" x14ac:dyDescent="0.3">
      <c r="B104">
        <v>2</v>
      </c>
      <c r="C104">
        <v>-1233.8</v>
      </c>
      <c r="D104">
        <v>18952.900000000001</v>
      </c>
      <c r="E104">
        <v>2075.4</v>
      </c>
      <c r="F104">
        <f t="shared" si="132"/>
        <v>1.8952900000000001</v>
      </c>
      <c r="G104">
        <f t="shared" si="133"/>
        <v>-0.12337999999999999</v>
      </c>
      <c r="H104">
        <f t="shared" si="134"/>
        <v>2.0186700000000002</v>
      </c>
      <c r="I104">
        <f t="shared" ref="I104:I113" si="136">E104/10000</f>
        <v>0.20754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0.10853034432707075</v>
      </c>
      <c r="P104" s="4">
        <v>3</v>
      </c>
      <c r="Q104" s="5">
        <f t="shared" ref="Q104:R113" si="139">H104</f>
        <v>2.0186700000000002</v>
      </c>
      <c r="R104" s="5">
        <f t="shared" si="139"/>
        <v>0.20754</v>
      </c>
      <c r="S104" s="5">
        <f t="shared" ref="S104:S113" si="140">Q104/10^6*$Z$4*$Z$3/P104*10^12</f>
        <v>2.2427423700000007</v>
      </c>
      <c r="T104" s="5">
        <f t="shared" ref="T104:T113" si="141">S104*0.06</f>
        <v>0.13456454220000003</v>
      </c>
      <c r="U104" s="5">
        <f t="shared" ref="U104:U113" si="142">S104/$Z$1</f>
        <v>0.3072249821917809</v>
      </c>
      <c r="V104" s="5">
        <f t="shared" si="135"/>
        <v>0.10853034432707075</v>
      </c>
    </row>
    <row r="105" spans="2:22" x14ac:dyDescent="0.3">
      <c r="B105">
        <v>3</v>
      </c>
      <c r="C105">
        <v>-238.5</v>
      </c>
      <c r="D105">
        <v>16174.2</v>
      </c>
      <c r="E105">
        <v>1982.2</v>
      </c>
      <c r="F105">
        <f t="shared" si="132"/>
        <v>1.6174200000000001</v>
      </c>
      <c r="G105">
        <f t="shared" si="133"/>
        <v>-2.385E-2</v>
      </c>
      <c r="H105">
        <f t="shared" si="134"/>
        <v>1.64127</v>
      </c>
      <c r="I105">
        <f t="shared" si="136"/>
        <v>0.19822000000000001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9.3628446136709953E-2</v>
      </c>
      <c r="P105" s="4">
        <v>3</v>
      </c>
      <c r="Q105" s="5">
        <f t="shared" si="139"/>
        <v>1.64127</v>
      </c>
      <c r="R105" s="5">
        <f t="shared" si="139"/>
        <v>0.19822000000000001</v>
      </c>
      <c r="S105" s="5">
        <f t="shared" si="140"/>
        <v>1.8234509700000001</v>
      </c>
      <c r="T105" s="5">
        <f t="shared" si="141"/>
        <v>0.1094070582</v>
      </c>
      <c r="U105" s="5">
        <f t="shared" si="142"/>
        <v>0.24978780410958906</v>
      </c>
      <c r="V105" s="5">
        <f t="shared" si="135"/>
        <v>9.3628446136709953E-2</v>
      </c>
    </row>
    <row r="106" spans="2:22" x14ac:dyDescent="0.3">
      <c r="B106">
        <v>4</v>
      </c>
      <c r="C106">
        <v>4252.2</v>
      </c>
      <c r="D106">
        <v>13563.1</v>
      </c>
      <c r="E106">
        <v>818.9</v>
      </c>
      <c r="F106">
        <f t="shared" si="132"/>
        <v>1.3563100000000001</v>
      </c>
      <c r="G106">
        <f t="shared" si="133"/>
        <v>0.42521999999999999</v>
      </c>
      <c r="H106">
        <f t="shared" si="134"/>
        <v>0.9310900000000002</v>
      </c>
      <c r="I106">
        <f t="shared" si="136"/>
        <v>8.1890000000000004E-2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5.6708475320310349E-2</v>
      </c>
      <c r="P106" s="4">
        <v>3</v>
      </c>
      <c r="Q106" s="5">
        <f t="shared" si="139"/>
        <v>0.9310900000000002</v>
      </c>
      <c r="R106" s="5">
        <f t="shared" si="139"/>
        <v>8.1890000000000004E-2</v>
      </c>
      <c r="S106" s="5">
        <f t="shared" si="140"/>
        <v>1.0344409900000002</v>
      </c>
      <c r="T106" s="5">
        <f t="shared" si="141"/>
        <v>6.206645940000001E-2</v>
      </c>
      <c r="U106" s="5">
        <f t="shared" si="142"/>
        <v>0.14170424520547947</v>
      </c>
      <c r="V106" s="5">
        <f t="shared" si="135"/>
        <v>5.6708475320310349E-2</v>
      </c>
    </row>
    <row r="107" spans="2:22" x14ac:dyDescent="0.3">
      <c r="B107">
        <v>5</v>
      </c>
      <c r="C107">
        <v>-1900.9</v>
      </c>
      <c r="D107">
        <v>3672.9</v>
      </c>
      <c r="E107">
        <v>1215.7</v>
      </c>
      <c r="F107">
        <f t="shared" si="132"/>
        <v>0.36729000000000001</v>
      </c>
      <c r="G107">
        <f t="shared" si="133"/>
        <v>-0.19009000000000001</v>
      </c>
      <c r="H107">
        <f t="shared" si="134"/>
        <v>0.55737999999999999</v>
      </c>
      <c r="I107">
        <f t="shared" si="136"/>
        <v>0.12157000000000001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4.0986807417540315E-2</v>
      </c>
      <c r="P107" s="4">
        <v>3</v>
      </c>
      <c r="Q107" s="5">
        <f t="shared" si="139"/>
        <v>0.55737999999999999</v>
      </c>
      <c r="R107" s="5">
        <f t="shared" si="139"/>
        <v>0.12157000000000001</v>
      </c>
      <c r="S107" s="5">
        <f t="shared" si="140"/>
        <v>0.61924918000000007</v>
      </c>
      <c r="T107" s="5">
        <f t="shared" si="141"/>
        <v>3.7154950800000003E-2</v>
      </c>
      <c r="U107" s="5">
        <f t="shared" si="142"/>
        <v>8.4828654794520564E-2</v>
      </c>
      <c r="V107" s="5">
        <f t="shared" si="135"/>
        <v>4.0986807417540315E-2</v>
      </c>
    </row>
    <row r="108" spans="2:22" x14ac:dyDescent="0.3">
      <c r="B108">
        <v>6</v>
      </c>
      <c r="C108">
        <v>0</v>
      </c>
      <c r="D108">
        <v>0</v>
      </c>
      <c r="E108">
        <v>0</v>
      </c>
      <c r="F108">
        <f t="shared" si="132"/>
        <v>0</v>
      </c>
      <c r="G108">
        <f t="shared" si="133"/>
        <v>0</v>
      </c>
      <c r="H108">
        <f t="shared" si="134"/>
        <v>0</v>
      </c>
      <c r="I108">
        <f t="shared" si="136"/>
        <v>0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2.8370763285170162E-2</v>
      </c>
      <c r="P108" s="4">
        <v>4</v>
      </c>
      <c r="Q108" s="5">
        <f t="shared" si="139"/>
        <v>0</v>
      </c>
      <c r="R108" s="5">
        <f t="shared" si="139"/>
        <v>0</v>
      </c>
      <c r="S108" s="5">
        <f t="shared" si="140"/>
        <v>0</v>
      </c>
      <c r="T108" s="5">
        <f t="shared" si="141"/>
        <v>0</v>
      </c>
      <c r="U108" s="5">
        <f t="shared" si="142"/>
        <v>0</v>
      </c>
      <c r="V108" s="5">
        <f t="shared" si="135"/>
        <v>2.8370763285170162E-2</v>
      </c>
    </row>
    <row r="109" spans="2:22" x14ac:dyDescent="0.3">
      <c r="B109">
        <v>7</v>
      </c>
      <c r="C109">
        <v>0</v>
      </c>
      <c r="D109">
        <v>0</v>
      </c>
      <c r="E109">
        <v>0</v>
      </c>
      <c r="F109">
        <f t="shared" si="132"/>
        <v>0</v>
      </c>
      <c r="G109">
        <f t="shared" si="133"/>
        <v>0</v>
      </c>
      <c r="H109">
        <f t="shared" si="134"/>
        <v>0</v>
      </c>
      <c r="I109">
        <f t="shared" si="136"/>
        <v>0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2.0509682459322057E-2</v>
      </c>
      <c r="P109" s="4">
        <v>4</v>
      </c>
      <c r="Q109" s="5">
        <f t="shared" si="139"/>
        <v>0</v>
      </c>
      <c r="R109" s="5">
        <f t="shared" si="139"/>
        <v>0</v>
      </c>
      <c r="S109" s="5">
        <f t="shared" si="140"/>
        <v>0</v>
      </c>
      <c r="T109" s="5">
        <f t="shared" si="141"/>
        <v>0</v>
      </c>
      <c r="U109" s="5">
        <f t="shared" si="142"/>
        <v>0</v>
      </c>
      <c r="V109" s="5">
        <f t="shared" si="135"/>
        <v>2.0509682459322057E-2</v>
      </c>
    </row>
    <row r="110" spans="2:22" x14ac:dyDescent="0.3">
      <c r="B110">
        <v>8</v>
      </c>
      <c r="C110">
        <v>0</v>
      </c>
      <c r="D110">
        <v>0</v>
      </c>
      <c r="E110">
        <v>0</v>
      </c>
      <c r="F110">
        <f t="shared" si="132"/>
        <v>0</v>
      </c>
      <c r="G110">
        <f t="shared" si="133"/>
        <v>0</v>
      </c>
      <c r="H110">
        <f t="shared" si="134"/>
        <v>0</v>
      </c>
      <c r="I110">
        <f t="shared" si="136"/>
        <v>0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1.719973925486493E-2</v>
      </c>
      <c r="P110" s="4">
        <v>5</v>
      </c>
      <c r="Q110" s="5">
        <f t="shared" si="139"/>
        <v>0</v>
      </c>
      <c r="R110" s="5">
        <f t="shared" si="139"/>
        <v>0</v>
      </c>
      <c r="S110" s="5">
        <f t="shared" si="140"/>
        <v>0</v>
      </c>
      <c r="T110" s="5">
        <f t="shared" si="141"/>
        <v>0</v>
      </c>
      <c r="U110" s="5">
        <f t="shared" si="142"/>
        <v>0</v>
      </c>
      <c r="V110" s="5">
        <f t="shared" si="135"/>
        <v>1.719973925486493E-2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32"/>
        <v>0</v>
      </c>
      <c r="G111">
        <f t="shared" si="133"/>
        <v>0</v>
      </c>
      <c r="H111">
        <f t="shared" si="134"/>
        <v>0</v>
      </c>
      <c r="I111">
        <f t="shared" si="136"/>
        <v>0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1.3861766816411705E-2</v>
      </c>
      <c r="P111" s="4">
        <v>8</v>
      </c>
      <c r="Q111" s="5">
        <f t="shared" si="139"/>
        <v>0</v>
      </c>
      <c r="R111" s="5">
        <f t="shared" si="139"/>
        <v>0</v>
      </c>
      <c r="S111" s="5">
        <f t="shared" si="140"/>
        <v>0</v>
      </c>
      <c r="T111" s="5">
        <f t="shared" si="141"/>
        <v>0</v>
      </c>
      <c r="U111" s="5">
        <f t="shared" si="142"/>
        <v>0</v>
      </c>
      <c r="V111" s="5">
        <f t="shared" si="135"/>
        <v>1.3861766816411705E-2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9.9266650316519097E-3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9.9266650316519097E-3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6.4014880915806201E-3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6.4014880915806201E-3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-2975</v>
      </c>
      <c r="D117">
        <v>15911.1</v>
      </c>
      <c r="E117">
        <v>2813.4</v>
      </c>
      <c r="F117">
        <f t="shared" ref="F117:F127" si="144">D117/10000</f>
        <v>1.59111</v>
      </c>
      <c r="G117">
        <f t="shared" ref="G117:G127" si="145">C117/10000</f>
        <v>-0.29749999999999999</v>
      </c>
      <c r="H117">
        <f t="shared" ref="H117:H127" si="146">F117-G117</f>
        <v>1.8886099999999999</v>
      </c>
      <c r="I117">
        <f>E117/10000</f>
        <v>0.28134000000000003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0.11011622363336479</v>
      </c>
      <c r="P117" s="2">
        <v>3</v>
      </c>
      <c r="Q117" s="8">
        <f>H117</f>
        <v>1.8886099999999999</v>
      </c>
      <c r="R117" s="8">
        <f>I117</f>
        <v>0.28134000000000003</v>
      </c>
      <c r="S117" s="8">
        <f>Q117/10^6*$Z$4*$Z$3/P117*10^12</f>
        <v>2.09824571</v>
      </c>
      <c r="T117" s="8">
        <f>S117*0.06</f>
        <v>0.1258947426</v>
      </c>
      <c r="U117" s="8">
        <f>S117/$Z$1</f>
        <v>0.28743091917808222</v>
      </c>
      <c r="V117" s="12">
        <f t="shared" ref="V117:V127" si="147">O117</f>
        <v>0.11011622363336479</v>
      </c>
    </row>
    <row r="118" spans="2:22" x14ac:dyDescent="0.3">
      <c r="B118">
        <v>2</v>
      </c>
      <c r="C118">
        <v>765.4</v>
      </c>
      <c r="D118">
        <v>18640.599999999999</v>
      </c>
      <c r="E118">
        <v>2775.5</v>
      </c>
      <c r="F118">
        <f t="shared" si="144"/>
        <v>1.8640599999999998</v>
      </c>
      <c r="G118">
        <f t="shared" si="145"/>
        <v>7.6539999999999997E-2</v>
      </c>
      <c r="H118">
        <f t="shared" si="146"/>
        <v>1.7875199999999998</v>
      </c>
      <c r="I118">
        <f t="shared" ref="I118:I127" si="148">E118/10000</f>
        <v>0.27755000000000002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9.7677309894363684E-2</v>
      </c>
      <c r="P118" s="4">
        <v>3</v>
      </c>
      <c r="Q118" s="5">
        <f t="shared" ref="Q118:R127" si="151">H118</f>
        <v>1.7875199999999998</v>
      </c>
      <c r="R118" s="5">
        <f t="shared" si="151"/>
        <v>0.27755000000000002</v>
      </c>
      <c r="S118" s="5">
        <f t="shared" ref="S118:S127" si="152">Q118/10^6*$Z$4*$Z$3/P118*10^12</f>
        <v>1.9859347199999999</v>
      </c>
      <c r="T118" s="5">
        <f t="shared" ref="T118:T127" si="153">S118*0.06</f>
        <v>0.11915608319999998</v>
      </c>
      <c r="U118" s="5">
        <f t="shared" ref="U118:U127" si="154">S118/$Z$1</f>
        <v>0.27204585205479453</v>
      </c>
      <c r="V118" s="5">
        <f t="shared" si="147"/>
        <v>9.7677309894363684E-2</v>
      </c>
    </row>
    <row r="119" spans="2:22" x14ac:dyDescent="0.3">
      <c r="B119">
        <v>3</v>
      </c>
      <c r="C119">
        <v>-3378.9</v>
      </c>
      <c r="D119">
        <v>11839.4</v>
      </c>
      <c r="E119">
        <v>1669.1</v>
      </c>
      <c r="F119">
        <f t="shared" si="144"/>
        <v>1.18394</v>
      </c>
      <c r="G119">
        <f t="shared" si="145"/>
        <v>-0.33789000000000002</v>
      </c>
      <c r="H119">
        <f t="shared" si="146"/>
        <v>1.52183</v>
      </c>
      <c r="I119">
        <f t="shared" si="148"/>
        <v>0.16691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8.4265601523038955E-2</v>
      </c>
      <c r="P119" s="4">
        <v>3</v>
      </c>
      <c r="Q119" s="5">
        <f t="shared" si="151"/>
        <v>1.52183</v>
      </c>
      <c r="R119" s="5">
        <f t="shared" si="151"/>
        <v>0.16691</v>
      </c>
      <c r="S119" s="5">
        <f t="shared" si="152"/>
        <v>1.69075313</v>
      </c>
      <c r="T119" s="5">
        <f t="shared" si="153"/>
        <v>0.1014451878</v>
      </c>
      <c r="U119" s="5">
        <f t="shared" si="154"/>
        <v>0.23161001780821919</v>
      </c>
      <c r="V119" s="5">
        <f t="shared" si="147"/>
        <v>8.4265601523038955E-2</v>
      </c>
    </row>
    <row r="120" spans="2:22" x14ac:dyDescent="0.3">
      <c r="B120">
        <v>4</v>
      </c>
      <c r="C120">
        <v>1848.6</v>
      </c>
      <c r="D120">
        <v>5088.8</v>
      </c>
      <c r="E120">
        <v>1178.4000000000001</v>
      </c>
      <c r="F120">
        <f t="shared" si="144"/>
        <v>0.50888</v>
      </c>
      <c r="G120">
        <f t="shared" si="145"/>
        <v>0.18486</v>
      </c>
      <c r="H120">
        <f t="shared" si="146"/>
        <v>0.32401999999999997</v>
      </c>
      <c r="I120">
        <f t="shared" si="148"/>
        <v>0.11784000000000001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5.1037627788279319E-2</v>
      </c>
      <c r="P120" s="4">
        <v>3</v>
      </c>
      <c r="Q120" s="5">
        <f t="shared" si="151"/>
        <v>0.32401999999999997</v>
      </c>
      <c r="R120" s="5">
        <f t="shared" si="151"/>
        <v>0.11784000000000001</v>
      </c>
      <c r="S120" s="5">
        <f t="shared" si="152"/>
        <v>0.35998621999999997</v>
      </c>
      <c r="T120" s="5">
        <f t="shared" si="153"/>
        <v>2.1599173199999998E-2</v>
      </c>
      <c r="U120" s="5">
        <f t="shared" si="154"/>
        <v>4.9313180821917803E-2</v>
      </c>
      <c r="V120" s="5">
        <f t="shared" si="147"/>
        <v>5.1037627788279319E-2</v>
      </c>
    </row>
    <row r="121" spans="2:22" x14ac:dyDescent="0.3">
      <c r="B121">
        <v>5</v>
      </c>
      <c r="C121">
        <v>0</v>
      </c>
      <c r="D121">
        <v>0</v>
      </c>
      <c r="E121">
        <v>0</v>
      </c>
      <c r="F121">
        <f t="shared" si="144"/>
        <v>0</v>
      </c>
      <c r="G121">
        <f t="shared" si="145"/>
        <v>0</v>
      </c>
      <c r="H121">
        <f t="shared" si="146"/>
        <v>0</v>
      </c>
      <c r="I121">
        <f t="shared" si="148"/>
        <v>0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3.6888126675786281E-2</v>
      </c>
      <c r="P121" s="4">
        <v>3</v>
      </c>
      <c r="Q121" s="5">
        <f t="shared" si="151"/>
        <v>0</v>
      </c>
      <c r="R121" s="5">
        <f t="shared" si="151"/>
        <v>0</v>
      </c>
      <c r="S121" s="5">
        <f t="shared" si="152"/>
        <v>0</v>
      </c>
      <c r="T121" s="5">
        <f t="shared" si="153"/>
        <v>0</v>
      </c>
      <c r="U121" s="5">
        <f t="shared" si="154"/>
        <v>0</v>
      </c>
      <c r="V121" s="5">
        <f t="shared" si="147"/>
        <v>3.6888126675786281E-2</v>
      </c>
    </row>
    <row r="122" spans="2:22" x14ac:dyDescent="0.3">
      <c r="B122">
        <v>6</v>
      </c>
      <c r="C122">
        <v>0</v>
      </c>
      <c r="D122">
        <v>0</v>
      </c>
      <c r="E122">
        <v>0</v>
      </c>
      <c r="F122">
        <f t="shared" si="144"/>
        <v>0</v>
      </c>
      <c r="G122">
        <f t="shared" si="145"/>
        <v>0</v>
      </c>
      <c r="H122">
        <f t="shared" si="146"/>
        <v>0</v>
      </c>
      <c r="I122">
        <f t="shared" si="148"/>
        <v>0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2.5533686956653145E-2</v>
      </c>
      <c r="P122" s="4">
        <v>4</v>
      </c>
      <c r="Q122" s="5">
        <f t="shared" si="151"/>
        <v>0</v>
      </c>
      <c r="R122" s="5">
        <f t="shared" si="151"/>
        <v>0</v>
      </c>
      <c r="S122" s="5">
        <f t="shared" si="152"/>
        <v>0</v>
      </c>
      <c r="T122" s="5">
        <f t="shared" si="153"/>
        <v>0</v>
      </c>
      <c r="U122" s="5">
        <f t="shared" si="154"/>
        <v>0</v>
      </c>
      <c r="V122" s="5">
        <f t="shared" si="147"/>
        <v>2.5533686956653145E-2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44"/>
        <v>0</v>
      </c>
      <c r="G123">
        <f t="shared" si="145"/>
        <v>0</v>
      </c>
      <c r="H123">
        <f t="shared" si="146"/>
        <v>0</v>
      </c>
      <c r="I123">
        <f t="shared" si="148"/>
        <v>0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1.8458714213389852E-2</v>
      </c>
      <c r="P123" s="4">
        <v>4</v>
      </c>
      <c r="Q123" s="5">
        <f t="shared" si="151"/>
        <v>0</v>
      </c>
      <c r="R123" s="5">
        <f t="shared" si="151"/>
        <v>0</v>
      </c>
      <c r="S123" s="5">
        <f t="shared" si="152"/>
        <v>0</v>
      </c>
      <c r="T123" s="5">
        <f t="shared" si="153"/>
        <v>0</v>
      </c>
      <c r="U123" s="5">
        <f t="shared" si="154"/>
        <v>0</v>
      </c>
      <c r="V123" s="5">
        <f t="shared" si="147"/>
        <v>1.8458714213389852E-2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44"/>
        <v>0</v>
      </c>
      <c r="G124">
        <f t="shared" si="145"/>
        <v>0</v>
      </c>
      <c r="H124">
        <f t="shared" si="146"/>
        <v>0</v>
      </c>
      <c r="I124">
        <f t="shared" si="148"/>
        <v>0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1.5479765329378439E-2</v>
      </c>
      <c r="P124" s="4">
        <v>5</v>
      </c>
      <c r="Q124" s="5">
        <f t="shared" si="151"/>
        <v>0</v>
      </c>
      <c r="R124" s="5">
        <f t="shared" si="151"/>
        <v>0</v>
      </c>
      <c r="S124" s="5">
        <f t="shared" si="152"/>
        <v>0</v>
      </c>
      <c r="T124" s="5">
        <f t="shared" si="153"/>
        <v>0</v>
      </c>
      <c r="U124" s="5">
        <f t="shared" si="154"/>
        <v>0</v>
      </c>
      <c r="V124" s="5">
        <f t="shared" si="147"/>
        <v>1.5479765329378439E-2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44"/>
        <v>0</v>
      </c>
      <c r="G125">
        <f t="shared" si="145"/>
        <v>0</v>
      </c>
      <c r="H125">
        <f t="shared" si="146"/>
        <v>0</v>
      </c>
      <c r="I125">
        <f t="shared" si="148"/>
        <v>0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1.2475590134770533E-2</v>
      </c>
      <c r="P125" s="4">
        <v>8</v>
      </c>
      <c r="Q125" s="5">
        <f t="shared" si="151"/>
        <v>0</v>
      </c>
      <c r="R125" s="5">
        <f t="shared" si="151"/>
        <v>0</v>
      </c>
      <c r="S125" s="5">
        <f t="shared" si="152"/>
        <v>0</v>
      </c>
      <c r="T125" s="5">
        <f t="shared" si="153"/>
        <v>0</v>
      </c>
      <c r="U125" s="5">
        <f t="shared" si="154"/>
        <v>0</v>
      </c>
      <c r="V125" s="5">
        <f t="shared" si="147"/>
        <v>1.2475590134770533E-2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8.9339985284867182E-3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8.9339985284867182E-3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5.7613392824225583E-3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5.7613392824225583E-3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2193</v>
      </c>
      <c r="D131">
        <v>28718.7</v>
      </c>
      <c r="E131">
        <v>3817.8</v>
      </c>
      <c r="F131">
        <f t="shared" ref="F131:F141" si="156">D131/10000</f>
        <v>2.8718699999999999</v>
      </c>
      <c r="G131">
        <f t="shared" ref="G131:G141" si="157">C131/10000</f>
        <v>0.21929999999999999</v>
      </c>
      <c r="H131">
        <f t="shared" ref="H131:H141" si="158">F131-G131</f>
        <v>2.6525699999999999</v>
      </c>
      <c r="I131">
        <f>E131/10000</f>
        <v>0.38178000000000001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7.3410815755576536E-2</v>
      </c>
      <c r="P131" s="2">
        <v>3</v>
      </c>
      <c r="Q131" s="8">
        <f>H131</f>
        <v>2.6525699999999999</v>
      </c>
      <c r="R131" s="8">
        <f>I131</f>
        <v>0.38178000000000001</v>
      </c>
      <c r="S131" s="8">
        <f>Q131/10^6*$Z$4*$Z$3/P131*10^12</f>
        <v>2.94700527</v>
      </c>
      <c r="T131" s="8">
        <f>S131*0.06</f>
        <v>0.17682031619999999</v>
      </c>
      <c r="U131" s="8">
        <f>S131/$Z$1</f>
        <v>0.40369935205479451</v>
      </c>
      <c r="V131" s="12">
        <f t="shared" ref="V131:V141" si="159">O131</f>
        <v>7.3410815755576536E-2</v>
      </c>
    </row>
    <row r="132" spans="2:22" x14ac:dyDescent="0.3">
      <c r="B132">
        <v>2</v>
      </c>
      <c r="C132">
        <v>3231.3</v>
      </c>
      <c r="D132">
        <v>28290.3</v>
      </c>
      <c r="E132">
        <v>2505.4</v>
      </c>
      <c r="F132">
        <f t="shared" si="156"/>
        <v>2.8290299999999999</v>
      </c>
      <c r="G132">
        <f t="shared" si="157"/>
        <v>0.32313000000000003</v>
      </c>
      <c r="H132">
        <f t="shared" si="158"/>
        <v>2.5059</v>
      </c>
      <c r="I132">
        <f t="shared" ref="I132:I141" si="160">E132/10000</f>
        <v>0.25053999999999998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6.5118206596242456E-2</v>
      </c>
      <c r="P132" s="4">
        <v>3</v>
      </c>
      <c r="Q132" s="5">
        <f t="shared" ref="Q132:R141" si="163">H132</f>
        <v>2.5059</v>
      </c>
      <c r="R132" s="5">
        <f t="shared" si="163"/>
        <v>0.25053999999999998</v>
      </c>
      <c r="S132" s="5">
        <f t="shared" ref="S132:S141" si="164">Q132/10^6*$Z$4*$Z$3/P132*10^12</f>
        <v>2.7840549000000006</v>
      </c>
      <c r="T132" s="5">
        <f t="shared" ref="T132:T141" si="165">S132*0.06</f>
        <v>0.16704329400000004</v>
      </c>
      <c r="U132" s="5">
        <f t="shared" ref="U132:U141" si="166">S132/$Z$1</f>
        <v>0.38137738356164391</v>
      </c>
      <c r="V132" s="5">
        <f t="shared" si="159"/>
        <v>6.5118206596242456E-2</v>
      </c>
    </row>
    <row r="133" spans="2:22" x14ac:dyDescent="0.3">
      <c r="B133">
        <v>3</v>
      </c>
      <c r="C133">
        <v>6164.1</v>
      </c>
      <c r="D133">
        <v>32612.799999999999</v>
      </c>
      <c r="E133">
        <v>2355.9</v>
      </c>
      <c r="F133">
        <f t="shared" si="156"/>
        <v>3.2612799999999997</v>
      </c>
      <c r="G133">
        <f t="shared" si="157"/>
        <v>0.61641000000000001</v>
      </c>
      <c r="H133">
        <f t="shared" si="158"/>
        <v>2.6448699999999996</v>
      </c>
      <c r="I133">
        <f t="shared" si="160"/>
        <v>0.23559000000000002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5.6177067682025968E-2</v>
      </c>
      <c r="P133" s="4">
        <v>3</v>
      </c>
      <c r="Q133" s="5">
        <f t="shared" si="163"/>
        <v>2.6448699999999996</v>
      </c>
      <c r="R133" s="5">
        <f t="shared" si="163"/>
        <v>0.23559000000000002</v>
      </c>
      <c r="S133" s="5">
        <f t="shared" si="164"/>
        <v>2.9384505699999997</v>
      </c>
      <c r="T133" s="5">
        <f t="shared" si="165"/>
        <v>0.17630703419999996</v>
      </c>
      <c r="U133" s="5">
        <f t="shared" si="166"/>
        <v>0.40252747534246569</v>
      </c>
      <c r="V133" s="5">
        <f t="shared" si="159"/>
        <v>5.6177067682025968E-2</v>
      </c>
    </row>
    <row r="134" spans="2:22" x14ac:dyDescent="0.3">
      <c r="B134">
        <v>4</v>
      </c>
      <c r="C134">
        <v>9224.4</v>
      </c>
      <c r="D134">
        <v>22337.200000000001</v>
      </c>
      <c r="E134">
        <v>757.7</v>
      </c>
      <c r="F134">
        <f t="shared" si="156"/>
        <v>2.2337199999999999</v>
      </c>
      <c r="G134">
        <f t="shared" si="157"/>
        <v>0.92243999999999993</v>
      </c>
      <c r="H134">
        <f t="shared" si="158"/>
        <v>1.31128</v>
      </c>
      <c r="I134">
        <f t="shared" si="160"/>
        <v>7.5770000000000004E-2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3.4025085192186208E-2</v>
      </c>
      <c r="P134" s="4">
        <v>3</v>
      </c>
      <c r="Q134" s="5">
        <f t="shared" si="163"/>
        <v>1.31128</v>
      </c>
      <c r="R134" s="5">
        <f t="shared" si="163"/>
        <v>7.5770000000000004E-2</v>
      </c>
      <c r="S134" s="5">
        <f t="shared" si="164"/>
        <v>1.4568320799999999</v>
      </c>
      <c r="T134" s="5">
        <f t="shared" si="165"/>
        <v>8.7409924799999983E-2</v>
      </c>
      <c r="U134" s="5">
        <f t="shared" si="166"/>
        <v>0.19956603835616438</v>
      </c>
      <c r="V134" s="5">
        <f t="shared" si="159"/>
        <v>3.4025085192186208E-2</v>
      </c>
    </row>
    <row r="135" spans="2:22" x14ac:dyDescent="0.3">
      <c r="B135">
        <v>5</v>
      </c>
      <c r="C135">
        <v>7762.7</v>
      </c>
      <c r="D135">
        <v>18415.2</v>
      </c>
      <c r="E135">
        <v>1354.6</v>
      </c>
      <c r="F135">
        <f t="shared" si="156"/>
        <v>1.84152</v>
      </c>
      <c r="G135">
        <f t="shared" si="157"/>
        <v>0.77627000000000002</v>
      </c>
      <c r="H135">
        <f t="shared" si="158"/>
        <v>1.06525</v>
      </c>
      <c r="I135">
        <f t="shared" si="160"/>
        <v>0.13546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2.4592084450524188E-2</v>
      </c>
      <c r="P135" s="4">
        <v>3</v>
      </c>
      <c r="Q135" s="5">
        <f t="shared" si="163"/>
        <v>1.06525</v>
      </c>
      <c r="R135" s="5">
        <f t="shared" si="163"/>
        <v>0.13546</v>
      </c>
      <c r="S135" s="5">
        <f t="shared" si="164"/>
        <v>1.1834927500000003</v>
      </c>
      <c r="T135" s="5">
        <f t="shared" si="165"/>
        <v>7.1009565000000011E-2</v>
      </c>
      <c r="U135" s="5">
        <f t="shared" si="166"/>
        <v>0.16212229452054799</v>
      </c>
      <c r="V135" s="5">
        <f t="shared" si="159"/>
        <v>2.4592084450524188E-2</v>
      </c>
    </row>
    <row r="136" spans="2:22" x14ac:dyDescent="0.3">
      <c r="B136">
        <v>6</v>
      </c>
      <c r="C136">
        <v>0</v>
      </c>
      <c r="D136">
        <v>0</v>
      </c>
      <c r="E136">
        <v>0</v>
      </c>
      <c r="F136">
        <f t="shared" si="156"/>
        <v>0</v>
      </c>
      <c r="G136">
        <f t="shared" si="157"/>
        <v>0</v>
      </c>
      <c r="H136">
        <f t="shared" si="158"/>
        <v>0</v>
      </c>
      <c r="I136">
        <f t="shared" si="160"/>
        <v>0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1.7022457971102096E-2</v>
      </c>
      <c r="P136" s="4">
        <v>4</v>
      </c>
      <c r="Q136" s="5">
        <f t="shared" si="163"/>
        <v>0</v>
      </c>
      <c r="R136" s="5">
        <f t="shared" si="163"/>
        <v>0</v>
      </c>
      <c r="S136" s="5">
        <f t="shared" si="164"/>
        <v>0</v>
      </c>
      <c r="T136" s="5">
        <f t="shared" si="165"/>
        <v>0</v>
      </c>
      <c r="U136" s="5">
        <f t="shared" si="166"/>
        <v>0</v>
      </c>
      <c r="V136" s="5">
        <f t="shared" si="159"/>
        <v>1.7022457971102096E-2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1.2305809475593234E-2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1.2305809475593234E-2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1.0319843552918959E-2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1.0319843552918959E-2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8.3170600898470233E-3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8.3170600898470233E-3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5.9559990189911455E-3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5.9559990189911455E-3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3.8408928549483723E-3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3.8408928549483723E-3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827.7</v>
      </c>
      <c r="D145">
        <v>21456.2</v>
      </c>
      <c r="E145">
        <v>2688.8</v>
      </c>
      <c r="F145">
        <f t="shared" ref="F145:F155" si="168">D145/10000</f>
        <v>2.1456200000000001</v>
      </c>
      <c r="G145">
        <f t="shared" ref="G145:G155" si="169">C145/10000</f>
        <v>8.277000000000001E-2</v>
      </c>
      <c r="H145">
        <f t="shared" ref="H145:H155" si="170">F145-G145</f>
        <v>2.0628500000000001</v>
      </c>
      <c r="I145">
        <f>E145/10000</f>
        <v>0.26888000000000001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5.5058111816682395E-2</v>
      </c>
      <c r="P145" s="2">
        <v>3</v>
      </c>
      <c r="Q145" s="8">
        <f>H145</f>
        <v>2.0628500000000001</v>
      </c>
      <c r="R145" s="8">
        <f>I145</f>
        <v>0.26888000000000001</v>
      </c>
      <c r="S145" s="8">
        <f>Q145/10^6*$Z$4*$Z$3/P145*10^12</f>
        <v>2.2918263500000005</v>
      </c>
      <c r="T145" s="8">
        <f>S145*0.06</f>
        <v>0.13750958100000002</v>
      </c>
      <c r="U145" s="8">
        <f>S145/$Z$1</f>
        <v>0.3139488150684932</v>
      </c>
      <c r="V145" s="12">
        <f t="shared" ref="V145:V155" si="171">O145</f>
        <v>5.5058111816682395E-2</v>
      </c>
    </row>
    <row r="146" spans="2:22" x14ac:dyDescent="0.3">
      <c r="B146">
        <v>2</v>
      </c>
      <c r="C146">
        <v>1648</v>
      </c>
      <c r="D146">
        <v>23935.7</v>
      </c>
      <c r="E146">
        <v>2312.1</v>
      </c>
      <c r="F146">
        <f t="shared" si="168"/>
        <v>2.39357</v>
      </c>
      <c r="G146">
        <f t="shared" si="169"/>
        <v>0.1648</v>
      </c>
      <c r="H146">
        <f t="shared" si="170"/>
        <v>2.2287699999999999</v>
      </c>
      <c r="I146">
        <f t="shared" ref="I146:I155" si="172">E146/10000</f>
        <v>0.23121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4.8838654947181842E-2</v>
      </c>
      <c r="P146" s="4">
        <v>3</v>
      </c>
      <c r="Q146" s="5">
        <f t="shared" ref="Q146:R155" si="175">H146</f>
        <v>2.2287699999999999</v>
      </c>
      <c r="R146" s="5">
        <f t="shared" si="175"/>
        <v>0.23121</v>
      </c>
      <c r="S146" s="5">
        <f t="shared" ref="S146:S155" si="176">Q146/10^6*$Z$4*$Z$3/P146*10^12</f>
        <v>2.4761634699999999</v>
      </c>
      <c r="T146" s="5">
        <f t="shared" ref="T146:T155" si="177">S146*0.06</f>
        <v>0.14856980819999999</v>
      </c>
      <c r="U146" s="5">
        <f t="shared" ref="U146:U155" si="178">S146/$Z$1</f>
        <v>0.33920047534246572</v>
      </c>
      <c r="V146" s="5">
        <f t="shared" si="171"/>
        <v>4.8838654947181842E-2</v>
      </c>
    </row>
    <row r="147" spans="2:22" x14ac:dyDescent="0.3">
      <c r="B147">
        <v>3</v>
      </c>
      <c r="C147">
        <v>3346.9</v>
      </c>
      <c r="D147">
        <v>25184</v>
      </c>
      <c r="E147">
        <v>2379.5</v>
      </c>
      <c r="F147">
        <f t="shared" si="168"/>
        <v>2.5184000000000002</v>
      </c>
      <c r="G147">
        <f t="shared" si="169"/>
        <v>0.33468999999999999</v>
      </c>
      <c r="H147">
        <f t="shared" si="170"/>
        <v>2.18371</v>
      </c>
      <c r="I147">
        <f t="shared" si="172"/>
        <v>0.23794999999999999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4.2132800761519477E-2</v>
      </c>
      <c r="P147" s="4">
        <v>3</v>
      </c>
      <c r="Q147" s="5">
        <f t="shared" si="175"/>
        <v>2.18371</v>
      </c>
      <c r="R147" s="5">
        <f t="shared" si="175"/>
        <v>0.23794999999999999</v>
      </c>
      <c r="S147" s="5">
        <f t="shared" si="176"/>
        <v>2.4261018100000005</v>
      </c>
      <c r="T147" s="5">
        <f t="shared" si="177"/>
        <v>0.14556610860000002</v>
      </c>
      <c r="U147" s="5">
        <f t="shared" si="178"/>
        <v>0.33234271369863022</v>
      </c>
      <c r="V147" s="5">
        <f t="shared" si="171"/>
        <v>4.2132800761519477E-2</v>
      </c>
    </row>
    <row r="148" spans="2:22" x14ac:dyDescent="0.3">
      <c r="B148">
        <v>4</v>
      </c>
      <c r="C148">
        <v>7521</v>
      </c>
      <c r="D148">
        <v>19939.8</v>
      </c>
      <c r="E148">
        <v>578.6</v>
      </c>
      <c r="F148">
        <f t="shared" si="168"/>
        <v>1.9939799999999999</v>
      </c>
      <c r="G148">
        <f t="shared" si="169"/>
        <v>0.75209999999999999</v>
      </c>
      <c r="H148">
        <f t="shared" si="170"/>
        <v>1.2418799999999999</v>
      </c>
      <c r="I148">
        <f t="shared" si="172"/>
        <v>5.7860000000000002E-2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2.5518813894139659E-2</v>
      </c>
      <c r="P148" s="4">
        <v>3</v>
      </c>
      <c r="Q148" s="5">
        <f t="shared" si="175"/>
        <v>1.2418799999999999</v>
      </c>
      <c r="R148" s="5">
        <f t="shared" si="175"/>
        <v>5.7860000000000002E-2</v>
      </c>
      <c r="S148" s="5">
        <f t="shared" si="176"/>
        <v>1.3797286799999999</v>
      </c>
      <c r="T148" s="5">
        <f t="shared" si="177"/>
        <v>8.2783720799999988E-2</v>
      </c>
      <c r="U148" s="5">
        <f t="shared" si="178"/>
        <v>0.18900392876712327</v>
      </c>
      <c r="V148" s="5">
        <f t="shared" si="171"/>
        <v>2.5518813894139659E-2</v>
      </c>
    </row>
    <row r="149" spans="2:22" x14ac:dyDescent="0.3">
      <c r="B149">
        <v>5</v>
      </c>
      <c r="C149">
        <v>5406.3</v>
      </c>
      <c r="D149">
        <v>18158.8</v>
      </c>
      <c r="E149">
        <v>1950.3</v>
      </c>
      <c r="F149">
        <f t="shared" si="168"/>
        <v>1.8158799999999999</v>
      </c>
      <c r="G149">
        <f t="shared" si="169"/>
        <v>0.54063000000000005</v>
      </c>
      <c r="H149">
        <f t="shared" si="170"/>
        <v>1.2752499999999998</v>
      </c>
      <c r="I149">
        <f t="shared" si="172"/>
        <v>0.19503000000000001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1.8444063337893141E-2</v>
      </c>
      <c r="P149" s="4">
        <v>3</v>
      </c>
      <c r="Q149" s="5">
        <f t="shared" si="175"/>
        <v>1.2752499999999998</v>
      </c>
      <c r="R149" s="5">
        <f t="shared" si="175"/>
        <v>0.19503000000000001</v>
      </c>
      <c r="S149" s="5">
        <f t="shared" si="176"/>
        <v>1.41680275</v>
      </c>
      <c r="T149" s="5">
        <f t="shared" si="177"/>
        <v>8.5008164999999997E-2</v>
      </c>
      <c r="U149" s="5">
        <f t="shared" si="178"/>
        <v>0.1940825684931507</v>
      </c>
      <c r="V149" s="5">
        <f t="shared" si="171"/>
        <v>1.8444063337893141E-2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1.2766843478326573E-2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1.2766843478326573E-2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9.229357106694926E-3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9.229357106694926E-3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7.7398826646892195E-3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7.7398826646892195E-3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6.2377950673852666E-3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6.2377950673852666E-3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4.4669992642433591E-3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4.4669992642433591E-3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2.8806696412112791E-3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2.8806696412112791E-3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-139.1</v>
      </c>
      <c r="D159">
        <v>15152.3</v>
      </c>
      <c r="E159">
        <v>4091.4</v>
      </c>
      <c r="F159">
        <f t="shared" ref="F159:F169" si="180">D159/10000</f>
        <v>1.5152299999999999</v>
      </c>
      <c r="G159">
        <f t="shared" ref="G159:G169" si="181">C159/10000</f>
        <v>-1.3909999999999999E-2</v>
      </c>
      <c r="H159">
        <f t="shared" ref="H159:H169" si="182">F159-G159</f>
        <v>1.5291399999999999</v>
      </c>
      <c r="I159">
        <f>E159/10000</f>
        <v>0.40914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4.4046489453345918E-2</v>
      </c>
      <c r="P159" s="2">
        <v>3</v>
      </c>
      <c r="Q159" s="8">
        <f>H159</f>
        <v>1.5291399999999999</v>
      </c>
      <c r="R159" s="8">
        <f>I159</f>
        <v>0.40914</v>
      </c>
      <c r="S159" s="8">
        <f>Q159/10^6*$Z$4*$Z$3/P159*10^12</f>
        <v>1.6988745399999998</v>
      </c>
      <c r="T159" s="8">
        <f>S159*0.06</f>
        <v>0.10193247239999999</v>
      </c>
      <c r="U159" s="8">
        <f>S159/$Z$1</f>
        <v>0.23272253972602738</v>
      </c>
      <c r="V159" s="12">
        <f t="shared" ref="V159:V169" si="183">O159</f>
        <v>4.4046489453345918E-2</v>
      </c>
    </row>
    <row r="160" spans="2:22" x14ac:dyDescent="0.3">
      <c r="B160">
        <v>2</v>
      </c>
      <c r="C160">
        <v>-3644.2</v>
      </c>
      <c r="D160">
        <v>13301.9</v>
      </c>
      <c r="E160">
        <v>3415.9</v>
      </c>
      <c r="F160">
        <f t="shared" si="180"/>
        <v>1.33019</v>
      </c>
      <c r="G160">
        <f t="shared" si="181"/>
        <v>-0.36441999999999997</v>
      </c>
      <c r="H160">
        <f t="shared" si="182"/>
        <v>1.6946099999999999</v>
      </c>
      <c r="I160">
        <f t="shared" ref="I160:I169" si="184">E160/10000</f>
        <v>0.34159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3.9070923957745467E-2</v>
      </c>
      <c r="P160" s="4">
        <v>3</v>
      </c>
      <c r="Q160" s="5">
        <f t="shared" ref="Q160:R169" si="187">H160</f>
        <v>1.6946099999999999</v>
      </c>
      <c r="R160" s="5">
        <f t="shared" si="187"/>
        <v>0.34159</v>
      </c>
      <c r="S160" s="5">
        <f t="shared" ref="S160:S169" si="188">Q160/10^6*$Z$4*$Z$3/P160*10^12</f>
        <v>1.8827117099999999</v>
      </c>
      <c r="T160" s="5">
        <f t="shared" ref="T160:T169" si="189">S160*0.06</f>
        <v>0.11296270259999999</v>
      </c>
      <c r="U160" s="5">
        <f t="shared" ref="U160:U169" si="190">S160/$Z$1</f>
        <v>0.25790571369863013</v>
      </c>
      <c r="V160" s="5">
        <f t="shared" si="183"/>
        <v>3.9070923957745467E-2</v>
      </c>
    </row>
    <row r="161" spans="2:22" x14ac:dyDescent="0.3">
      <c r="B161">
        <v>3</v>
      </c>
      <c r="C161">
        <v>-4288.3</v>
      </c>
      <c r="D161">
        <v>14821.9</v>
      </c>
      <c r="E161">
        <v>1580.6</v>
      </c>
      <c r="F161">
        <f t="shared" si="180"/>
        <v>1.4821899999999999</v>
      </c>
      <c r="G161">
        <f t="shared" si="181"/>
        <v>-0.42883000000000004</v>
      </c>
      <c r="H161">
        <f t="shared" si="182"/>
        <v>1.9110199999999999</v>
      </c>
      <c r="I161">
        <f t="shared" si="184"/>
        <v>0.15805999999999998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3.3706240609215586E-2</v>
      </c>
      <c r="P161" s="4">
        <v>3</v>
      </c>
      <c r="Q161" s="5">
        <f t="shared" si="187"/>
        <v>1.9110199999999999</v>
      </c>
      <c r="R161" s="5">
        <f t="shared" si="187"/>
        <v>0.15805999999999998</v>
      </c>
      <c r="S161" s="5">
        <f t="shared" si="188"/>
        <v>2.1231432200000002</v>
      </c>
      <c r="T161" s="5">
        <f t="shared" si="189"/>
        <v>0.12738859320000001</v>
      </c>
      <c r="U161" s="5">
        <f t="shared" si="190"/>
        <v>0.29084153698630139</v>
      </c>
      <c r="V161" s="5">
        <f t="shared" si="183"/>
        <v>3.3706240609215586E-2</v>
      </c>
    </row>
    <row r="162" spans="2:22" x14ac:dyDescent="0.3">
      <c r="B162">
        <v>4</v>
      </c>
      <c r="C162">
        <v>2967.6</v>
      </c>
      <c r="D162">
        <v>12634.3</v>
      </c>
      <c r="E162">
        <v>782.4</v>
      </c>
      <c r="F162">
        <f t="shared" si="180"/>
        <v>1.2634299999999998</v>
      </c>
      <c r="G162">
        <f t="shared" si="181"/>
        <v>0.29675999999999997</v>
      </c>
      <c r="H162">
        <f t="shared" si="182"/>
        <v>0.96666999999999992</v>
      </c>
      <c r="I162">
        <f t="shared" si="184"/>
        <v>7.8240000000000004E-2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2.0415051115311725E-2</v>
      </c>
      <c r="P162" s="4">
        <v>3</v>
      </c>
      <c r="Q162" s="5">
        <f t="shared" si="187"/>
        <v>0.96666999999999992</v>
      </c>
      <c r="R162" s="5">
        <f t="shared" si="187"/>
        <v>7.8240000000000004E-2</v>
      </c>
      <c r="S162" s="5">
        <f t="shared" si="188"/>
        <v>1.0739703699999998</v>
      </c>
      <c r="T162" s="5">
        <f t="shared" si="189"/>
        <v>6.4438222199999992E-2</v>
      </c>
      <c r="U162" s="5">
        <f t="shared" si="190"/>
        <v>0.14711922876712327</v>
      </c>
      <c r="V162" s="5">
        <f t="shared" si="183"/>
        <v>2.0415051115311725E-2</v>
      </c>
    </row>
    <row r="163" spans="2:22" x14ac:dyDescent="0.3">
      <c r="B163">
        <v>5</v>
      </c>
      <c r="C163">
        <v>-4079.1</v>
      </c>
      <c r="D163">
        <v>8542.5</v>
      </c>
      <c r="E163">
        <v>1444.9</v>
      </c>
      <c r="F163">
        <f t="shared" si="180"/>
        <v>0.85424999999999995</v>
      </c>
      <c r="G163">
        <f t="shared" si="181"/>
        <v>-0.40790999999999999</v>
      </c>
      <c r="H163">
        <f t="shared" si="182"/>
        <v>1.2621599999999999</v>
      </c>
      <c r="I163">
        <f t="shared" si="184"/>
        <v>0.14449000000000001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1.4755250670314515E-2</v>
      </c>
      <c r="P163" s="4">
        <v>3</v>
      </c>
      <c r="Q163" s="5">
        <f t="shared" si="187"/>
        <v>1.2621599999999999</v>
      </c>
      <c r="R163" s="5">
        <f t="shared" si="187"/>
        <v>0.14449000000000001</v>
      </c>
      <c r="S163" s="5">
        <f t="shared" si="188"/>
        <v>1.40225976</v>
      </c>
      <c r="T163" s="5">
        <f t="shared" si="189"/>
        <v>8.4135585599999993E-2</v>
      </c>
      <c r="U163" s="5">
        <f t="shared" si="190"/>
        <v>0.19209037808219179</v>
      </c>
      <c r="V163" s="5">
        <f t="shared" si="183"/>
        <v>1.4755250670314515E-2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1.0213474782661259E-2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1.0213474782661259E-2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7.3834856853559399E-3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7.3834856853559399E-3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6.1919061317513751E-3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6.1919061317513751E-3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4.9902360539082133E-3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4.9902360539082133E-3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3.5735994113946876E-3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3.5735994113946876E-3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2.3045357129690231E-3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2.3045357129690231E-3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CQ169"/>
  <sheetViews>
    <sheetView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19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41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-1895.5</v>
      </c>
      <c r="D5">
        <v>297086.8</v>
      </c>
      <c r="E5">
        <v>8205.2999999999993</v>
      </c>
      <c r="F5">
        <f t="shared" ref="F5:F15" si="0">D5/10000</f>
        <v>29.708679999999998</v>
      </c>
      <c r="G5">
        <f t="shared" ref="G5:G15" si="1">C5/10000</f>
        <v>-0.18955</v>
      </c>
      <c r="H5">
        <f t="shared" ref="H5:H15" si="2">F5-G5</f>
        <v>29.898229999999998</v>
      </c>
      <c r="I5">
        <f>E5/10000</f>
        <v>0.82052999999999998</v>
      </c>
      <c r="K5" s="66">
        <v>1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9.9104601270028319</v>
      </c>
      <c r="P5" s="2">
        <v>3</v>
      </c>
      <c r="Q5" s="8">
        <f>H5</f>
        <v>29.898229999999998</v>
      </c>
      <c r="R5" s="8">
        <f>I5</f>
        <v>0.82052999999999998</v>
      </c>
      <c r="S5" s="8">
        <f>Q5/10^6*$Z$4*$Z$3/P5*10^12</f>
        <v>33.216933529999999</v>
      </c>
      <c r="T5" s="8">
        <f>S5*0.06</f>
        <v>1.9930160117999998</v>
      </c>
      <c r="U5" s="8">
        <f>S5/$Z$1</f>
        <v>4.5502648671232873</v>
      </c>
      <c r="V5" s="12">
        <f t="shared" ref="V5:V15" si="4">O5</f>
        <v>9.9104601270028319</v>
      </c>
    </row>
    <row r="6" spans="2:95" x14ac:dyDescent="0.3">
      <c r="B6">
        <v>2</v>
      </c>
      <c r="C6">
        <v>-4208.1000000000004</v>
      </c>
      <c r="D6">
        <v>306519</v>
      </c>
      <c r="E6">
        <v>7512.9</v>
      </c>
      <c r="F6">
        <f t="shared" si="0"/>
        <v>30.651900000000001</v>
      </c>
      <c r="G6">
        <f t="shared" si="1"/>
        <v>-0.42081000000000002</v>
      </c>
      <c r="H6">
        <f t="shared" si="2"/>
        <v>31.072710000000001</v>
      </c>
      <c r="I6">
        <f t="shared" ref="I6:I15" si="5">E6/10000</f>
        <v>0.75129000000000001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8.7909578904927308</v>
      </c>
      <c r="P6" s="4">
        <v>3</v>
      </c>
      <c r="Q6" s="5">
        <f t="shared" ref="Q6:R15" si="7">H6</f>
        <v>31.072710000000001</v>
      </c>
      <c r="R6" s="5">
        <f t="shared" si="7"/>
        <v>0.75129000000000001</v>
      </c>
      <c r="S6" s="5">
        <f t="shared" ref="S6:S15" si="8">Q6/10^6*$Z$4*$Z$3/P6*10^12</f>
        <v>34.521780810000003</v>
      </c>
      <c r="T6" s="5">
        <f t="shared" ref="T6:T15" si="9">S6*0.06</f>
        <v>2.0713068485999999</v>
      </c>
      <c r="U6" s="5">
        <f t="shared" ref="U6:U15" si="10">S6/$Z$1</f>
        <v>4.7290110698630139</v>
      </c>
      <c r="V6" s="5">
        <f t="shared" si="4"/>
        <v>8.7909578904927308</v>
      </c>
    </row>
    <row r="7" spans="2:95" x14ac:dyDescent="0.3">
      <c r="B7">
        <v>3</v>
      </c>
      <c r="C7">
        <v>773.8</v>
      </c>
      <c r="D7">
        <v>321968.5</v>
      </c>
      <c r="E7">
        <v>7219.4</v>
      </c>
      <c r="F7">
        <f t="shared" si="0"/>
        <v>32.196849999999998</v>
      </c>
      <c r="G7">
        <f t="shared" si="1"/>
        <v>7.737999999999999E-2</v>
      </c>
      <c r="H7">
        <f t="shared" si="2"/>
        <v>32.11947</v>
      </c>
      <c r="I7">
        <f t="shared" si="5"/>
        <v>0.72193999999999992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7.5839041370735059</v>
      </c>
      <c r="P7" s="4">
        <v>3</v>
      </c>
      <c r="Q7" s="5">
        <f t="shared" si="7"/>
        <v>32.11947</v>
      </c>
      <c r="R7" s="5">
        <f t="shared" si="7"/>
        <v>0.72193999999999992</v>
      </c>
      <c r="S7" s="5">
        <f t="shared" si="8"/>
        <v>35.684731170000006</v>
      </c>
      <c r="T7" s="5">
        <f t="shared" si="9"/>
        <v>2.1410838702000001</v>
      </c>
      <c r="U7" s="5">
        <f t="shared" si="10"/>
        <v>4.8883193383561654</v>
      </c>
      <c r="V7" s="5">
        <f t="shared" si="4"/>
        <v>7.5839041370735059</v>
      </c>
      <c r="Y7" t="s">
        <v>31</v>
      </c>
      <c r="Z7">
        <v>1</v>
      </c>
    </row>
    <row r="8" spans="2:95" x14ac:dyDescent="0.3">
      <c r="B8">
        <v>4</v>
      </c>
      <c r="C8">
        <v>-2790.4</v>
      </c>
      <c r="D8">
        <v>342419.9</v>
      </c>
      <c r="E8">
        <v>7382.8</v>
      </c>
      <c r="F8">
        <f t="shared" si="0"/>
        <v>34.241990000000001</v>
      </c>
      <c r="G8">
        <f t="shared" si="1"/>
        <v>-0.27904000000000001</v>
      </c>
      <c r="H8">
        <f t="shared" si="2"/>
        <v>34.521030000000003</v>
      </c>
      <c r="I8">
        <f t="shared" si="5"/>
        <v>0.73828000000000005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4.5933865009451385</v>
      </c>
      <c r="P8" s="4">
        <v>3</v>
      </c>
      <c r="Q8" s="5">
        <f t="shared" si="7"/>
        <v>34.521030000000003</v>
      </c>
      <c r="R8" s="5">
        <f t="shared" si="7"/>
        <v>0.73828000000000005</v>
      </c>
      <c r="S8" s="5">
        <f t="shared" si="8"/>
        <v>38.35286433000001</v>
      </c>
      <c r="T8" s="5">
        <f t="shared" si="9"/>
        <v>2.3011718598000006</v>
      </c>
      <c r="U8" s="5">
        <f t="shared" si="10"/>
        <v>5.2538170315068511</v>
      </c>
      <c r="V8" s="5">
        <f t="shared" si="4"/>
        <v>4.5933865009451385</v>
      </c>
    </row>
    <row r="9" spans="2:95" x14ac:dyDescent="0.3">
      <c r="B9">
        <v>5</v>
      </c>
      <c r="C9">
        <v>-9961.2999999999993</v>
      </c>
      <c r="D9">
        <v>324241.7</v>
      </c>
      <c r="E9">
        <v>5189.8999999999996</v>
      </c>
      <c r="F9">
        <f t="shared" si="0"/>
        <v>32.424170000000004</v>
      </c>
      <c r="G9">
        <f t="shared" si="1"/>
        <v>-0.99612999999999996</v>
      </c>
      <c r="H9">
        <f t="shared" si="2"/>
        <v>33.420300000000005</v>
      </c>
      <c r="I9">
        <f t="shared" si="5"/>
        <v>0.51898999999999995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3.3199314008207654</v>
      </c>
      <c r="P9" s="4">
        <v>3</v>
      </c>
      <c r="Q9" s="5">
        <f t="shared" si="7"/>
        <v>33.420300000000005</v>
      </c>
      <c r="R9" s="5">
        <f t="shared" si="7"/>
        <v>0.51898999999999995</v>
      </c>
      <c r="S9" s="5">
        <f t="shared" si="8"/>
        <v>37.129953300000004</v>
      </c>
      <c r="T9" s="5">
        <f t="shared" si="9"/>
        <v>2.2277971980000002</v>
      </c>
      <c r="U9" s="5">
        <f t="shared" si="10"/>
        <v>5.0862949726027402</v>
      </c>
      <c r="V9" s="5">
        <f t="shared" si="4"/>
        <v>3.3199314008207654</v>
      </c>
    </row>
    <row r="10" spans="2:95" ht="15" thickBot="1" x14ac:dyDescent="0.35">
      <c r="B10">
        <v>6</v>
      </c>
      <c r="C10">
        <v>-7436.8</v>
      </c>
      <c r="D10">
        <v>379349</v>
      </c>
      <c r="E10">
        <v>7469.2</v>
      </c>
      <c r="F10">
        <f t="shared" si="0"/>
        <v>37.934899999999999</v>
      </c>
      <c r="G10">
        <f t="shared" si="1"/>
        <v>-0.74368000000000001</v>
      </c>
      <c r="H10">
        <f t="shared" si="2"/>
        <v>38.678579999999997</v>
      </c>
      <c r="I10">
        <f t="shared" si="5"/>
        <v>0.74692000000000003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2.2980318260987831</v>
      </c>
      <c r="P10" s="4">
        <v>4</v>
      </c>
      <c r="Q10" s="5">
        <f t="shared" si="7"/>
        <v>38.678579999999997</v>
      </c>
      <c r="R10" s="5">
        <f t="shared" si="7"/>
        <v>0.74692000000000003</v>
      </c>
      <c r="S10" s="5">
        <f t="shared" si="8"/>
        <v>32.228926784999999</v>
      </c>
      <c r="T10" s="5">
        <f t="shared" si="9"/>
        <v>1.9337356070999998</v>
      </c>
      <c r="U10" s="5">
        <f t="shared" si="10"/>
        <v>4.41492147739726</v>
      </c>
      <c r="V10" s="5">
        <f t="shared" si="4"/>
        <v>2.2980318260987831</v>
      </c>
    </row>
    <row r="11" spans="2:95" ht="15.6" thickTop="1" thickBot="1" x14ac:dyDescent="0.35">
      <c r="B11">
        <v>7</v>
      </c>
      <c r="C11">
        <v>-8935.6</v>
      </c>
      <c r="D11">
        <v>298273.09999999998</v>
      </c>
      <c r="E11">
        <v>4196.3</v>
      </c>
      <c r="F11">
        <f t="shared" si="0"/>
        <v>29.827309999999997</v>
      </c>
      <c r="G11">
        <f t="shared" si="1"/>
        <v>-0.89356000000000002</v>
      </c>
      <c r="H11">
        <f t="shared" si="2"/>
        <v>30.720869999999998</v>
      </c>
      <c r="I11">
        <f t="shared" si="5"/>
        <v>0.41963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1.6612842792050866</v>
      </c>
      <c r="P11" s="4">
        <v>4</v>
      </c>
      <c r="Q11" s="5">
        <f t="shared" si="7"/>
        <v>30.720869999999998</v>
      </c>
      <c r="R11" s="5">
        <f t="shared" si="7"/>
        <v>0.41963</v>
      </c>
      <c r="S11" s="5">
        <f t="shared" si="8"/>
        <v>25.598164927499997</v>
      </c>
      <c r="T11" s="5">
        <f t="shared" si="9"/>
        <v>1.5358898956499998</v>
      </c>
      <c r="U11" s="5">
        <f t="shared" si="10"/>
        <v>3.5065979352739722</v>
      </c>
      <c r="V11" s="5">
        <f t="shared" si="4"/>
        <v>1.6612842792050866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6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</row>
    <row r="12" spans="2:95" ht="15" thickBot="1" x14ac:dyDescent="0.35">
      <c r="B12">
        <v>8</v>
      </c>
      <c r="C12">
        <v>-7669.9</v>
      </c>
      <c r="D12">
        <v>316109</v>
      </c>
      <c r="E12">
        <v>6179.2</v>
      </c>
      <c r="F12">
        <f t="shared" si="0"/>
        <v>31.610900000000001</v>
      </c>
      <c r="G12">
        <f t="shared" si="1"/>
        <v>-0.76698999999999995</v>
      </c>
      <c r="H12">
        <f t="shared" si="2"/>
        <v>32.377890000000001</v>
      </c>
      <c r="I12">
        <f t="shared" si="5"/>
        <v>0.61792000000000002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1.3931788796440594</v>
      </c>
      <c r="P12" s="4">
        <v>5</v>
      </c>
      <c r="Q12" s="5">
        <f t="shared" si="7"/>
        <v>32.377890000000001</v>
      </c>
      <c r="R12" s="5">
        <f t="shared" si="7"/>
        <v>0.61792000000000002</v>
      </c>
      <c r="S12" s="5">
        <f t="shared" si="8"/>
        <v>21.583101473999999</v>
      </c>
      <c r="T12" s="5">
        <f t="shared" si="9"/>
        <v>1.29498608844</v>
      </c>
      <c r="U12" s="5">
        <f t="shared" si="10"/>
        <v>2.9565892430136986</v>
      </c>
      <c r="V12" s="5">
        <f t="shared" si="4"/>
        <v>1.3931788796440594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4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</row>
    <row r="13" spans="2:95" ht="15" thickBot="1" x14ac:dyDescent="0.35">
      <c r="B13">
        <v>9</v>
      </c>
      <c r="C13">
        <v>-1786.9</v>
      </c>
      <c r="D13">
        <v>386777.3</v>
      </c>
      <c r="E13">
        <v>5202.1000000000004</v>
      </c>
      <c r="F13">
        <f t="shared" si="0"/>
        <v>38.677729999999997</v>
      </c>
      <c r="G13">
        <f t="shared" si="1"/>
        <v>-0.17869000000000002</v>
      </c>
      <c r="H13">
        <f t="shared" si="2"/>
        <v>38.85642</v>
      </c>
      <c r="I13">
        <f t="shared" si="5"/>
        <v>0.52021000000000006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1.122803112129348</v>
      </c>
      <c r="P13" s="4">
        <v>8</v>
      </c>
      <c r="Q13" s="5">
        <f t="shared" si="7"/>
        <v>38.85642</v>
      </c>
      <c r="R13" s="5">
        <f t="shared" si="7"/>
        <v>0.52021000000000006</v>
      </c>
      <c r="S13" s="5">
        <f t="shared" si="8"/>
        <v>16.188555982499999</v>
      </c>
      <c r="T13" s="5">
        <f t="shared" si="9"/>
        <v>0.97131335894999993</v>
      </c>
      <c r="U13" s="5">
        <f t="shared" si="10"/>
        <v>2.2176104085616437</v>
      </c>
      <c r="V13" s="5">
        <f t="shared" si="4"/>
        <v>1.122803112129348</v>
      </c>
      <c r="X13" s="28">
        <v>1</v>
      </c>
      <c r="Y13" s="29">
        <v>1</v>
      </c>
      <c r="Z13" s="29">
        <v>1</v>
      </c>
      <c r="AA13" s="29">
        <v>1</v>
      </c>
      <c r="AB13" s="40">
        <v>1</v>
      </c>
      <c r="AC13" s="30">
        <v>1</v>
      </c>
      <c r="AD13" s="28">
        <v>2</v>
      </c>
      <c r="AE13" s="29">
        <v>2</v>
      </c>
      <c r="AF13" s="29">
        <v>2</v>
      </c>
      <c r="AG13" s="29">
        <v>2</v>
      </c>
      <c r="AH13" s="40">
        <v>2</v>
      </c>
      <c r="AI13" s="30">
        <v>2</v>
      </c>
      <c r="AJ13" s="28">
        <v>3</v>
      </c>
      <c r="AK13" s="29">
        <v>3</v>
      </c>
      <c r="AL13" s="29">
        <v>3</v>
      </c>
      <c r="AM13" s="29">
        <v>3</v>
      </c>
      <c r="AN13" s="40">
        <v>3</v>
      </c>
      <c r="AO13" s="30">
        <v>3</v>
      </c>
      <c r="AP13" s="28">
        <v>4</v>
      </c>
      <c r="AQ13" s="29">
        <v>4</v>
      </c>
      <c r="AR13" s="29">
        <v>4</v>
      </c>
      <c r="AS13" s="29">
        <v>4</v>
      </c>
      <c r="AT13" s="40">
        <v>4</v>
      </c>
      <c r="AU13" s="30">
        <v>4</v>
      </c>
      <c r="AV13" s="28">
        <v>5</v>
      </c>
      <c r="AW13" s="29">
        <v>5</v>
      </c>
      <c r="AX13" s="29">
        <v>5</v>
      </c>
      <c r="AY13" s="29">
        <v>5</v>
      </c>
      <c r="AZ13" s="40">
        <v>5</v>
      </c>
      <c r="BA13" s="30">
        <v>5</v>
      </c>
      <c r="BB13" s="28">
        <v>6</v>
      </c>
      <c r="BC13" s="29">
        <v>6</v>
      </c>
      <c r="BD13" s="29">
        <v>6</v>
      </c>
      <c r="BE13" s="29">
        <v>6</v>
      </c>
      <c r="BF13" s="40">
        <v>6</v>
      </c>
      <c r="BG13" s="30">
        <v>6</v>
      </c>
      <c r="BH13" s="28">
        <v>7</v>
      </c>
      <c r="BI13" s="29">
        <v>7</v>
      </c>
      <c r="BJ13" s="29">
        <v>7</v>
      </c>
      <c r="BK13" s="29">
        <v>7</v>
      </c>
      <c r="BL13" s="40">
        <v>7</v>
      </c>
      <c r="BM13" s="30">
        <v>7</v>
      </c>
      <c r="BN13" s="28">
        <v>8</v>
      </c>
      <c r="BO13" s="29">
        <v>8</v>
      </c>
      <c r="BP13" s="29">
        <v>8</v>
      </c>
      <c r="BQ13" s="29">
        <v>8</v>
      </c>
      <c r="BR13" s="40">
        <v>8</v>
      </c>
      <c r="BS13" s="30">
        <v>8</v>
      </c>
      <c r="BT13" s="28">
        <v>9</v>
      </c>
      <c r="BU13" s="29">
        <v>9</v>
      </c>
      <c r="BV13" s="29">
        <v>9</v>
      </c>
      <c r="BW13" s="29">
        <v>9</v>
      </c>
      <c r="BX13" s="40">
        <v>9</v>
      </c>
      <c r="BY13" s="30">
        <v>9</v>
      </c>
      <c r="BZ13" s="4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</row>
    <row r="14" spans="2:95" x14ac:dyDescent="0.3">
      <c r="B14">
        <v>10</v>
      </c>
      <c r="C14">
        <v>-7221.6</v>
      </c>
      <c r="D14">
        <v>396404.7</v>
      </c>
      <c r="E14">
        <v>10332.799999999999</v>
      </c>
      <c r="F14">
        <f t="shared" si="0"/>
        <v>39.640470000000001</v>
      </c>
      <c r="G14">
        <f t="shared" si="1"/>
        <v>-0.72216000000000002</v>
      </c>
      <c r="H14">
        <f t="shared" si="2"/>
        <v>40.362630000000003</v>
      </c>
      <c r="I14">
        <f t="shared" si="5"/>
        <v>1.03328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0.80405986756380465</v>
      </c>
      <c r="P14" s="4">
        <v>14</v>
      </c>
      <c r="Q14" s="5">
        <f t="shared" si="7"/>
        <v>40.362630000000003</v>
      </c>
      <c r="R14" s="5">
        <f t="shared" si="7"/>
        <v>1.03328</v>
      </c>
      <c r="S14" s="5">
        <f t="shared" si="8"/>
        <v>9.609188985000003</v>
      </c>
      <c r="T14" s="5">
        <f t="shared" si="9"/>
        <v>0.57655133910000012</v>
      </c>
      <c r="U14" s="5">
        <f t="shared" si="10"/>
        <v>1.3163272582191785</v>
      </c>
      <c r="V14" s="5">
        <f t="shared" si="4"/>
        <v>0.80405986756380465</v>
      </c>
      <c r="X14" s="31">
        <f t="shared" ref="X14:X24" si="12">O5</f>
        <v>9.9104601270028319</v>
      </c>
      <c r="Y14" s="32">
        <f t="shared" ref="Y14:AA24" si="13">S5</f>
        <v>33.216933529999999</v>
      </c>
      <c r="Z14" s="32">
        <f t="shared" si="13"/>
        <v>1.9930160117999998</v>
      </c>
      <c r="AA14" s="32">
        <f t="shared" si="13"/>
        <v>4.5502648671232873</v>
      </c>
      <c r="AB14" s="41">
        <f>I5/H5</f>
        <v>2.7444099533651324E-2</v>
      </c>
      <c r="AC14" s="33">
        <f t="shared" ref="AC14:AC24" si="14">R5</f>
        <v>0.82052999999999998</v>
      </c>
      <c r="AD14" s="31">
        <f t="shared" ref="AD14:AD24" si="15">O19</f>
        <v>4.9552300635014159</v>
      </c>
      <c r="AE14" s="32">
        <f t="shared" ref="AE14:AG24" si="16">S19</f>
        <v>13.826483879999998</v>
      </c>
      <c r="AF14" s="32">
        <f t="shared" si="16"/>
        <v>0.82958903279999985</v>
      </c>
      <c r="AG14" s="32">
        <f t="shared" si="16"/>
        <v>1.8940388876712326</v>
      </c>
      <c r="AH14" s="41">
        <f>I19/H19</f>
        <v>2.5818234997284067E-2</v>
      </c>
      <c r="AI14" s="33">
        <f>R19</f>
        <v>0.32130999999999998</v>
      </c>
      <c r="AJ14" s="31">
        <f t="shared" ref="AJ14:AJ23" si="17">O33</f>
        <v>3.3034867090009441</v>
      </c>
      <c r="AK14" s="32">
        <f t="shared" ref="AK14:AM23" si="18">S33</f>
        <v>41.321545210000004</v>
      </c>
      <c r="AL14" s="32">
        <f t="shared" si="18"/>
        <v>2.4792927125999999</v>
      </c>
      <c r="AM14" s="32">
        <f t="shared" si="18"/>
        <v>5.6604856452054797</v>
      </c>
      <c r="AN14" s="41">
        <f>I33/H33</f>
        <v>1.4173592904707351E-2</v>
      </c>
      <c r="AO14" s="33">
        <f>R33</f>
        <v>0.52716000000000007</v>
      </c>
      <c r="AP14" s="31">
        <f t="shared" ref="AP14:AP23" si="19">O47</f>
        <v>2.477615031750708</v>
      </c>
      <c r="AQ14" s="32">
        <f t="shared" ref="AQ14:AS23" si="20">S47</f>
        <v>18.647979460000002</v>
      </c>
      <c r="AR14" s="32">
        <f t="shared" si="20"/>
        <v>1.1188787676</v>
      </c>
      <c r="AS14" s="32">
        <f t="shared" si="20"/>
        <v>2.5545177342465757</v>
      </c>
      <c r="AT14" s="41">
        <f>I47/H47</f>
        <v>2.315777432757854E-2</v>
      </c>
      <c r="AU14" s="33">
        <f>R47</f>
        <v>0.38869999999999999</v>
      </c>
      <c r="AV14" s="31">
        <f t="shared" ref="AV14:AV22" si="21">O61</f>
        <v>1.9820920254005663</v>
      </c>
      <c r="AW14" s="32">
        <f t="shared" ref="AW14:AY22" si="22">S61</f>
        <v>36.02578595</v>
      </c>
      <c r="AX14" s="32">
        <f t="shared" si="22"/>
        <v>2.1615471569999998</v>
      </c>
      <c r="AY14" s="32">
        <f t="shared" si="22"/>
        <v>4.9350391712328765</v>
      </c>
      <c r="AZ14" s="41">
        <f>I61/H61</f>
        <v>1.4366975108283515E-2</v>
      </c>
      <c r="BA14" s="33">
        <f>R61</f>
        <v>0.46587000000000001</v>
      </c>
      <c r="BB14" s="31">
        <f t="shared" ref="BB14:BB21" si="23">O75</f>
        <v>1.651743354500472</v>
      </c>
      <c r="BC14" s="32">
        <f t="shared" ref="BC14:BE21" si="24">S75</f>
        <v>20.377206519999994</v>
      </c>
      <c r="BD14" s="32">
        <f t="shared" si="24"/>
        <v>1.2226323911999997</v>
      </c>
      <c r="BE14" s="32">
        <f t="shared" si="24"/>
        <v>2.791398153424657</v>
      </c>
      <c r="BF14" s="41">
        <f>I75/H75</f>
        <v>1.8929390032996537E-2</v>
      </c>
      <c r="BG14" s="33">
        <f>R75</f>
        <v>0.34719</v>
      </c>
      <c r="BH14" s="31">
        <f t="shared" ref="BH14:BH20" si="25">O89</f>
        <v>1.4157800181432616</v>
      </c>
      <c r="BI14" s="32">
        <f t="shared" ref="BI14:BK20" si="26">S89</f>
        <v>29.764723230000008</v>
      </c>
      <c r="BJ14" s="32">
        <f t="shared" si="26"/>
        <v>1.7858833938000005</v>
      </c>
      <c r="BK14" s="32">
        <f t="shared" si="26"/>
        <v>4.0773593465753439</v>
      </c>
      <c r="BL14" s="41">
        <f>I89/H89</f>
        <v>2.5686678290003366E-2</v>
      </c>
      <c r="BM14" s="33">
        <f>R89</f>
        <v>0.68816999999999995</v>
      </c>
      <c r="BN14" s="31">
        <f t="shared" ref="BN14:BN20" si="27">O103</f>
        <v>1.238807515875354</v>
      </c>
      <c r="BO14" s="32">
        <f t="shared" ref="BO14:BQ20" si="28">S103</f>
        <v>22.149784800000003</v>
      </c>
      <c r="BP14" s="32">
        <f t="shared" si="28"/>
        <v>1.3289870880000001</v>
      </c>
      <c r="BQ14" s="32">
        <f t="shared" si="28"/>
        <v>3.0342170958904116</v>
      </c>
      <c r="BR14" s="41">
        <f>I103/H103</f>
        <v>1.9555294731351071E-2</v>
      </c>
      <c r="BS14" s="33">
        <f>R103</f>
        <v>0.38986999999999999</v>
      </c>
      <c r="BT14" s="31">
        <f t="shared" ref="BT14:BT19" si="29">O117</f>
        <v>1.101162236333648</v>
      </c>
      <c r="BU14" s="32">
        <f t="shared" ref="BU14:BW19" si="30">S117</f>
        <v>25.264273320000001</v>
      </c>
      <c r="BV14" s="32">
        <f t="shared" si="30"/>
        <v>1.5158563992</v>
      </c>
      <c r="BW14" s="32">
        <f t="shared" si="30"/>
        <v>3.4608593589041097</v>
      </c>
      <c r="BX14" s="41">
        <f>I117/H117</f>
        <v>1.7373698995431862E-2</v>
      </c>
      <c r="BY14" s="33">
        <f>R117</f>
        <v>0.39508000000000004</v>
      </c>
      <c r="BZ14" s="48"/>
      <c r="CA14" s="18"/>
      <c r="CB14" s="18"/>
      <c r="CC14" s="18"/>
      <c r="CD14" s="49"/>
      <c r="CE14" s="18"/>
      <c r="CF14" s="18"/>
      <c r="CG14" s="18"/>
      <c r="CH14" s="18"/>
      <c r="CI14" s="18"/>
      <c r="CJ14" s="49"/>
      <c r="CK14" s="18"/>
      <c r="CL14" s="18"/>
      <c r="CM14" s="18"/>
      <c r="CN14" s="18"/>
      <c r="CO14" s="18"/>
      <c r="CP14" s="49"/>
      <c r="CQ14" s="18"/>
    </row>
    <row r="15" spans="2:95" ht="15" thickBot="1" x14ac:dyDescent="0.35">
      <c r="B15">
        <v>11</v>
      </c>
      <c r="C15">
        <v>-2668.6</v>
      </c>
      <c r="D15">
        <v>337677.7</v>
      </c>
      <c r="E15">
        <v>14332.5</v>
      </c>
      <c r="F15">
        <f t="shared" si="0"/>
        <v>33.767769999999999</v>
      </c>
      <c r="G15">
        <f t="shared" si="1"/>
        <v>-0.26685999999999999</v>
      </c>
      <c r="H15">
        <f t="shared" si="2"/>
        <v>34.03463</v>
      </c>
      <c r="I15">
        <f t="shared" si="5"/>
        <v>1.4332499999999999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0.51852053541803023</v>
      </c>
      <c r="P15" s="7">
        <v>21</v>
      </c>
      <c r="Q15" s="6">
        <f t="shared" si="7"/>
        <v>34.03463</v>
      </c>
      <c r="R15" s="6">
        <f t="shared" si="7"/>
        <v>1.4332499999999999</v>
      </c>
      <c r="S15" s="6">
        <f t="shared" si="8"/>
        <v>5.4017819900000008</v>
      </c>
      <c r="T15" s="6">
        <f t="shared" si="9"/>
        <v>0.32410691940000003</v>
      </c>
      <c r="U15" s="6">
        <f t="shared" si="10"/>
        <v>0.73997013561643854</v>
      </c>
      <c r="V15" s="6">
        <f t="shared" si="4"/>
        <v>0.51852053541803023</v>
      </c>
      <c r="X15" s="34">
        <f t="shared" si="12"/>
        <v>8.7909578904927308</v>
      </c>
      <c r="Y15" s="35">
        <f t="shared" si="13"/>
        <v>34.521780810000003</v>
      </c>
      <c r="Z15" s="35">
        <f t="shared" si="13"/>
        <v>2.0713068485999999</v>
      </c>
      <c r="AA15" s="35">
        <f t="shared" si="13"/>
        <v>4.7290110698630139</v>
      </c>
      <c r="AB15" s="42">
        <f t="shared" ref="AB15:AB24" si="31">I6/H6</f>
        <v>2.4178451123188161E-2</v>
      </c>
      <c r="AC15" s="36">
        <f t="shared" si="14"/>
        <v>0.75129000000000001</v>
      </c>
      <c r="AD15" s="34">
        <f t="shared" si="15"/>
        <v>4.3954789452463654</v>
      </c>
      <c r="AE15" s="35">
        <f t="shared" si="16"/>
        <v>14.493572719999998</v>
      </c>
      <c r="AF15" s="35">
        <f t="shared" si="16"/>
        <v>0.86961436319999985</v>
      </c>
      <c r="AG15" s="35">
        <f t="shared" si="16"/>
        <v>1.9854209205479449</v>
      </c>
      <c r="AH15" s="42">
        <f t="shared" ref="AH15:AH24" si="32">I20/H20</f>
        <v>2.9850094131931879E-2</v>
      </c>
      <c r="AI15" s="36">
        <f t="shared" ref="AI15:AI24" si="33">R20</f>
        <v>0.38940999999999998</v>
      </c>
      <c r="AJ15" s="34">
        <f t="shared" si="17"/>
        <v>2.9303192968309104</v>
      </c>
      <c r="AK15" s="35">
        <f t="shared" si="18"/>
        <v>40.263751000000006</v>
      </c>
      <c r="AL15" s="35">
        <f t="shared" si="18"/>
        <v>2.4158250600000004</v>
      </c>
      <c r="AM15" s="35">
        <f t="shared" si="18"/>
        <v>5.515582328767124</v>
      </c>
      <c r="AN15" s="42">
        <f t="shared" ref="AN15:AN23" si="34">I34/H34</f>
        <v>1.5600286967798896E-2</v>
      </c>
      <c r="AO15" s="36">
        <f t="shared" ref="AO15:AO23" si="35">R34</f>
        <v>0.56536999999999993</v>
      </c>
      <c r="AP15" s="34">
        <f t="shared" si="19"/>
        <v>2.1977394726231827</v>
      </c>
      <c r="AQ15" s="35">
        <f t="shared" si="20"/>
        <v>17.469719519999998</v>
      </c>
      <c r="AR15" s="35">
        <f t="shared" si="20"/>
        <v>1.0481831711999998</v>
      </c>
      <c r="AS15" s="35">
        <f t="shared" si="20"/>
        <v>2.3931122630136983</v>
      </c>
      <c r="AT15" s="42">
        <f t="shared" ref="AT15:AT23" si="36">I48/H48</f>
        <v>2.2905918984095976E-2</v>
      </c>
      <c r="AU15" s="36">
        <f t="shared" ref="AU15:AU23" si="37">R48</f>
        <v>0.36018</v>
      </c>
      <c r="AV15" s="34">
        <f t="shared" si="21"/>
        <v>1.7581915780985462</v>
      </c>
      <c r="AW15" s="35">
        <f t="shared" si="22"/>
        <v>35.860502480000001</v>
      </c>
      <c r="AX15" s="35">
        <f t="shared" si="22"/>
        <v>2.1516301487999998</v>
      </c>
      <c r="AY15" s="35">
        <f t="shared" si="22"/>
        <v>4.9123976000000003</v>
      </c>
      <c r="AZ15" s="42">
        <f t="shared" ref="AZ15:AZ22" si="38">I62/H62</f>
        <v>1.5538911098938955E-2</v>
      </c>
      <c r="BA15" s="36">
        <f t="shared" ref="BA15:BA22" si="39">R62</f>
        <v>0.50156000000000001</v>
      </c>
      <c r="BB15" s="34">
        <f t="shared" si="23"/>
        <v>1.4651596484154552</v>
      </c>
      <c r="BC15" s="35">
        <f t="shared" si="24"/>
        <v>20.346520699999999</v>
      </c>
      <c r="BD15" s="35">
        <f t="shared" si="24"/>
        <v>1.220791242</v>
      </c>
      <c r="BE15" s="35">
        <f t="shared" si="24"/>
        <v>2.7871946164383563</v>
      </c>
      <c r="BF15" s="42">
        <f t="shared" ref="BF15:BF21" si="40">I76/H76</f>
        <v>1.7263032593086054E-2</v>
      </c>
      <c r="BG15" s="36">
        <f t="shared" ref="BG15:BG21" si="41">R76</f>
        <v>0.31614999999999999</v>
      </c>
      <c r="BH15" s="34">
        <f t="shared" si="25"/>
        <v>1.2558511272132473</v>
      </c>
      <c r="BI15" s="35">
        <f t="shared" si="26"/>
        <v>30.470719289999998</v>
      </c>
      <c r="BJ15" s="35">
        <f t="shared" si="26"/>
        <v>1.8282431573999998</v>
      </c>
      <c r="BK15" s="35">
        <f t="shared" si="26"/>
        <v>4.1740711356164386</v>
      </c>
      <c r="BL15" s="42">
        <f t="shared" ref="BL15:BL20" si="42">I90/H90</f>
        <v>1.6622311576550905E-2</v>
      </c>
      <c r="BM15" s="36">
        <f t="shared" ref="BM15:BM20" si="43">R90</f>
        <v>0.45588999999999996</v>
      </c>
      <c r="BN15" s="34">
        <f t="shared" si="27"/>
        <v>1.0988697363115913</v>
      </c>
      <c r="BO15" s="35">
        <f t="shared" si="28"/>
        <v>21.746402919999994</v>
      </c>
      <c r="BP15" s="35">
        <f t="shared" si="28"/>
        <v>1.3047841751999996</v>
      </c>
      <c r="BQ15" s="35">
        <f t="shared" si="28"/>
        <v>2.9789593041095883</v>
      </c>
      <c r="BR15" s="42">
        <f t="shared" ref="BR15:BR20" si="44">I104/H104</f>
        <v>2.2067343356296096E-2</v>
      </c>
      <c r="BS15" s="36">
        <f t="shared" ref="BS15:BS20" si="45">R104</f>
        <v>0.43193999999999999</v>
      </c>
      <c r="BT15" s="34">
        <f t="shared" si="29"/>
        <v>0.97677309894363673</v>
      </c>
      <c r="BU15" s="35">
        <f t="shared" si="30"/>
        <v>25.110144290000008</v>
      </c>
      <c r="BV15" s="35">
        <f t="shared" si="30"/>
        <v>1.5066086574000004</v>
      </c>
      <c r="BW15" s="35">
        <f t="shared" si="30"/>
        <v>3.4397457931506863</v>
      </c>
      <c r="BX15" s="42">
        <f t="shared" ref="BX15:BX19" si="46">I118/H118</f>
        <v>1.7871024746708056E-2</v>
      </c>
      <c r="BY15" s="36">
        <f t="shared" ref="BY15:BY19" si="47">R118</f>
        <v>0.40390999999999999</v>
      </c>
      <c r="BZ15" s="48"/>
      <c r="CA15" s="18"/>
      <c r="CB15" s="18"/>
      <c r="CC15" s="18"/>
      <c r="CD15" s="49"/>
      <c r="CE15" s="18"/>
      <c r="CF15" s="18"/>
      <c r="CG15" s="18"/>
      <c r="CH15" s="18"/>
      <c r="CI15" s="18"/>
      <c r="CJ15" s="49"/>
      <c r="CK15" s="18"/>
      <c r="CL15" s="18"/>
      <c r="CM15" s="18"/>
      <c r="CN15" s="18"/>
      <c r="CO15" s="18"/>
      <c r="CP15" s="49"/>
      <c r="CQ15" s="18"/>
    </row>
    <row r="16" spans="2:95" ht="15" thickTop="1" x14ac:dyDescent="0.3">
      <c r="X16" s="34">
        <f t="shared" si="12"/>
        <v>7.5839041370735059</v>
      </c>
      <c r="Y16" s="35">
        <f t="shared" si="13"/>
        <v>35.684731170000006</v>
      </c>
      <c r="Z16" s="35">
        <f t="shared" si="13"/>
        <v>2.1410838702000001</v>
      </c>
      <c r="AA16" s="35">
        <f t="shared" si="13"/>
        <v>4.8883193383561654</v>
      </c>
      <c r="AB16" s="42">
        <f t="shared" si="31"/>
        <v>2.2476709609467401E-2</v>
      </c>
      <c r="AC16" s="36">
        <f t="shared" si="14"/>
        <v>0.72193999999999992</v>
      </c>
      <c r="AD16" s="34">
        <f t="shared" si="15"/>
        <v>3.7919520685367529</v>
      </c>
      <c r="AE16" s="35">
        <f t="shared" si="16"/>
        <v>13.484818050000001</v>
      </c>
      <c r="AF16" s="35">
        <f t="shared" si="16"/>
        <v>0.80908908300000004</v>
      </c>
      <c r="AG16" s="35">
        <f t="shared" si="16"/>
        <v>1.8472353493150686</v>
      </c>
      <c r="AH16" s="42">
        <f t="shared" si="32"/>
        <v>2.8889685315405499E-2</v>
      </c>
      <c r="AI16" s="36">
        <f t="shared" si="33"/>
        <v>0.35065000000000002</v>
      </c>
      <c r="AJ16" s="34">
        <f t="shared" si="17"/>
        <v>2.5279680456911686</v>
      </c>
      <c r="AK16" s="35">
        <f t="shared" si="18"/>
        <v>39.483406820000006</v>
      </c>
      <c r="AL16" s="35">
        <f t="shared" si="18"/>
        <v>2.3690044092000004</v>
      </c>
      <c r="AM16" s="35">
        <f t="shared" si="18"/>
        <v>5.4086858657534256</v>
      </c>
      <c r="AN16" s="42">
        <f t="shared" si="34"/>
        <v>1.2473472520880101E-2</v>
      </c>
      <c r="AO16" s="36">
        <f t="shared" si="35"/>
        <v>0.44328999999999996</v>
      </c>
      <c r="AP16" s="34">
        <f t="shared" si="19"/>
        <v>1.8959760342683765</v>
      </c>
      <c r="AQ16" s="35">
        <f t="shared" si="20"/>
        <v>17.122343149999999</v>
      </c>
      <c r="AR16" s="35">
        <f t="shared" si="20"/>
        <v>1.0273405889999998</v>
      </c>
      <c r="AS16" s="35">
        <f t="shared" si="20"/>
        <v>2.3455264589041094</v>
      </c>
      <c r="AT16" s="42">
        <f t="shared" si="36"/>
        <v>2.2025545609976868E-2</v>
      </c>
      <c r="AU16" s="36">
        <f t="shared" si="37"/>
        <v>0.33944999999999997</v>
      </c>
      <c r="AV16" s="34">
        <f t="shared" si="21"/>
        <v>1.5167808274147012</v>
      </c>
      <c r="AW16" s="35">
        <f t="shared" si="22"/>
        <v>34.304835839999996</v>
      </c>
      <c r="AX16" s="35">
        <f t="shared" si="22"/>
        <v>2.0582901503999995</v>
      </c>
      <c r="AY16" s="35">
        <f t="shared" si="22"/>
        <v>4.6992925808219175</v>
      </c>
      <c r="AZ16" s="42">
        <f t="shared" si="38"/>
        <v>1.3420154002404346E-2</v>
      </c>
      <c r="BA16" s="36">
        <f t="shared" si="39"/>
        <v>0.41438000000000003</v>
      </c>
      <c r="BB16" s="34">
        <f t="shared" si="23"/>
        <v>1.2639840228455843</v>
      </c>
      <c r="BC16" s="35">
        <f t="shared" si="24"/>
        <v>19.112399679999999</v>
      </c>
      <c r="BD16" s="35">
        <f t="shared" si="24"/>
        <v>1.1467439808</v>
      </c>
      <c r="BE16" s="35">
        <f t="shared" si="24"/>
        <v>2.6181369424657532</v>
      </c>
      <c r="BF16" s="42">
        <f t="shared" si="40"/>
        <v>1.7787137967596123E-2</v>
      </c>
      <c r="BG16" s="36">
        <f t="shared" si="41"/>
        <v>0.30598999999999998</v>
      </c>
      <c r="BH16" s="34">
        <f t="shared" si="25"/>
        <v>1.0834148767247866</v>
      </c>
      <c r="BI16" s="35">
        <f t="shared" si="26"/>
        <v>28.05318329</v>
      </c>
      <c r="BJ16" s="35">
        <f t="shared" si="26"/>
        <v>1.6831909973999999</v>
      </c>
      <c r="BK16" s="35">
        <f t="shared" si="26"/>
        <v>3.842901820547945</v>
      </c>
      <c r="BL16" s="42">
        <f t="shared" si="42"/>
        <v>2.3425380756495248E-2</v>
      </c>
      <c r="BM16" s="36">
        <f t="shared" si="43"/>
        <v>0.59150000000000003</v>
      </c>
      <c r="BN16" s="34">
        <f t="shared" si="27"/>
        <v>0.94798801713418823</v>
      </c>
      <c r="BO16" s="35">
        <f t="shared" si="28"/>
        <v>21.212634080000004</v>
      </c>
      <c r="BP16" s="35">
        <f t="shared" si="28"/>
        <v>1.2727580448000002</v>
      </c>
      <c r="BQ16" s="35">
        <f t="shared" si="28"/>
        <v>2.9058402849315077</v>
      </c>
      <c r="BR16" s="42">
        <f t="shared" si="44"/>
        <v>1.3296301106986331E-2</v>
      </c>
      <c r="BS16" s="36">
        <f t="shared" si="45"/>
        <v>0.25386999999999998</v>
      </c>
      <c r="BT16" s="34">
        <f t="shared" si="29"/>
        <v>0.84265601523038958</v>
      </c>
      <c r="BU16" s="35">
        <f t="shared" si="30"/>
        <v>22.461909140000007</v>
      </c>
      <c r="BV16" s="35">
        <f t="shared" si="30"/>
        <v>1.3477145484000004</v>
      </c>
      <c r="BW16" s="35">
        <f t="shared" si="30"/>
        <v>3.0769738547945216</v>
      </c>
      <c r="BX16" s="42">
        <f t="shared" si="46"/>
        <v>1.2345593523311703E-2</v>
      </c>
      <c r="BY16" s="36">
        <f t="shared" si="47"/>
        <v>0.24959999999999999</v>
      </c>
      <c r="BZ16" s="48"/>
      <c r="CA16" s="18"/>
      <c r="CB16" s="18"/>
      <c r="CC16" s="18"/>
      <c r="CD16" s="49"/>
      <c r="CE16" s="18"/>
      <c r="CF16" s="18"/>
      <c r="CG16" s="18"/>
      <c r="CH16" s="18"/>
      <c r="CI16" s="18"/>
      <c r="CJ16" s="49"/>
      <c r="CK16" s="18"/>
      <c r="CL16" s="18"/>
      <c r="CM16" s="18"/>
      <c r="CN16" s="18"/>
      <c r="CO16" s="18"/>
      <c r="CP16" s="49"/>
      <c r="CQ16" s="18"/>
    </row>
    <row r="17" spans="2:95" ht="15" thickBot="1" x14ac:dyDescent="0.35">
      <c r="X17" s="34">
        <f t="shared" si="12"/>
        <v>4.5933865009451385</v>
      </c>
      <c r="Y17" s="35">
        <f t="shared" si="13"/>
        <v>38.35286433000001</v>
      </c>
      <c r="Z17" s="35">
        <f t="shared" si="13"/>
        <v>2.3011718598000006</v>
      </c>
      <c r="AA17" s="35">
        <f t="shared" si="13"/>
        <v>5.2538170315068511</v>
      </c>
      <c r="AB17" s="42">
        <f t="shared" si="31"/>
        <v>2.1386383894107446E-2</v>
      </c>
      <c r="AC17" s="36">
        <f t="shared" si="14"/>
        <v>0.73828000000000005</v>
      </c>
      <c r="AD17" s="34">
        <f t="shared" si="15"/>
        <v>2.2966932504725692</v>
      </c>
      <c r="AE17" s="35">
        <f t="shared" si="16"/>
        <v>13.921407720000003</v>
      </c>
      <c r="AF17" s="35">
        <f t="shared" si="16"/>
        <v>0.83528446320000016</v>
      </c>
      <c r="AG17" s="35">
        <f t="shared" si="16"/>
        <v>1.907042153424658</v>
      </c>
      <c r="AH17" s="42">
        <f t="shared" si="32"/>
        <v>2.0803605915795994E-2</v>
      </c>
      <c r="AI17" s="36">
        <f t="shared" si="33"/>
        <v>0.26068000000000002</v>
      </c>
      <c r="AJ17" s="34">
        <f t="shared" si="17"/>
        <v>1.5311288336483795</v>
      </c>
      <c r="AK17" s="35">
        <f t="shared" si="18"/>
        <v>33.819406610000009</v>
      </c>
      <c r="AL17" s="35">
        <f t="shared" si="18"/>
        <v>2.0291643966000006</v>
      </c>
      <c r="AM17" s="35">
        <f t="shared" si="18"/>
        <v>4.6327954260273989</v>
      </c>
      <c r="AN17" s="42">
        <f t="shared" si="34"/>
        <v>1.1750131650225308E-2</v>
      </c>
      <c r="AO17" s="36">
        <f t="shared" si="35"/>
        <v>0.35768</v>
      </c>
      <c r="AP17" s="34">
        <f t="shared" si="19"/>
        <v>1.1483466252362846</v>
      </c>
      <c r="AQ17" s="35">
        <f t="shared" si="20"/>
        <v>21.546034070000008</v>
      </c>
      <c r="AR17" s="35">
        <f t="shared" si="20"/>
        <v>1.2927620442000005</v>
      </c>
      <c r="AS17" s="35">
        <f t="shared" si="20"/>
        <v>2.9515115164383574</v>
      </c>
      <c r="AT17" s="42">
        <f t="shared" si="36"/>
        <v>1.5469204166166062E-2</v>
      </c>
      <c r="AU17" s="36">
        <f t="shared" si="37"/>
        <v>0.3</v>
      </c>
      <c r="AV17" s="34">
        <f t="shared" si="21"/>
        <v>0.91867730018902771</v>
      </c>
      <c r="AW17" s="35">
        <f t="shared" si="22"/>
        <v>25.517703529999999</v>
      </c>
      <c r="AX17" s="35">
        <f t="shared" si="22"/>
        <v>1.5310622117999999</v>
      </c>
      <c r="AY17" s="35">
        <f t="shared" si="22"/>
        <v>3.4955758260273972</v>
      </c>
      <c r="AZ17" s="42">
        <f t="shared" si="38"/>
        <v>1.5875407029623093E-2</v>
      </c>
      <c r="BA17" s="36">
        <f t="shared" si="39"/>
        <v>0.36463000000000001</v>
      </c>
      <c r="BB17" s="34">
        <f t="shared" si="23"/>
        <v>0.76556441682418974</v>
      </c>
      <c r="BC17" s="35">
        <f t="shared" si="24"/>
        <v>19.009543300000001</v>
      </c>
      <c r="BD17" s="35">
        <f t="shared" si="24"/>
        <v>1.1405725980000001</v>
      </c>
      <c r="BE17" s="35">
        <f t="shared" si="24"/>
        <v>2.6040470273972605</v>
      </c>
      <c r="BF17" s="42">
        <f t="shared" si="40"/>
        <v>1.3267447093271302E-2</v>
      </c>
      <c r="BG17" s="36">
        <f t="shared" si="41"/>
        <v>0.22700999999999999</v>
      </c>
      <c r="BH17" s="34">
        <f t="shared" si="25"/>
        <v>0.65619807156359122</v>
      </c>
      <c r="BI17" s="35">
        <f t="shared" si="26"/>
        <v>19.152573440000005</v>
      </c>
      <c r="BJ17" s="35">
        <f t="shared" si="26"/>
        <v>1.1491544064000003</v>
      </c>
      <c r="BK17" s="35">
        <f t="shared" si="26"/>
        <v>2.6236401972602748</v>
      </c>
      <c r="BL17" s="42">
        <f t="shared" si="42"/>
        <v>1.4642926752301753E-2</v>
      </c>
      <c r="BM17" s="36">
        <f t="shared" si="43"/>
        <v>0.25243000000000004</v>
      </c>
      <c r="BN17" s="34">
        <f t="shared" si="27"/>
        <v>0.57417331261814231</v>
      </c>
      <c r="BO17" s="35">
        <f t="shared" si="28"/>
        <v>15.709639989999999</v>
      </c>
      <c r="BP17" s="35">
        <f t="shared" si="28"/>
        <v>0.94257839939999988</v>
      </c>
      <c r="BQ17" s="35">
        <f t="shared" si="28"/>
        <v>2.1520054780821916</v>
      </c>
      <c r="BR17" s="42">
        <f t="shared" si="44"/>
        <v>1.7664668329550947E-2</v>
      </c>
      <c r="BS17" s="36">
        <f t="shared" si="45"/>
        <v>0.24978000000000003</v>
      </c>
      <c r="BT17" s="34">
        <f t="shared" si="29"/>
        <v>0.51037627788279316</v>
      </c>
      <c r="BU17" s="35">
        <f t="shared" si="30"/>
        <v>13.628936969999996</v>
      </c>
      <c r="BV17" s="35">
        <f t="shared" si="30"/>
        <v>0.81773621819999975</v>
      </c>
      <c r="BW17" s="35">
        <f t="shared" si="30"/>
        <v>1.8669776671232872</v>
      </c>
      <c r="BX17" s="42">
        <f t="shared" si="46"/>
        <v>2.4913448550492493E-2</v>
      </c>
      <c r="BY17" s="36">
        <f t="shared" si="47"/>
        <v>0.30562</v>
      </c>
      <c r="BZ17" s="48"/>
      <c r="CA17" s="18"/>
      <c r="CB17" s="18"/>
      <c r="CC17" s="18"/>
      <c r="CD17" s="49"/>
      <c r="CE17" s="18"/>
      <c r="CF17" s="18"/>
      <c r="CG17" s="18"/>
      <c r="CH17" s="18"/>
      <c r="CI17" s="18"/>
      <c r="CJ17" s="49"/>
      <c r="CK17" s="18"/>
      <c r="CL17" s="18"/>
      <c r="CM17" s="18"/>
      <c r="CN17" s="18"/>
      <c r="CO17" s="18"/>
      <c r="CP17" s="49"/>
      <c r="CQ17" s="18"/>
    </row>
    <row r="18" spans="2:95" ht="17.399999999999999" thickTop="1" thickBot="1" x14ac:dyDescent="0.35">
      <c r="B18" t="s">
        <v>20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41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3.3199314008207654</v>
      </c>
      <c r="Y18" s="35">
        <f t="shared" si="13"/>
        <v>37.129953300000004</v>
      </c>
      <c r="Z18" s="35">
        <f t="shared" si="13"/>
        <v>2.2277971980000002</v>
      </c>
      <c r="AA18" s="35">
        <f t="shared" si="13"/>
        <v>5.0862949726027402</v>
      </c>
      <c r="AB18" s="42">
        <f t="shared" si="31"/>
        <v>1.5529184358009948E-2</v>
      </c>
      <c r="AC18" s="36">
        <f t="shared" si="14"/>
        <v>0.51898999999999995</v>
      </c>
      <c r="AD18" s="34">
        <f t="shared" si="15"/>
        <v>1.6599657004103827</v>
      </c>
      <c r="AE18" s="35">
        <f t="shared" si="16"/>
        <v>18.091746200000006</v>
      </c>
      <c r="AF18" s="35">
        <f t="shared" si="16"/>
        <v>1.0855047720000004</v>
      </c>
      <c r="AG18" s="35">
        <f t="shared" si="16"/>
        <v>2.4783213972602751</v>
      </c>
      <c r="AH18" s="42">
        <f t="shared" si="32"/>
        <v>2.1241448766288792E-2</v>
      </c>
      <c r="AI18" s="36">
        <f t="shared" si="33"/>
        <v>0.34589999999999999</v>
      </c>
      <c r="AJ18" s="34">
        <f t="shared" si="17"/>
        <v>1.1066438002735886</v>
      </c>
      <c r="AK18" s="35">
        <f t="shared" si="18"/>
        <v>27.212678459999999</v>
      </c>
      <c r="AL18" s="35">
        <f t="shared" si="18"/>
        <v>1.6327607075999999</v>
      </c>
      <c r="AM18" s="35">
        <f t="shared" si="18"/>
        <v>3.7277641726027397</v>
      </c>
      <c r="AN18" s="42">
        <f t="shared" si="34"/>
        <v>1.5970941288959761E-2</v>
      </c>
      <c r="AO18" s="36">
        <f t="shared" si="35"/>
        <v>0.39118999999999998</v>
      </c>
      <c r="AP18" s="34">
        <f t="shared" si="19"/>
        <v>0.82998285020519136</v>
      </c>
      <c r="AQ18" s="35">
        <f t="shared" si="20"/>
        <v>20.556855220000003</v>
      </c>
      <c r="AR18" s="35">
        <f t="shared" si="20"/>
        <v>1.2334113132000002</v>
      </c>
      <c r="AS18" s="35">
        <f t="shared" si="20"/>
        <v>2.816007564383562</v>
      </c>
      <c r="AT18" s="42">
        <f t="shared" si="36"/>
        <v>1.2418513302152838E-2</v>
      </c>
      <c r="AU18" s="36">
        <f t="shared" si="37"/>
        <v>0.22978000000000001</v>
      </c>
      <c r="AV18" s="34">
        <f t="shared" si="21"/>
        <v>0.66398628016415306</v>
      </c>
      <c r="AW18" s="35">
        <f t="shared" si="22"/>
        <v>18.288170999999995</v>
      </c>
      <c r="AX18" s="35">
        <f t="shared" si="22"/>
        <v>1.0972902599999996</v>
      </c>
      <c r="AY18" s="35">
        <f t="shared" si="22"/>
        <v>2.5052289041095883</v>
      </c>
      <c r="AZ18" s="42">
        <f t="shared" si="38"/>
        <v>1.7644128546260861E-2</v>
      </c>
      <c r="BA18" s="36">
        <f t="shared" si="39"/>
        <v>0.29044000000000003</v>
      </c>
      <c r="BB18" s="34">
        <f t="shared" si="23"/>
        <v>0.55332190013679428</v>
      </c>
      <c r="BC18" s="35">
        <f t="shared" si="24"/>
        <v>14.363252419999998</v>
      </c>
      <c r="BD18" s="35">
        <f t="shared" si="24"/>
        <v>0.86179514519999989</v>
      </c>
      <c r="BE18" s="35">
        <f t="shared" si="24"/>
        <v>1.967568824657534</v>
      </c>
      <c r="BF18" s="42">
        <f t="shared" si="40"/>
        <v>2.027347925700522E-2</v>
      </c>
      <c r="BG18" s="36">
        <f t="shared" si="41"/>
        <v>0.2621</v>
      </c>
      <c r="BH18" s="34">
        <f t="shared" si="25"/>
        <v>0.47427591440296651</v>
      </c>
      <c r="BI18" s="35">
        <f t="shared" si="26"/>
        <v>10.980490730000003</v>
      </c>
      <c r="BJ18" s="35">
        <f t="shared" si="26"/>
        <v>0.65882944380000019</v>
      </c>
      <c r="BK18" s="35">
        <f t="shared" si="26"/>
        <v>1.5041768123287675</v>
      </c>
      <c r="BL18" s="42">
        <f t="shared" si="42"/>
        <v>3.4987853407167348E-2</v>
      </c>
      <c r="BM18" s="36">
        <f t="shared" si="43"/>
        <v>0.3458</v>
      </c>
      <c r="BN18" s="34">
        <f t="shared" si="27"/>
        <v>0.41499142510259568</v>
      </c>
      <c r="BO18" s="35">
        <f t="shared" si="28"/>
        <v>9.216700460000002</v>
      </c>
      <c r="BP18" s="35">
        <f t="shared" si="28"/>
        <v>0.55300202760000006</v>
      </c>
      <c r="BQ18" s="35">
        <f t="shared" si="28"/>
        <v>1.2625617068493153</v>
      </c>
      <c r="BR18" s="42">
        <f t="shared" si="44"/>
        <v>4.609045957863319E-2</v>
      </c>
      <c r="BS18" s="36">
        <f t="shared" si="45"/>
        <v>0.38235999999999998</v>
      </c>
      <c r="BT18" s="34">
        <f t="shared" si="29"/>
        <v>0.36888126675786281</v>
      </c>
      <c r="BU18" s="35">
        <f t="shared" si="30"/>
        <v>7.598117890000001</v>
      </c>
      <c r="BV18" s="35">
        <f t="shared" si="30"/>
        <v>0.45588707340000006</v>
      </c>
      <c r="BW18" s="35">
        <f t="shared" si="30"/>
        <v>1.0408380671232877</v>
      </c>
      <c r="BX18" s="42">
        <f t="shared" si="46"/>
        <v>4.694845291483099E-2</v>
      </c>
      <c r="BY18" s="36">
        <f t="shared" si="47"/>
        <v>0.32108000000000003</v>
      </c>
      <c r="BZ18" s="48"/>
      <c r="CA18" s="18"/>
      <c r="CB18" s="18"/>
      <c r="CC18" s="18"/>
      <c r="CD18" s="49"/>
      <c r="CE18" s="18"/>
      <c r="CF18" s="18"/>
      <c r="CG18" s="18"/>
      <c r="CH18" s="18"/>
      <c r="CI18" s="18"/>
      <c r="CJ18" s="49"/>
      <c r="CK18" s="18"/>
      <c r="CL18" s="18"/>
      <c r="CM18" s="18"/>
      <c r="CN18" s="18"/>
      <c r="CO18" s="18"/>
      <c r="CP18" s="49"/>
      <c r="CQ18" s="18"/>
    </row>
    <row r="19" spans="2:95" ht="15" thickTop="1" x14ac:dyDescent="0.3">
      <c r="B19">
        <v>1</v>
      </c>
      <c r="C19">
        <v>-487.4</v>
      </c>
      <c r="D19">
        <v>123963.4</v>
      </c>
      <c r="E19">
        <v>3213.1</v>
      </c>
      <c r="F19">
        <f t="shared" ref="F19:F29" si="48">D19/10000</f>
        <v>12.396339999999999</v>
      </c>
      <c r="G19">
        <f t="shared" ref="G19:G29" si="49">C19/10000</f>
        <v>-4.8739999999999999E-2</v>
      </c>
      <c r="H19">
        <f t="shared" ref="H19:H29" si="50">F19-G19</f>
        <v>12.445079999999999</v>
      </c>
      <c r="I19">
        <f>E19/10000</f>
        <v>0.32130999999999998</v>
      </c>
      <c r="K19" s="66">
        <v>2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4.9552300635014159</v>
      </c>
      <c r="P19" s="2">
        <v>3</v>
      </c>
      <c r="Q19" s="8">
        <f>H19</f>
        <v>12.445079999999999</v>
      </c>
      <c r="R19" s="8">
        <f>I19</f>
        <v>0.32130999999999998</v>
      </c>
      <c r="S19" s="8">
        <f>Q19/10^6*$Z$4*$Z$3/P19*10^12</f>
        <v>13.826483879999998</v>
      </c>
      <c r="T19" s="8">
        <f>S19*0.06</f>
        <v>0.82958903279999985</v>
      </c>
      <c r="U19" s="8">
        <f>S19/$Z$1</f>
        <v>1.8940388876712326</v>
      </c>
      <c r="V19" s="12">
        <f t="shared" ref="V19:V29" si="51">O19</f>
        <v>4.9552300635014159</v>
      </c>
      <c r="W19" s="19"/>
      <c r="X19" s="34">
        <f t="shared" si="12"/>
        <v>2.2980318260987831</v>
      </c>
      <c r="Y19" s="35">
        <f t="shared" si="13"/>
        <v>32.228926784999999</v>
      </c>
      <c r="Z19" s="35">
        <f t="shared" si="13"/>
        <v>1.9337356070999998</v>
      </c>
      <c r="AA19" s="35">
        <f t="shared" si="13"/>
        <v>4.41492147739726</v>
      </c>
      <c r="AB19" s="42">
        <f t="shared" si="31"/>
        <v>1.9310946782431001E-2</v>
      </c>
      <c r="AC19" s="36">
        <f t="shared" si="14"/>
        <v>0.74692000000000003</v>
      </c>
      <c r="AD19" s="34">
        <f t="shared" si="15"/>
        <v>1.1490159130493915</v>
      </c>
      <c r="AE19" s="35">
        <f t="shared" si="16"/>
        <v>17.421349357499999</v>
      </c>
      <c r="AF19" s="35">
        <f t="shared" si="16"/>
        <v>1.0452809614499998</v>
      </c>
      <c r="AG19" s="35">
        <f t="shared" si="16"/>
        <v>2.3864862133561644</v>
      </c>
      <c r="AH19" s="42">
        <f t="shared" si="32"/>
        <v>2.0727760237730479E-2</v>
      </c>
      <c r="AI19" s="36">
        <f t="shared" si="33"/>
        <v>0.43336999999999998</v>
      </c>
      <c r="AJ19" s="34">
        <f t="shared" si="17"/>
        <v>0.76601060869959436</v>
      </c>
      <c r="AK19" s="35">
        <f t="shared" si="18"/>
        <v>18.702479564999997</v>
      </c>
      <c r="AL19" s="35">
        <f t="shared" si="18"/>
        <v>1.1221487738999998</v>
      </c>
      <c r="AM19" s="35">
        <f t="shared" si="18"/>
        <v>2.5619835020547943</v>
      </c>
      <c r="AN19" s="42">
        <f t="shared" si="34"/>
        <v>1.9728476709072136E-2</v>
      </c>
      <c r="AO19" s="36">
        <f t="shared" si="35"/>
        <v>0.44281000000000004</v>
      </c>
      <c r="AP19" s="34">
        <f t="shared" si="19"/>
        <v>0.57450795652469577</v>
      </c>
      <c r="AQ19" s="35">
        <f t="shared" si="20"/>
        <v>13.898793314999997</v>
      </c>
      <c r="AR19" s="35">
        <f t="shared" si="20"/>
        <v>0.83392759889999979</v>
      </c>
      <c r="AS19" s="35">
        <f t="shared" si="20"/>
        <v>1.903944289726027</v>
      </c>
      <c r="AT19" s="42">
        <f t="shared" si="36"/>
        <v>2.1398998334554345E-2</v>
      </c>
      <c r="AU19" s="36">
        <f t="shared" si="37"/>
        <v>0.35694000000000004</v>
      </c>
      <c r="AV19" s="34">
        <f t="shared" si="21"/>
        <v>0.45960636521975662</v>
      </c>
      <c r="AW19" s="35">
        <f t="shared" si="22"/>
        <v>10.315301699999999</v>
      </c>
      <c r="AX19" s="35">
        <f t="shared" si="22"/>
        <v>0.61891810199999997</v>
      </c>
      <c r="AY19" s="35">
        <f t="shared" si="22"/>
        <v>1.4130550273972602</v>
      </c>
      <c r="AZ19" s="42">
        <f t="shared" si="38"/>
        <v>3.211896991825261E-2</v>
      </c>
      <c r="BA19" s="36">
        <f t="shared" si="39"/>
        <v>0.39761999999999997</v>
      </c>
      <c r="BB19" s="34">
        <f t="shared" si="23"/>
        <v>0.38300530434979718</v>
      </c>
      <c r="BC19" s="35">
        <f t="shared" si="24"/>
        <v>7.0675931700000003</v>
      </c>
      <c r="BD19" s="35">
        <f t="shared" si="24"/>
        <v>0.4240555902</v>
      </c>
      <c r="BE19" s="35">
        <f t="shared" si="24"/>
        <v>0.96816344794520559</v>
      </c>
      <c r="BF19" s="42">
        <f t="shared" si="40"/>
        <v>4.1141434291130818E-2</v>
      </c>
      <c r="BG19" s="36">
        <f t="shared" si="41"/>
        <v>0.34895999999999999</v>
      </c>
      <c r="BH19" s="34">
        <f t="shared" si="25"/>
        <v>0.32829026087125474</v>
      </c>
      <c r="BI19" s="35">
        <f t="shared" si="26"/>
        <v>5.1079724850000003</v>
      </c>
      <c r="BJ19" s="35">
        <f t="shared" si="26"/>
        <v>0.30647834909999999</v>
      </c>
      <c r="BK19" s="35">
        <f t="shared" si="26"/>
        <v>0.69972225821917811</v>
      </c>
      <c r="BL19" s="42">
        <f t="shared" si="42"/>
        <v>5.7763393570825008E-2</v>
      </c>
      <c r="BM19" s="36">
        <f t="shared" si="43"/>
        <v>0.35410000000000003</v>
      </c>
      <c r="BN19" s="34">
        <f t="shared" si="27"/>
        <v>0.28725397826234789</v>
      </c>
      <c r="BO19" s="35">
        <f t="shared" si="28"/>
        <v>3.6111888450000005</v>
      </c>
      <c r="BP19" s="35">
        <f t="shared" si="28"/>
        <v>0.21667133070000003</v>
      </c>
      <c r="BQ19" s="35">
        <f t="shared" si="28"/>
        <v>0.49468340342465761</v>
      </c>
      <c r="BR19" s="42">
        <f t="shared" si="44"/>
        <v>5.7233043983885033E-2</v>
      </c>
      <c r="BS19" s="36">
        <f t="shared" si="45"/>
        <v>0.24804000000000001</v>
      </c>
      <c r="BT19" s="34">
        <f t="shared" si="29"/>
        <v>0.25533686956653145</v>
      </c>
      <c r="BU19" s="35">
        <f t="shared" si="30"/>
        <v>2.8234342950000006</v>
      </c>
      <c r="BV19" s="35">
        <f t="shared" si="30"/>
        <v>0.16940605770000003</v>
      </c>
      <c r="BW19" s="35">
        <f t="shared" si="30"/>
        <v>0.38677182123287679</v>
      </c>
      <c r="BX19" s="42">
        <f t="shared" si="46"/>
        <v>7.0934878971568194E-2</v>
      </c>
      <c r="BY19" s="36">
        <f t="shared" si="47"/>
        <v>0.24035999999999999</v>
      </c>
      <c r="BZ19" s="48"/>
      <c r="CA19" s="18"/>
      <c r="CB19" s="18"/>
      <c r="CC19" s="18"/>
      <c r="CD19" s="49"/>
      <c r="CE19" s="18"/>
      <c r="CF19" s="18"/>
      <c r="CG19" s="18"/>
      <c r="CH19" s="18"/>
      <c r="CI19" s="18"/>
      <c r="CJ19" s="49"/>
      <c r="CK19" s="18"/>
      <c r="CL19" s="18"/>
      <c r="CM19" s="18"/>
      <c r="CN19" s="18"/>
      <c r="CO19" s="18"/>
      <c r="CP19" s="49"/>
      <c r="CQ19" s="18"/>
    </row>
    <row r="20" spans="2:95" x14ac:dyDescent="0.3">
      <c r="B20">
        <v>2</v>
      </c>
      <c r="C20">
        <v>-411.3</v>
      </c>
      <c r="D20">
        <v>130043.9</v>
      </c>
      <c r="E20">
        <v>3894.1</v>
      </c>
      <c r="F20">
        <f t="shared" si="48"/>
        <v>13.004389999999999</v>
      </c>
      <c r="G20">
        <f t="shared" si="49"/>
        <v>-4.113E-2</v>
      </c>
      <c r="H20">
        <f t="shared" si="50"/>
        <v>13.04552</v>
      </c>
      <c r="I20">
        <f t="shared" ref="I20:I29" si="52">E20/10000</f>
        <v>0.38940999999999998</v>
      </c>
      <c r="K20" s="67"/>
      <c r="L20" s="3">
        <v>-98</v>
      </c>
      <c r="M20" s="5">
        <f>L20+98.2</f>
        <v>0.20000000000000284</v>
      </c>
      <c r="N20" s="5">
        <f t="shared" ref="N20:N29" si="53">20.56036*SQRT(1+((L20-(-98.58903))*1.03*1095.70644/(3.14159*20.56036^2))^2)</f>
        <v>22.992351577801337</v>
      </c>
      <c r="O20" s="5">
        <f t="shared" ref="O20:O29" si="54">2*$Z$1/$Z$2/PI()/(N20*10^-4)^2/$K$19/$Z$7</f>
        <v>4.3954789452463654</v>
      </c>
      <c r="P20" s="4">
        <v>3</v>
      </c>
      <c r="Q20" s="5">
        <f t="shared" ref="Q20:R29" si="55">H20</f>
        <v>13.04552</v>
      </c>
      <c r="R20" s="5">
        <f t="shared" si="55"/>
        <v>0.38940999999999998</v>
      </c>
      <c r="S20" s="5">
        <f t="shared" ref="S20:S29" si="56">Q20/10^6*$Z$4*$Z$3/P20*10^12</f>
        <v>14.493572719999998</v>
      </c>
      <c r="T20" s="5">
        <f t="shared" ref="T20:T29" si="57">S20*0.06</f>
        <v>0.86961436319999985</v>
      </c>
      <c r="U20" s="5">
        <f t="shared" ref="U20:U29" si="58">S20/$Z$1</f>
        <v>1.9854209205479449</v>
      </c>
      <c r="V20" s="5">
        <f t="shared" si="51"/>
        <v>4.3954789452463654</v>
      </c>
      <c r="W20" s="19"/>
      <c r="X20" s="34">
        <f t="shared" si="12"/>
        <v>1.6612842792050866</v>
      </c>
      <c r="Y20" s="35">
        <f t="shared" si="13"/>
        <v>25.598164927499997</v>
      </c>
      <c r="Z20" s="35">
        <f t="shared" si="13"/>
        <v>1.5358898956499998</v>
      </c>
      <c r="AA20" s="35">
        <f t="shared" si="13"/>
        <v>3.5065979352739722</v>
      </c>
      <c r="AB20" s="42">
        <f t="shared" si="31"/>
        <v>1.3659443889447143E-2</v>
      </c>
      <c r="AC20" s="36">
        <f t="shared" si="14"/>
        <v>0.41963</v>
      </c>
      <c r="AD20" s="34">
        <f t="shared" si="15"/>
        <v>0.83064213960254329</v>
      </c>
      <c r="AE20" s="35">
        <f t="shared" si="16"/>
        <v>14.462078647500002</v>
      </c>
      <c r="AF20" s="35">
        <f t="shared" si="16"/>
        <v>0.86772471885000013</v>
      </c>
      <c r="AG20" s="35">
        <f t="shared" si="16"/>
        <v>1.9811066640410961</v>
      </c>
      <c r="AH20" s="42">
        <f t="shared" si="32"/>
        <v>3.3483077834299269E-2</v>
      </c>
      <c r="AI20" s="36">
        <f t="shared" si="33"/>
        <v>0.58113999999999999</v>
      </c>
      <c r="AJ20" s="34">
        <f t="shared" si="17"/>
        <v>0.55376142640169557</v>
      </c>
      <c r="AK20" s="35">
        <f t="shared" si="18"/>
        <v>11.5042244625</v>
      </c>
      <c r="AL20" s="35">
        <f t="shared" si="18"/>
        <v>0.69025346774999996</v>
      </c>
      <c r="AM20" s="35">
        <f t="shared" si="18"/>
        <v>1.5759211592465754</v>
      </c>
      <c r="AN20" s="42">
        <f t="shared" si="34"/>
        <v>2.9786802545187216E-2</v>
      </c>
      <c r="AO20" s="36">
        <f t="shared" si="35"/>
        <v>0.41125</v>
      </c>
      <c r="AP20" s="34">
        <f t="shared" si="19"/>
        <v>0.41532106980127165</v>
      </c>
      <c r="AQ20" s="35">
        <f t="shared" si="20"/>
        <v>8.0996899500000019</v>
      </c>
      <c r="AR20" s="35">
        <f t="shared" si="20"/>
        <v>0.48598139700000009</v>
      </c>
      <c r="AS20" s="35">
        <f t="shared" si="20"/>
        <v>1.1095465684931509</v>
      </c>
      <c r="AT20" s="42">
        <f t="shared" si="36"/>
        <v>3.1619447359216506E-2</v>
      </c>
      <c r="AU20" s="36">
        <f t="shared" si="37"/>
        <v>0.30735999999999997</v>
      </c>
      <c r="AV20" s="34">
        <f t="shared" si="21"/>
        <v>0.33225685584101733</v>
      </c>
      <c r="AW20" s="35">
        <f t="shared" si="22"/>
        <v>5.0755340624999992</v>
      </c>
      <c r="AX20" s="35">
        <f t="shared" si="22"/>
        <v>0.30453204374999993</v>
      </c>
      <c r="AY20" s="35">
        <f t="shared" si="22"/>
        <v>0.69527863869863005</v>
      </c>
      <c r="AZ20" s="42">
        <f t="shared" si="38"/>
        <v>7.782639031397498E-2</v>
      </c>
      <c r="BA20" s="36">
        <f t="shared" si="39"/>
        <v>0.47406000000000004</v>
      </c>
      <c r="BB20" s="34">
        <f t="shared" si="23"/>
        <v>0.27688071320084778</v>
      </c>
      <c r="BC20" s="35">
        <f t="shared" si="24"/>
        <v>3.3092607075000005</v>
      </c>
      <c r="BD20" s="35">
        <f t="shared" si="24"/>
        <v>0.19855564245000001</v>
      </c>
      <c r="BE20" s="35">
        <f t="shared" si="24"/>
        <v>0.45332338458904115</v>
      </c>
      <c r="BF20" s="42">
        <f t="shared" si="40"/>
        <v>5.8509232004955287E-2</v>
      </c>
      <c r="BG20" s="36">
        <f t="shared" si="41"/>
        <v>0.23236999999999999</v>
      </c>
      <c r="BH20" s="34">
        <f t="shared" si="25"/>
        <v>0.23732632560072667</v>
      </c>
      <c r="BI20" s="35">
        <f t="shared" si="26"/>
        <v>2.1822150900000001</v>
      </c>
      <c r="BJ20" s="35">
        <f t="shared" si="26"/>
        <v>0.13093290539999999</v>
      </c>
      <c r="BK20" s="35">
        <f t="shared" si="26"/>
        <v>0.29893357397260278</v>
      </c>
      <c r="BL20" s="42">
        <f t="shared" si="42"/>
        <v>0.3408275166862676</v>
      </c>
      <c r="BM20" s="36">
        <f t="shared" si="43"/>
        <v>0.89259999999999995</v>
      </c>
      <c r="BN20" s="34">
        <f t="shared" si="27"/>
        <v>0.20766053490063582</v>
      </c>
      <c r="BO20" s="35">
        <f t="shared" si="28"/>
        <v>0.40309301999999997</v>
      </c>
      <c r="BP20" s="35">
        <f t="shared" si="28"/>
        <v>2.4185581199999997E-2</v>
      </c>
      <c r="BQ20" s="35">
        <f t="shared" si="28"/>
        <v>5.5218221917808216E-2</v>
      </c>
      <c r="BR20" s="42">
        <f t="shared" si="44"/>
        <v>0.45938068463701015</v>
      </c>
      <c r="BS20" s="36">
        <f t="shared" si="45"/>
        <v>0.22223000000000001</v>
      </c>
      <c r="BT20" s="34"/>
      <c r="BU20" s="35"/>
      <c r="BV20" s="35"/>
      <c r="BW20" s="35"/>
      <c r="BX20" s="42"/>
      <c r="BY20" s="36"/>
      <c r="BZ20" s="48"/>
      <c r="CA20" s="18"/>
      <c r="CB20" s="18"/>
      <c r="CC20" s="18"/>
      <c r="CD20" s="49"/>
      <c r="CE20" s="18"/>
      <c r="CF20" s="18"/>
      <c r="CG20" s="18"/>
      <c r="CH20" s="18"/>
      <c r="CI20" s="18"/>
      <c r="CJ20" s="49"/>
      <c r="CK20" s="18"/>
      <c r="CL20" s="18"/>
      <c r="CM20" s="18"/>
      <c r="CN20" s="18"/>
      <c r="CO20" s="18"/>
      <c r="CP20" s="49"/>
      <c r="CQ20" s="18"/>
    </row>
    <row r="21" spans="2:95" x14ac:dyDescent="0.3">
      <c r="B21">
        <v>3</v>
      </c>
      <c r="C21">
        <v>-1616.8</v>
      </c>
      <c r="D21">
        <v>119758.7</v>
      </c>
      <c r="E21">
        <v>3506.5</v>
      </c>
      <c r="F21">
        <f t="shared" si="48"/>
        <v>11.97587</v>
      </c>
      <c r="G21">
        <f t="shared" si="49"/>
        <v>-0.16167999999999999</v>
      </c>
      <c r="H21">
        <f t="shared" si="50"/>
        <v>12.137550000000001</v>
      </c>
      <c r="I21">
        <f t="shared" si="52"/>
        <v>0.35065000000000002</v>
      </c>
      <c r="K21" s="67"/>
      <c r="L21" s="3">
        <v>-97.8</v>
      </c>
      <c r="M21" s="5">
        <f t="shared" ref="M21:M29" si="59">L21+98.2</f>
        <v>0.40000000000000568</v>
      </c>
      <c r="N21" s="5">
        <f t="shared" si="53"/>
        <v>24.754552179927092</v>
      </c>
      <c r="O21" s="5">
        <f t="shared" si="54"/>
        <v>3.7919520685367529</v>
      </c>
      <c r="P21" s="4">
        <v>3</v>
      </c>
      <c r="Q21" s="5">
        <f t="shared" si="55"/>
        <v>12.137550000000001</v>
      </c>
      <c r="R21" s="5">
        <f t="shared" si="55"/>
        <v>0.35065000000000002</v>
      </c>
      <c r="S21" s="5">
        <f t="shared" si="56"/>
        <v>13.484818050000001</v>
      </c>
      <c r="T21" s="5">
        <f t="shared" si="57"/>
        <v>0.80908908300000004</v>
      </c>
      <c r="U21" s="5">
        <f t="shared" si="58"/>
        <v>1.8472353493150686</v>
      </c>
      <c r="V21" s="5">
        <f t="shared" si="51"/>
        <v>3.7919520685367529</v>
      </c>
      <c r="W21" s="19"/>
      <c r="X21" s="34">
        <f t="shared" si="12"/>
        <v>1.3931788796440594</v>
      </c>
      <c r="Y21" s="35">
        <f t="shared" si="13"/>
        <v>21.583101473999999</v>
      </c>
      <c r="Z21" s="35">
        <f t="shared" si="13"/>
        <v>1.29498608844</v>
      </c>
      <c r="AA21" s="35">
        <f t="shared" si="13"/>
        <v>2.9565892430136986</v>
      </c>
      <c r="AB21" s="42">
        <f t="shared" si="31"/>
        <v>1.9084628430079909E-2</v>
      </c>
      <c r="AC21" s="36">
        <f t="shared" si="14"/>
        <v>0.61792000000000002</v>
      </c>
      <c r="AD21" s="34">
        <f t="shared" si="15"/>
        <v>0.6965894398220297</v>
      </c>
      <c r="AE21" s="35">
        <f t="shared" si="16"/>
        <v>13.257320801999999</v>
      </c>
      <c r="AF21" s="35">
        <f t="shared" si="16"/>
        <v>0.79543924811999989</v>
      </c>
      <c r="AG21" s="35">
        <f t="shared" si="16"/>
        <v>1.8160713427397259</v>
      </c>
      <c r="AH21" s="42">
        <f t="shared" si="32"/>
        <v>2.8101410048386039E-2</v>
      </c>
      <c r="AI21" s="36">
        <f t="shared" si="33"/>
        <v>0.55888000000000004</v>
      </c>
      <c r="AJ21" s="34">
        <f t="shared" si="17"/>
        <v>0.46439295988135315</v>
      </c>
      <c r="AK21" s="35">
        <f t="shared" si="18"/>
        <v>8.2833182520000008</v>
      </c>
      <c r="AL21" s="35">
        <f t="shared" si="18"/>
        <v>0.49699909512000001</v>
      </c>
      <c r="AM21" s="35">
        <f t="shared" si="18"/>
        <v>1.1347011304109591</v>
      </c>
      <c r="AN21" s="42">
        <f t="shared" si="34"/>
        <v>3.8573274897756513E-2</v>
      </c>
      <c r="AO21" s="36">
        <f t="shared" si="35"/>
        <v>0.47931999999999997</v>
      </c>
      <c r="AP21" s="34">
        <f t="shared" si="19"/>
        <v>0.34829471991101485</v>
      </c>
      <c r="AQ21" s="35">
        <f t="shared" si="20"/>
        <v>5.0256707159999996</v>
      </c>
      <c r="AR21" s="35">
        <f t="shared" si="20"/>
        <v>0.30154024295999998</v>
      </c>
      <c r="AS21" s="35">
        <f t="shared" si="20"/>
        <v>0.68844804328767117</v>
      </c>
      <c r="AT21" s="42">
        <f t="shared" si="36"/>
        <v>4.5416924207415582E-2</v>
      </c>
      <c r="AU21" s="36">
        <f t="shared" si="37"/>
        <v>0.34240999999999999</v>
      </c>
      <c r="AV21" s="34">
        <f t="shared" si="21"/>
        <v>0.27863577592881189</v>
      </c>
      <c r="AW21" s="35">
        <f t="shared" si="22"/>
        <v>3.616125018</v>
      </c>
      <c r="AX21" s="35">
        <f t="shared" si="22"/>
        <v>0.21696750107999999</v>
      </c>
      <c r="AY21" s="35">
        <f t="shared" si="22"/>
        <v>0.49535959150684933</v>
      </c>
      <c r="AZ21" s="42">
        <f t="shared" si="38"/>
        <v>4.5932239945582536E-2</v>
      </c>
      <c r="BA21" s="36">
        <f t="shared" si="39"/>
        <v>0.24916999999999997</v>
      </c>
      <c r="BB21" s="34">
        <f t="shared" si="23"/>
        <v>0.23219647994067658</v>
      </c>
      <c r="BC21" s="35">
        <f t="shared" si="24"/>
        <v>1.2623737500000001</v>
      </c>
      <c r="BD21" s="35">
        <f t="shared" si="24"/>
        <v>7.5742425000000002E-2</v>
      </c>
      <c r="BE21" s="35">
        <f t="shared" si="24"/>
        <v>0.17292791095890411</v>
      </c>
      <c r="BF21" s="42">
        <f t="shared" si="40"/>
        <v>0.13920528052805278</v>
      </c>
      <c r="BG21" s="36">
        <f t="shared" si="41"/>
        <v>0.26361999999999997</v>
      </c>
      <c r="BH21" s="34"/>
      <c r="BI21" s="35"/>
      <c r="BJ21" s="35"/>
      <c r="BK21" s="35"/>
      <c r="BL21" s="42"/>
      <c r="BM21" s="36"/>
      <c r="BN21" s="34"/>
      <c r="BO21" s="35"/>
      <c r="BP21" s="35"/>
      <c r="BQ21" s="35"/>
      <c r="BR21" s="42"/>
      <c r="BS21" s="36"/>
      <c r="BT21" s="34"/>
      <c r="BU21" s="35"/>
      <c r="BV21" s="35"/>
      <c r="BW21" s="35"/>
      <c r="BX21" s="42"/>
      <c r="BY21" s="36"/>
      <c r="BZ21" s="48"/>
      <c r="CA21" s="18"/>
      <c r="CB21" s="18"/>
      <c r="CC21" s="18"/>
      <c r="CD21" s="49"/>
      <c r="CE21" s="18"/>
      <c r="CF21" s="18"/>
      <c r="CG21" s="18"/>
      <c r="CH21" s="18"/>
      <c r="CI21" s="18"/>
      <c r="CJ21" s="49"/>
      <c r="CK21" s="18"/>
      <c r="CL21" s="18"/>
      <c r="CM21" s="18"/>
      <c r="CN21" s="18"/>
      <c r="CO21" s="18"/>
      <c r="CP21" s="49"/>
      <c r="CQ21" s="18"/>
    </row>
    <row r="22" spans="2:95" x14ac:dyDescent="0.3">
      <c r="B22">
        <v>4</v>
      </c>
      <c r="C22">
        <v>-5518.3</v>
      </c>
      <c r="D22">
        <v>119786.9</v>
      </c>
      <c r="E22">
        <v>2606.8000000000002</v>
      </c>
      <c r="F22">
        <f t="shared" si="48"/>
        <v>11.97869</v>
      </c>
      <c r="G22">
        <f t="shared" si="49"/>
        <v>-0.55183000000000004</v>
      </c>
      <c r="H22">
        <f t="shared" si="50"/>
        <v>12.530520000000001</v>
      </c>
      <c r="I22">
        <f t="shared" si="52"/>
        <v>0.26068000000000002</v>
      </c>
      <c r="K22" s="67"/>
      <c r="L22" s="3">
        <v>-97.2</v>
      </c>
      <c r="M22" s="5">
        <f t="shared" si="59"/>
        <v>1</v>
      </c>
      <c r="N22" s="5">
        <f t="shared" si="53"/>
        <v>31.807899949628325</v>
      </c>
      <c r="O22" s="5">
        <f t="shared" si="54"/>
        <v>2.2966932504725692</v>
      </c>
      <c r="P22" s="4">
        <v>3</v>
      </c>
      <c r="Q22" s="5">
        <f t="shared" si="55"/>
        <v>12.530520000000001</v>
      </c>
      <c r="R22" s="5">
        <f t="shared" si="55"/>
        <v>0.26068000000000002</v>
      </c>
      <c r="S22" s="5">
        <f t="shared" si="56"/>
        <v>13.921407720000003</v>
      </c>
      <c r="T22" s="5">
        <f t="shared" si="57"/>
        <v>0.83528446320000016</v>
      </c>
      <c r="U22" s="5">
        <f t="shared" si="58"/>
        <v>1.907042153424658</v>
      </c>
      <c r="V22" s="5">
        <f t="shared" si="51"/>
        <v>2.2966932504725692</v>
      </c>
      <c r="W22" s="19"/>
      <c r="X22" s="34">
        <f t="shared" si="12"/>
        <v>1.122803112129348</v>
      </c>
      <c r="Y22" s="35">
        <f t="shared" si="13"/>
        <v>16.188555982499999</v>
      </c>
      <c r="Z22" s="35">
        <f t="shared" si="13"/>
        <v>0.97131335894999993</v>
      </c>
      <c r="AA22" s="35">
        <f t="shared" si="13"/>
        <v>2.2176104085616437</v>
      </c>
      <c r="AB22" s="42">
        <f t="shared" si="31"/>
        <v>1.338800640923688E-2</v>
      </c>
      <c r="AC22" s="36">
        <f t="shared" si="14"/>
        <v>0.52021000000000006</v>
      </c>
      <c r="AD22" s="34">
        <f t="shared" si="15"/>
        <v>0.56140155606467401</v>
      </c>
      <c r="AE22" s="35">
        <f t="shared" si="16"/>
        <v>9.2354138662500009</v>
      </c>
      <c r="AF22" s="35">
        <f t="shared" si="16"/>
        <v>0.55412483197500007</v>
      </c>
      <c r="AG22" s="35">
        <f t="shared" si="16"/>
        <v>1.2651251871575344</v>
      </c>
      <c r="AH22" s="42">
        <f t="shared" si="32"/>
        <v>3.0418352151669062E-2</v>
      </c>
      <c r="AI22" s="36">
        <f t="shared" si="33"/>
        <v>0.67428999999999994</v>
      </c>
      <c r="AJ22" s="34">
        <f t="shared" si="17"/>
        <v>0.37426770404311599</v>
      </c>
      <c r="AK22" s="35">
        <f t="shared" si="18"/>
        <v>6.0196479750000007</v>
      </c>
      <c r="AL22" s="35">
        <f t="shared" si="18"/>
        <v>0.36117887850000002</v>
      </c>
      <c r="AM22" s="35">
        <f t="shared" si="18"/>
        <v>0.82460931164383577</v>
      </c>
      <c r="AN22" s="42">
        <f t="shared" si="34"/>
        <v>4.0226042661572745E-2</v>
      </c>
      <c r="AO22" s="36">
        <f t="shared" si="35"/>
        <v>0.58121</v>
      </c>
      <c r="AP22" s="34">
        <f t="shared" si="19"/>
        <v>0.28070077803233701</v>
      </c>
      <c r="AQ22" s="35">
        <f t="shared" si="20"/>
        <v>3.2103331012500007</v>
      </c>
      <c r="AR22" s="35">
        <f t="shared" si="20"/>
        <v>0.19261998607500003</v>
      </c>
      <c r="AS22" s="35">
        <f t="shared" si="20"/>
        <v>0.43977165770547955</v>
      </c>
      <c r="AT22" s="42">
        <f t="shared" si="36"/>
        <v>5.8914525466642956E-2</v>
      </c>
      <c r="AU22" s="36">
        <f t="shared" si="37"/>
        <v>0.45396999999999998</v>
      </c>
      <c r="AV22" s="34">
        <f t="shared" si="21"/>
        <v>0.2245606224258696</v>
      </c>
      <c r="AW22" s="35">
        <f t="shared" si="22"/>
        <v>0.99465469124999994</v>
      </c>
      <c r="AX22" s="35">
        <f t="shared" si="22"/>
        <v>5.9679281474999991E-2</v>
      </c>
      <c r="AY22" s="35">
        <f t="shared" si="22"/>
        <v>0.13625406729452055</v>
      </c>
      <c r="AZ22" s="42">
        <f t="shared" si="38"/>
        <v>0.27539886320322021</v>
      </c>
      <c r="BA22" s="36">
        <f t="shared" si="39"/>
        <v>0.65749000000000002</v>
      </c>
      <c r="BB22" s="34"/>
      <c r="BC22" s="35"/>
      <c r="BD22" s="35"/>
      <c r="BE22" s="35"/>
      <c r="BF22" s="42"/>
      <c r="BG22" s="36"/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48"/>
      <c r="CA22" s="18"/>
      <c r="CB22" s="18"/>
      <c r="CC22" s="18"/>
      <c r="CD22" s="49"/>
      <c r="CE22" s="18"/>
      <c r="CF22" s="18"/>
      <c r="CG22" s="18"/>
      <c r="CH22" s="18"/>
      <c r="CI22" s="18"/>
      <c r="CJ22" s="49"/>
      <c r="CK22" s="18"/>
      <c r="CL22" s="18"/>
      <c r="CM22" s="18"/>
      <c r="CN22" s="18"/>
      <c r="CO22" s="18"/>
      <c r="CP22" s="49"/>
      <c r="CQ22" s="18"/>
    </row>
    <row r="23" spans="2:95" x14ac:dyDescent="0.3">
      <c r="B23">
        <v>5</v>
      </c>
      <c r="C23">
        <v>-7297</v>
      </c>
      <c r="D23">
        <v>155545</v>
      </c>
      <c r="E23">
        <v>3459</v>
      </c>
      <c r="F23">
        <f t="shared" si="48"/>
        <v>15.554500000000001</v>
      </c>
      <c r="G23">
        <f t="shared" si="49"/>
        <v>-0.72970000000000002</v>
      </c>
      <c r="H23">
        <f t="shared" si="50"/>
        <v>16.284200000000002</v>
      </c>
      <c r="I23">
        <f t="shared" si="52"/>
        <v>0.34589999999999999</v>
      </c>
      <c r="K23" s="67"/>
      <c r="L23" s="3">
        <v>-96.8</v>
      </c>
      <c r="M23" s="5">
        <f t="shared" si="59"/>
        <v>1.4000000000000057</v>
      </c>
      <c r="N23" s="5">
        <f t="shared" si="53"/>
        <v>37.414240753916886</v>
      </c>
      <c r="O23" s="5">
        <f t="shared" si="54"/>
        <v>1.6599657004103827</v>
      </c>
      <c r="P23" s="4">
        <v>3</v>
      </c>
      <c r="Q23" s="5">
        <f t="shared" si="55"/>
        <v>16.284200000000002</v>
      </c>
      <c r="R23" s="5">
        <f t="shared" si="55"/>
        <v>0.34589999999999999</v>
      </c>
      <c r="S23" s="5">
        <f t="shared" si="56"/>
        <v>18.091746200000006</v>
      </c>
      <c r="T23" s="5">
        <f t="shared" si="57"/>
        <v>1.0855047720000004</v>
      </c>
      <c r="U23" s="5">
        <f t="shared" si="58"/>
        <v>2.4783213972602751</v>
      </c>
      <c r="V23" s="5">
        <f t="shared" si="51"/>
        <v>1.6599657004103827</v>
      </c>
      <c r="W23" s="19"/>
      <c r="X23" s="34">
        <f t="shared" si="12"/>
        <v>0.80405986756380465</v>
      </c>
      <c r="Y23" s="35">
        <f t="shared" si="13"/>
        <v>9.609188985000003</v>
      </c>
      <c r="Z23" s="35">
        <f t="shared" si="13"/>
        <v>0.57655133910000012</v>
      </c>
      <c r="AA23" s="35">
        <f t="shared" si="13"/>
        <v>1.3163272582191785</v>
      </c>
      <c r="AB23" s="42">
        <f t="shared" si="31"/>
        <v>2.5599917547493807E-2</v>
      </c>
      <c r="AC23" s="36">
        <f t="shared" si="14"/>
        <v>1.03328</v>
      </c>
      <c r="AD23" s="34">
        <f t="shared" si="15"/>
        <v>0.40202993378190233</v>
      </c>
      <c r="AE23" s="35">
        <f t="shared" si="16"/>
        <v>6.2576527435714286</v>
      </c>
      <c r="AF23" s="35">
        <f t="shared" si="16"/>
        <v>0.37545916461428569</v>
      </c>
      <c r="AG23" s="35">
        <f t="shared" si="16"/>
        <v>0.85721270459882581</v>
      </c>
      <c r="AH23" s="42">
        <f t="shared" si="32"/>
        <v>4.088869714287019E-2</v>
      </c>
      <c r="AI23" s="36">
        <f t="shared" si="33"/>
        <v>1.0747500000000001</v>
      </c>
      <c r="AJ23" s="34">
        <f t="shared" si="17"/>
        <v>0.26801995585460153</v>
      </c>
      <c r="AK23" s="35">
        <f t="shared" si="18"/>
        <v>2.876538507857143</v>
      </c>
      <c r="AL23" s="35">
        <f t="shared" si="18"/>
        <v>0.17259231047142859</v>
      </c>
      <c r="AM23" s="35">
        <f t="shared" si="18"/>
        <v>0.3940463709393347</v>
      </c>
      <c r="AN23" s="42">
        <f t="shared" si="34"/>
        <v>5.3251475046492205E-2</v>
      </c>
      <c r="AO23" s="36">
        <f t="shared" si="35"/>
        <v>0.64341999999999999</v>
      </c>
      <c r="AP23" s="34">
        <f t="shared" si="19"/>
        <v>0.20101496689095116</v>
      </c>
      <c r="AQ23" s="35">
        <f t="shared" si="20"/>
        <v>0.25342941642857136</v>
      </c>
      <c r="AR23" s="35">
        <f t="shared" si="20"/>
        <v>1.5205764985714281E-2</v>
      </c>
      <c r="AS23" s="35">
        <f t="shared" si="20"/>
        <v>3.4716358414872792E-2</v>
      </c>
      <c r="AT23" s="42">
        <f t="shared" si="36"/>
        <v>1.3413965110708215</v>
      </c>
      <c r="AU23" s="36">
        <f t="shared" si="37"/>
        <v>1.4279299999999999</v>
      </c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48"/>
      <c r="CA23" s="18"/>
      <c r="CB23" s="18"/>
      <c r="CC23" s="18"/>
      <c r="CD23" s="49"/>
      <c r="CE23" s="18"/>
      <c r="CF23" s="18"/>
      <c r="CG23" s="18"/>
      <c r="CH23" s="18"/>
      <c r="CI23" s="18"/>
      <c r="CJ23" s="49"/>
      <c r="CK23" s="18"/>
      <c r="CL23" s="18"/>
      <c r="CM23" s="18"/>
      <c r="CN23" s="18"/>
      <c r="CO23" s="18"/>
      <c r="CP23" s="49"/>
      <c r="CQ23" s="18"/>
    </row>
    <row r="24" spans="2:95" ht="15" thickBot="1" x14ac:dyDescent="0.35">
      <c r="B24">
        <v>6</v>
      </c>
      <c r="C24">
        <v>-6074.4</v>
      </c>
      <c r="D24">
        <v>203002.7</v>
      </c>
      <c r="E24">
        <v>4333.7</v>
      </c>
      <c r="F24">
        <f t="shared" si="48"/>
        <v>20.300270000000001</v>
      </c>
      <c r="G24">
        <f t="shared" si="49"/>
        <v>-0.60743999999999998</v>
      </c>
      <c r="H24">
        <f t="shared" si="50"/>
        <v>20.907710000000002</v>
      </c>
      <c r="I24">
        <f t="shared" si="52"/>
        <v>0.43336999999999998</v>
      </c>
      <c r="K24" s="67"/>
      <c r="L24" s="3">
        <v>-96.3</v>
      </c>
      <c r="M24" s="5">
        <f t="shared" si="59"/>
        <v>1.9000000000000057</v>
      </c>
      <c r="N24" s="5">
        <f t="shared" si="53"/>
        <v>44.970060517830404</v>
      </c>
      <c r="O24" s="5">
        <f t="shared" si="54"/>
        <v>1.1490159130493915</v>
      </c>
      <c r="P24" s="4">
        <v>4</v>
      </c>
      <c r="Q24" s="5">
        <f t="shared" si="55"/>
        <v>20.907710000000002</v>
      </c>
      <c r="R24" s="5">
        <f t="shared" si="55"/>
        <v>0.43336999999999998</v>
      </c>
      <c r="S24" s="5">
        <f t="shared" si="56"/>
        <v>17.421349357499999</v>
      </c>
      <c r="T24" s="5">
        <f t="shared" si="57"/>
        <v>1.0452809614499998</v>
      </c>
      <c r="U24" s="5">
        <f t="shared" si="58"/>
        <v>2.3864862133561644</v>
      </c>
      <c r="V24" s="5">
        <f t="shared" si="51"/>
        <v>1.1490159130493915</v>
      </c>
      <c r="W24" s="19"/>
      <c r="X24" s="37">
        <f t="shared" si="12"/>
        <v>0.51852053541803023</v>
      </c>
      <c r="Y24" s="38">
        <f t="shared" si="13"/>
        <v>5.4017819900000008</v>
      </c>
      <c r="Z24" s="38">
        <f t="shared" si="13"/>
        <v>0.32410691940000003</v>
      </c>
      <c r="AA24" s="38">
        <f t="shared" si="13"/>
        <v>0.73997013561643854</v>
      </c>
      <c r="AB24" s="43">
        <f t="shared" si="31"/>
        <v>4.2111519943069747E-2</v>
      </c>
      <c r="AC24" s="39">
        <f t="shared" si="14"/>
        <v>1.4332499999999999</v>
      </c>
      <c r="AD24" s="37">
        <f t="shared" si="15"/>
        <v>0.25926026770901511</v>
      </c>
      <c r="AE24" s="38">
        <f t="shared" si="16"/>
        <v>1.4443841185714288</v>
      </c>
      <c r="AF24" s="38">
        <f t="shared" si="16"/>
        <v>8.6663047114285727E-2</v>
      </c>
      <c r="AG24" s="38">
        <f t="shared" si="16"/>
        <v>0.1978608381604697</v>
      </c>
      <c r="AH24" s="43">
        <f t="shared" si="32"/>
        <v>9.7947042644769042E-2</v>
      </c>
      <c r="AI24" s="39">
        <f t="shared" si="33"/>
        <v>0.89137000000000011</v>
      </c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48"/>
      <c r="CA24" s="18"/>
      <c r="CB24" s="18"/>
      <c r="CC24" s="18"/>
      <c r="CD24" s="49"/>
      <c r="CE24" s="18"/>
      <c r="CF24" s="18"/>
      <c r="CG24" s="18"/>
      <c r="CH24" s="18"/>
      <c r="CI24" s="18"/>
      <c r="CJ24" s="49"/>
      <c r="CK24" s="18"/>
      <c r="CL24" s="18"/>
      <c r="CM24" s="18"/>
      <c r="CN24" s="18"/>
      <c r="CO24" s="18"/>
      <c r="CP24" s="49"/>
      <c r="CQ24" s="18"/>
    </row>
    <row r="25" spans="2:95" ht="15" thickTop="1" x14ac:dyDescent="0.3">
      <c r="B25">
        <v>7</v>
      </c>
      <c r="C25">
        <v>-3366.6</v>
      </c>
      <c r="D25">
        <v>170195.7</v>
      </c>
      <c r="E25">
        <v>5811.4</v>
      </c>
      <c r="F25">
        <f t="shared" si="48"/>
        <v>17.019570000000002</v>
      </c>
      <c r="G25">
        <f t="shared" si="49"/>
        <v>-0.33666000000000001</v>
      </c>
      <c r="H25">
        <f t="shared" si="50"/>
        <v>17.35623</v>
      </c>
      <c r="I25">
        <f t="shared" si="52"/>
        <v>0.58113999999999999</v>
      </c>
      <c r="K25" s="67"/>
      <c r="L25" s="3">
        <v>-95.8</v>
      </c>
      <c r="M25" s="5">
        <f t="shared" si="59"/>
        <v>2.4000000000000057</v>
      </c>
      <c r="N25" s="5">
        <f t="shared" si="53"/>
        <v>52.890724234957723</v>
      </c>
      <c r="O25" s="5">
        <f t="shared" si="54"/>
        <v>0.83064213960254329</v>
      </c>
      <c r="P25" s="4">
        <v>4</v>
      </c>
      <c r="Q25" s="5">
        <f t="shared" si="55"/>
        <v>17.35623</v>
      </c>
      <c r="R25" s="5">
        <f t="shared" si="55"/>
        <v>0.58113999999999999</v>
      </c>
      <c r="S25" s="5">
        <f t="shared" si="56"/>
        <v>14.462078647500002</v>
      </c>
      <c r="T25" s="5">
        <f t="shared" si="57"/>
        <v>0.86772471885000013</v>
      </c>
      <c r="U25" s="5">
        <f t="shared" si="58"/>
        <v>1.9811066640410961</v>
      </c>
      <c r="V25" s="5">
        <f t="shared" si="51"/>
        <v>0.83064213960254329</v>
      </c>
      <c r="W25" s="19"/>
      <c r="X25" s="20"/>
      <c r="Y25" s="21"/>
      <c r="Z25" s="18"/>
    </row>
    <row r="26" spans="2:95" x14ac:dyDescent="0.3">
      <c r="B26">
        <v>8</v>
      </c>
      <c r="C26">
        <v>-5371.7</v>
      </c>
      <c r="D26">
        <v>193508</v>
      </c>
      <c r="E26">
        <v>5588.8</v>
      </c>
      <c r="F26">
        <f t="shared" si="48"/>
        <v>19.3508</v>
      </c>
      <c r="G26">
        <f t="shared" si="49"/>
        <v>-0.53717000000000004</v>
      </c>
      <c r="H26">
        <f t="shared" si="50"/>
        <v>19.887969999999999</v>
      </c>
      <c r="I26">
        <f t="shared" si="52"/>
        <v>0.55888000000000004</v>
      </c>
      <c r="K26" s="67"/>
      <c r="L26" s="3">
        <v>-95.5</v>
      </c>
      <c r="M26" s="5">
        <f t="shared" si="59"/>
        <v>2.7000000000000028</v>
      </c>
      <c r="N26" s="5">
        <f t="shared" si="53"/>
        <v>57.756125383651771</v>
      </c>
      <c r="O26" s="5">
        <f t="shared" si="54"/>
        <v>0.6965894398220297</v>
      </c>
      <c r="P26" s="4">
        <v>5</v>
      </c>
      <c r="Q26" s="5">
        <f t="shared" si="55"/>
        <v>19.887969999999999</v>
      </c>
      <c r="R26" s="5">
        <f t="shared" si="55"/>
        <v>0.55888000000000004</v>
      </c>
      <c r="S26" s="5">
        <f t="shared" si="56"/>
        <v>13.257320801999999</v>
      </c>
      <c r="T26" s="5">
        <f t="shared" si="57"/>
        <v>0.79543924811999989</v>
      </c>
      <c r="U26" s="5">
        <f t="shared" si="58"/>
        <v>1.8160713427397259</v>
      </c>
      <c r="V26" s="5">
        <f t="shared" si="51"/>
        <v>0.6965894398220297</v>
      </c>
      <c r="W26" s="19"/>
      <c r="X26" s="20"/>
      <c r="Y26" s="21"/>
      <c r="Z26" s="18"/>
    </row>
    <row r="27" spans="2:95" x14ac:dyDescent="0.3">
      <c r="B27">
        <v>9</v>
      </c>
      <c r="C27">
        <v>-701.1</v>
      </c>
      <c r="D27">
        <v>220971</v>
      </c>
      <c r="E27">
        <v>6742.9</v>
      </c>
      <c r="F27">
        <f t="shared" si="48"/>
        <v>22.097100000000001</v>
      </c>
      <c r="G27">
        <f t="shared" si="49"/>
        <v>-7.0110000000000006E-2</v>
      </c>
      <c r="H27">
        <f t="shared" si="50"/>
        <v>22.167210000000001</v>
      </c>
      <c r="I27">
        <f t="shared" si="52"/>
        <v>0.67428999999999994</v>
      </c>
      <c r="K27" s="67"/>
      <c r="L27" s="5">
        <v>-95.1</v>
      </c>
      <c r="M27" s="5">
        <f t="shared" si="59"/>
        <v>3.1000000000000085</v>
      </c>
      <c r="N27" s="5">
        <f t="shared" si="53"/>
        <v>64.335352920706185</v>
      </c>
      <c r="O27" s="5">
        <f t="shared" si="54"/>
        <v>0.56140155606467401</v>
      </c>
      <c r="P27" s="4">
        <v>8</v>
      </c>
      <c r="Q27" s="5">
        <f t="shared" si="55"/>
        <v>22.167210000000001</v>
      </c>
      <c r="R27" s="5">
        <f t="shared" si="55"/>
        <v>0.67428999999999994</v>
      </c>
      <c r="S27" s="5">
        <f t="shared" si="56"/>
        <v>9.2354138662500009</v>
      </c>
      <c r="T27" s="5">
        <f t="shared" si="57"/>
        <v>0.55412483197500007</v>
      </c>
      <c r="U27" s="5">
        <f t="shared" si="58"/>
        <v>1.2651251871575344</v>
      </c>
      <c r="V27" s="5">
        <f t="shared" si="51"/>
        <v>0.56140155606467401</v>
      </c>
      <c r="W27" s="19"/>
      <c r="X27" s="20"/>
      <c r="Y27" s="21"/>
      <c r="Z27" s="17"/>
    </row>
    <row r="28" spans="2:95" x14ac:dyDescent="0.3">
      <c r="B28">
        <v>10</v>
      </c>
      <c r="C28">
        <v>-1313.6</v>
      </c>
      <c r="D28">
        <v>261534.1</v>
      </c>
      <c r="E28">
        <v>10747.5</v>
      </c>
      <c r="F28">
        <f t="shared" si="48"/>
        <v>26.153410000000001</v>
      </c>
      <c r="G28">
        <f t="shared" si="49"/>
        <v>-0.13136</v>
      </c>
      <c r="H28">
        <f t="shared" si="50"/>
        <v>26.284770000000002</v>
      </c>
      <c r="I28">
        <f t="shared" si="52"/>
        <v>1.0747500000000001</v>
      </c>
      <c r="K28" s="67"/>
      <c r="L28" s="5">
        <v>-94.399999999999991</v>
      </c>
      <c r="M28" s="5">
        <f t="shared" si="59"/>
        <v>3.8000000000000114</v>
      </c>
      <c r="N28" s="5">
        <f t="shared" si="53"/>
        <v>76.025152245972833</v>
      </c>
      <c r="O28" s="5">
        <f t="shared" si="54"/>
        <v>0.40202993378190233</v>
      </c>
      <c r="P28" s="4">
        <v>14</v>
      </c>
      <c r="Q28" s="5">
        <f t="shared" si="55"/>
        <v>26.284770000000002</v>
      </c>
      <c r="R28" s="5">
        <f t="shared" si="55"/>
        <v>1.0747500000000001</v>
      </c>
      <c r="S28" s="5">
        <f t="shared" si="56"/>
        <v>6.2576527435714286</v>
      </c>
      <c r="T28" s="5">
        <f t="shared" si="57"/>
        <v>0.37545916461428569</v>
      </c>
      <c r="U28" s="5">
        <f t="shared" si="58"/>
        <v>0.85721270459882581</v>
      </c>
      <c r="V28" s="5">
        <f t="shared" si="51"/>
        <v>0.40202993378190233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3941</v>
      </c>
      <c r="D29">
        <v>94946.3</v>
      </c>
      <c r="E29">
        <v>8913.7000000000007</v>
      </c>
      <c r="F29">
        <f t="shared" si="48"/>
        <v>9.4946300000000008</v>
      </c>
      <c r="G29">
        <f t="shared" si="49"/>
        <v>0.39410000000000001</v>
      </c>
      <c r="H29">
        <f t="shared" si="50"/>
        <v>9.1005300000000009</v>
      </c>
      <c r="I29">
        <f t="shared" si="52"/>
        <v>0.89137000000000011</v>
      </c>
      <c r="K29" s="68"/>
      <c r="L29" s="6">
        <v>-93.3</v>
      </c>
      <c r="M29" s="6">
        <f t="shared" si="59"/>
        <v>4.9000000000000057</v>
      </c>
      <c r="N29" s="6">
        <f t="shared" si="53"/>
        <v>94.671337139281746</v>
      </c>
      <c r="O29" s="6">
        <f t="shared" si="54"/>
        <v>0.25926026770901511</v>
      </c>
      <c r="P29" s="7">
        <v>21</v>
      </c>
      <c r="Q29" s="6">
        <f t="shared" si="55"/>
        <v>9.1005300000000009</v>
      </c>
      <c r="R29" s="6">
        <f t="shared" si="55"/>
        <v>0.89137000000000011</v>
      </c>
      <c r="S29" s="6">
        <f t="shared" si="56"/>
        <v>1.4443841185714288</v>
      </c>
      <c r="T29" s="6">
        <f t="shared" si="57"/>
        <v>8.6663047114285727E-2</v>
      </c>
      <c r="U29" s="6">
        <f t="shared" si="58"/>
        <v>0.1978608381604697</v>
      </c>
      <c r="V29" s="6">
        <f t="shared" si="51"/>
        <v>0.25926026770901511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21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41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-615.9</v>
      </c>
      <c r="D33">
        <v>371315.20000000001</v>
      </c>
      <c r="E33">
        <v>5271.6</v>
      </c>
      <c r="F33">
        <f t="shared" ref="F33:F43" si="60">D33/10000</f>
        <v>37.131520000000002</v>
      </c>
      <c r="G33">
        <f t="shared" ref="G33:G43" si="61">C33/10000</f>
        <v>-6.1589999999999999E-2</v>
      </c>
      <c r="H33">
        <f t="shared" ref="H33:H43" si="62">F33-G33</f>
        <v>37.193110000000004</v>
      </c>
      <c r="I33">
        <f>E33/10000</f>
        <v>0.52716000000000007</v>
      </c>
      <c r="K33" s="66">
        <v>3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3.3034867090009441</v>
      </c>
      <c r="P33" s="2">
        <v>3</v>
      </c>
      <c r="Q33" s="8">
        <f>H33</f>
        <v>37.193110000000004</v>
      </c>
      <c r="R33" s="8">
        <f>I33</f>
        <v>0.52716000000000007</v>
      </c>
      <c r="S33" s="8">
        <f>Q33/10^6*$Z$4*$Z$3/P33*10^12</f>
        <v>41.321545210000004</v>
      </c>
      <c r="T33" s="8">
        <f>S33*0.06</f>
        <v>2.4792927125999999</v>
      </c>
      <c r="U33" s="8">
        <f>S33/$Z$1</f>
        <v>5.6604856452054797</v>
      </c>
      <c r="V33" s="12">
        <f t="shared" ref="V33:V43" si="63">O33</f>
        <v>3.3034867090009441</v>
      </c>
    </row>
    <row r="34" spans="2:22" x14ac:dyDescent="0.3">
      <c r="B34">
        <v>2</v>
      </c>
      <c r="C34">
        <v>3486.2</v>
      </c>
      <c r="D34">
        <v>365896.2</v>
      </c>
      <c r="E34">
        <v>5653.7</v>
      </c>
      <c r="F34">
        <f t="shared" si="60"/>
        <v>36.589620000000004</v>
      </c>
      <c r="G34">
        <f t="shared" si="61"/>
        <v>0.34861999999999999</v>
      </c>
      <c r="H34">
        <f t="shared" si="62"/>
        <v>36.241000000000007</v>
      </c>
      <c r="I34">
        <f t="shared" ref="I34:I43" si="64">E34/10000</f>
        <v>0.56536999999999993</v>
      </c>
      <c r="K34" s="67"/>
      <c r="L34" s="3">
        <v>-98</v>
      </c>
      <c r="M34" s="5">
        <f>L34+98.2</f>
        <v>0.20000000000000284</v>
      </c>
      <c r="N34" s="5">
        <f t="shared" ref="N34:N43" si="65">20.56036*SQRT(1+((L34-(-98.58903))*1.03*1095.70644/(3.14159*20.56036^2))^2)</f>
        <v>22.992351577801337</v>
      </c>
      <c r="O34" s="5">
        <f t="shared" ref="O34:O43" si="66">2*$Z$1/$Z$2/PI()/(N34*10^-4)^2/$K$33/$Z$7</f>
        <v>2.9303192968309104</v>
      </c>
      <c r="P34" s="4">
        <v>3</v>
      </c>
      <c r="Q34" s="5">
        <f t="shared" ref="Q34:R43" si="67">H34</f>
        <v>36.241000000000007</v>
      </c>
      <c r="R34" s="5">
        <f t="shared" si="67"/>
        <v>0.56536999999999993</v>
      </c>
      <c r="S34" s="5">
        <f t="shared" ref="S34:S43" si="68">Q34/10^6*$Z$4*$Z$3/P34*10^12</f>
        <v>40.263751000000006</v>
      </c>
      <c r="T34" s="5">
        <f t="shared" ref="T34:T43" si="69">S34*0.06</f>
        <v>2.4158250600000004</v>
      </c>
      <c r="U34" s="5">
        <f t="shared" ref="U34:U43" si="70">S34/$Z$1</f>
        <v>5.515582328767124</v>
      </c>
      <c r="V34" s="5">
        <f t="shared" si="63"/>
        <v>2.9303192968309104</v>
      </c>
    </row>
    <row r="35" spans="2:22" x14ac:dyDescent="0.3">
      <c r="B35">
        <v>3</v>
      </c>
      <c r="C35">
        <v>263.60000000000002</v>
      </c>
      <c r="D35">
        <v>355649.8</v>
      </c>
      <c r="E35">
        <v>4432.8999999999996</v>
      </c>
      <c r="F35">
        <f t="shared" si="60"/>
        <v>35.564979999999998</v>
      </c>
      <c r="G35">
        <f t="shared" si="61"/>
        <v>2.6360000000000001E-2</v>
      </c>
      <c r="H35">
        <f t="shared" si="62"/>
        <v>35.538620000000002</v>
      </c>
      <c r="I35">
        <f t="shared" si="64"/>
        <v>0.44328999999999996</v>
      </c>
      <c r="K35" s="67"/>
      <c r="L35" s="3">
        <v>-97.8</v>
      </c>
      <c r="M35" s="5">
        <f t="shared" ref="M35:M43" si="71">L35+98.2</f>
        <v>0.40000000000000568</v>
      </c>
      <c r="N35" s="5">
        <f t="shared" si="65"/>
        <v>24.754552179927092</v>
      </c>
      <c r="O35" s="5">
        <f t="shared" si="66"/>
        <v>2.5279680456911686</v>
      </c>
      <c r="P35" s="4">
        <v>3</v>
      </c>
      <c r="Q35" s="5">
        <f t="shared" si="67"/>
        <v>35.538620000000002</v>
      </c>
      <c r="R35" s="5">
        <f t="shared" si="67"/>
        <v>0.44328999999999996</v>
      </c>
      <c r="S35" s="5">
        <f t="shared" si="68"/>
        <v>39.483406820000006</v>
      </c>
      <c r="T35" s="5">
        <f t="shared" si="69"/>
        <v>2.3690044092000004</v>
      </c>
      <c r="U35" s="5">
        <f t="shared" si="70"/>
        <v>5.4086858657534256</v>
      </c>
      <c r="V35" s="5">
        <f t="shared" si="63"/>
        <v>2.5279680456911686</v>
      </c>
    </row>
    <row r="36" spans="2:22" x14ac:dyDescent="0.3">
      <c r="B36">
        <v>4</v>
      </c>
      <c r="C36">
        <v>-3884.6</v>
      </c>
      <c r="D36">
        <v>300520.5</v>
      </c>
      <c r="E36">
        <v>3576.8</v>
      </c>
      <c r="F36">
        <f t="shared" si="60"/>
        <v>30.052050000000001</v>
      </c>
      <c r="G36">
        <f t="shared" si="61"/>
        <v>-0.38845999999999997</v>
      </c>
      <c r="H36">
        <f t="shared" si="62"/>
        <v>30.44051</v>
      </c>
      <c r="I36">
        <f t="shared" si="64"/>
        <v>0.35768</v>
      </c>
      <c r="K36" s="67"/>
      <c r="L36" s="3">
        <v>-97.2</v>
      </c>
      <c r="M36" s="5">
        <f t="shared" si="71"/>
        <v>1</v>
      </c>
      <c r="N36" s="5">
        <f t="shared" si="65"/>
        <v>31.807899949628325</v>
      </c>
      <c r="O36" s="5">
        <f t="shared" si="66"/>
        <v>1.5311288336483795</v>
      </c>
      <c r="P36" s="4">
        <v>3</v>
      </c>
      <c r="Q36" s="5">
        <f t="shared" si="67"/>
        <v>30.44051</v>
      </c>
      <c r="R36" s="5">
        <f t="shared" si="67"/>
        <v>0.35768</v>
      </c>
      <c r="S36" s="5">
        <f t="shared" si="68"/>
        <v>33.819406610000009</v>
      </c>
      <c r="T36" s="5">
        <f t="shared" si="69"/>
        <v>2.0291643966000006</v>
      </c>
      <c r="U36" s="5">
        <f t="shared" si="70"/>
        <v>4.6327954260273989</v>
      </c>
      <c r="V36" s="5">
        <f t="shared" si="63"/>
        <v>1.5311288336483795</v>
      </c>
    </row>
    <row r="37" spans="2:22" x14ac:dyDescent="0.3">
      <c r="B37">
        <v>5</v>
      </c>
      <c r="C37">
        <v>-705.6</v>
      </c>
      <c r="D37">
        <v>244233</v>
      </c>
      <c r="E37">
        <v>3911.9</v>
      </c>
      <c r="F37">
        <f t="shared" si="60"/>
        <v>24.423300000000001</v>
      </c>
      <c r="G37">
        <f t="shared" si="61"/>
        <v>-7.0559999999999998E-2</v>
      </c>
      <c r="H37">
        <f t="shared" si="62"/>
        <v>24.493860000000002</v>
      </c>
      <c r="I37">
        <f t="shared" si="64"/>
        <v>0.39118999999999998</v>
      </c>
      <c r="K37" s="67"/>
      <c r="L37" s="3">
        <v>-96.8</v>
      </c>
      <c r="M37" s="5">
        <f t="shared" si="71"/>
        <v>1.4000000000000057</v>
      </c>
      <c r="N37" s="5">
        <f t="shared" si="65"/>
        <v>37.414240753916886</v>
      </c>
      <c r="O37" s="5">
        <f t="shared" si="66"/>
        <v>1.1066438002735886</v>
      </c>
      <c r="P37" s="4">
        <v>3</v>
      </c>
      <c r="Q37" s="5">
        <f t="shared" si="67"/>
        <v>24.493860000000002</v>
      </c>
      <c r="R37" s="5">
        <f t="shared" si="67"/>
        <v>0.39118999999999998</v>
      </c>
      <c r="S37" s="5">
        <f t="shared" si="68"/>
        <v>27.212678459999999</v>
      </c>
      <c r="T37" s="5">
        <f t="shared" si="69"/>
        <v>1.6327607075999999</v>
      </c>
      <c r="U37" s="5">
        <f t="shared" si="70"/>
        <v>3.7277641726027397</v>
      </c>
      <c r="V37" s="5">
        <f t="shared" si="63"/>
        <v>1.1066438002735886</v>
      </c>
    </row>
    <row r="38" spans="2:22" x14ac:dyDescent="0.3">
      <c r="B38">
        <v>6</v>
      </c>
      <c r="C38">
        <v>-1705.4</v>
      </c>
      <c r="D38">
        <v>222746.8</v>
      </c>
      <c r="E38">
        <v>4428.1000000000004</v>
      </c>
      <c r="F38">
        <f t="shared" si="60"/>
        <v>22.27468</v>
      </c>
      <c r="G38">
        <f t="shared" si="61"/>
        <v>-0.17054</v>
      </c>
      <c r="H38">
        <f t="shared" si="62"/>
        <v>22.445219999999999</v>
      </c>
      <c r="I38">
        <f t="shared" si="64"/>
        <v>0.44281000000000004</v>
      </c>
      <c r="K38" s="67"/>
      <c r="L38" s="3">
        <v>-96.3</v>
      </c>
      <c r="M38" s="5">
        <f t="shared" si="71"/>
        <v>1.9000000000000057</v>
      </c>
      <c r="N38" s="5">
        <f t="shared" si="65"/>
        <v>44.970060517830404</v>
      </c>
      <c r="O38" s="5">
        <f t="shared" si="66"/>
        <v>0.76601060869959436</v>
      </c>
      <c r="P38" s="4">
        <v>4</v>
      </c>
      <c r="Q38" s="5">
        <f t="shared" si="67"/>
        <v>22.445219999999999</v>
      </c>
      <c r="R38" s="5">
        <f t="shared" si="67"/>
        <v>0.44281000000000004</v>
      </c>
      <c r="S38" s="5">
        <f t="shared" si="68"/>
        <v>18.702479564999997</v>
      </c>
      <c r="T38" s="5">
        <f t="shared" si="69"/>
        <v>1.1221487738999998</v>
      </c>
      <c r="U38" s="5">
        <f t="shared" si="70"/>
        <v>2.5619835020547943</v>
      </c>
      <c r="V38" s="5">
        <f t="shared" si="63"/>
        <v>0.76601060869959436</v>
      </c>
    </row>
    <row r="39" spans="2:22" x14ac:dyDescent="0.3">
      <c r="B39">
        <v>7</v>
      </c>
      <c r="C39">
        <v>-700.7</v>
      </c>
      <c r="D39">
        <v>137363.79999999999</v>
      </c>
      <c r="E39">
        <v>4112.5</v>
      </c>
      <c r="F39">
        <f t="shared" si="60"/>
        <v>13.736379999999999</v>
      </c>
      <c r="G39">
        <f t="shared" si="61"/>
        <v>-7.0070000000000007E-2</v>
      </c>
      <c r="H39">
        <f t="shared" si="62"/>
        <v>13.806449999999998</v>
      </c>
      <c r="I39">
        <f t="shared" si="64"/>
        <v>0.41125</v>
      </c>
      <c r="K39" s="67"/>
      <c r="L39" s="3">
        <v>-95.8</v>
      </c>
      <c r="M39" s="5">
        <f t="shared" si="71"/>
        <v>2.4000000000000057</v>
      </c>
      <c r="N39" s="5">
        <f t="shared" si="65"/>
        <v>52.890724234957723</v>
      </c>
      <c r="O39" s="5">
        <f t="shared" si="66"/>
        <v>0.55376142640169557</v>
      </c>
      <c r="P39" s="4">
        <v>4</v>
      </c>
      <c r="Q39" s="5">
        <f t="shared" si="67"/>
        <v>13.806449999999998</v>
      </c>
      <c r="R39" s="5">
        <f t="shared" si="67"/>
        <v>0.41125</v>
      </c>
      <c r="S39" s="5">
        <f t="shared" si="68"/>
        <v>11.5042244625</v>
      </c>
      <c r="T39" s="5">
        <f t="shared" si="69"/>
        <v>0.69025346774999996</v>
      </c>
      <c r="U39" s="5">
        <f t="shared" si="70"/>
        <v>1.5759211592465754</v>
      </c>
      <c r="V39" s="5">
        <f t="shared" si="63"/>
        <v>0.55376142640169557</v>
      </c>
    </row>
    <row r="40" spans="2:22" x14ac:dyDescent="0.3">
      <c r="B40">
        <v>8</v>
      </c>
      <c r="C40">
        <v>3934.1</v>
      </c>
      <c r="D40">
        <v>128196.3</v>
      </c>
      <c r="E40">
        <v>4793.2</v>
      </c>
      <c r="F40">
        <f t="shared" si="60"/>
        <v>12.81963</v>
      </c>
      <c r="G40">
        <f t="shared" si="61"/>
        <v>0.39340999999999998</v>
      </c>
      <c r="H40">
        <f t="shared" si="62"/>
        <v>12.426220000000001</v>
      </c>
      <c r="I40">
        <f t="shared" si="64"/>
        <v>0.47931999999999997</v>
      </c>
      <c r="K40" s="67"/>
      <c r="L40" s="3">
        <v>-95.5</v>
      </c>
      <c r="M40" s="5">
        <f t="shared" si="71"/>
        <v>2.7000000000000028</v>
      </c>
      <c r="N40" s="5">
        <f t="shared" si="65"/>
        <v>57.756125383651771</v>
      </c>
      <c r="O40" s="5">
        <f t="shared" si="66"/>
        <v>0.46439295988135315</v>
      </c>
      <c r="P40" s="4">
        <v>5</v>
      </c>
      <c r="Q40" s="5">
        <f t="shared" si="67"/>
        <v>12.426220000000001</v>
      </c>
      <c r="R40" s="5">
        <f t="shared" si="67"/>
        <v>0.47931999999999997</v>
      </c>
      <c r="S40" s="5">
        <f t="shared" si="68"/>
        <v>8.2833182520000008</v>
      </c>
      <c r="T40" s="5">
        <f t="shared" si="69"/>
        <v>0.49699909512000001</v>
      </c>
      <c r="U40" s="5">
        <f t="shared" si="70"/>
        <v>1.1347011304109591</v>
      </c>
      <c r="V40" s="5">
        <f t="shared" si="63"/>
        <v>0.46439295988135315</v>
      </c>
    </row>
    <row r="41" spans="2:22" x14ac:dyDescent="0.3">
      <c r="B41">
        <v>9</v>
      </c>
      <c r="C41">
        <v>3431.6</v>
      </c>
      <c r="D41">
        <v>147917.6</v>
      </c>
      <c r="E41">
        <v>5812.1</v>
      </c>
      <c r="F41">
        <f t="shared" si="60"/>
        <v>14.79176</v>
      </c>
      <c r="G41">
        <f t="shared" si="61"/>
        <v>0.34315999999999997</v>
      </c>
      <c r="H41">
        <f t="shared" si="62"/>
        <v>14.448600000000001</v>
      </c>
      <c r="I41">
        <f t="shared" si="64"/>
        <v>0.58121</v>
      </c>
      <c r="K41" s="67"/>
      <c r="L41" s="5">
        <v>-95.1</v>
      </c>
      <c r="M41" s="5">
        <f t="shared" si="71"/>
        <v>3.1000000000000085</v>
      </c>
      <c r="N41" s="5">
        <f t="shared" si="65"/>
        <v>64.335352920706185</v>
      </c>
      <c r="O41" s="5">
        <f t="shared" si="66"/>
        <v>0.37426770404311599</v>
      </c>
      <c r="P41" s="4">
        <v>8</v>
      </c>
      <c r="Q41" s="5">
        <f t="shared" si="67"/>
        <v>14.448600000000001</v>
      </c>
      <c r="R41" s="5">
        <f t="shared" si="67"/>
        <v>0.58121</v>
      </c>
      <c r="S41" s="5">
        <f t="shared" si="68"/>
        <v>6.0196479750000007</v>
      </c>
      <c r="T41" s="5">
        <f t="shared" si="69"/>
        <v>0.36117887850000002</v>
      </c>
      <c r="U41" s="5">
        <f t="shared" si="70"/>
        <v>0.82460931164383577</v>
      </c>
      <c r="V41" s="5">
        <f t="shared" si="63"/>
        <v>0.37426770404311599</v>
      </c>
    </row>
    <row r="42" spans="2:22" x14ac:dyDescent="0.3">
      <c r="B42">
        <v>10</v>
      </c>
      <c r="C42">
        <v>1392.2</v>
      </c>
      <c r="D42">
        <v>122218.9</v>
      </c>
      <c r="E42">
        <v>6434.2</v>
      </c>
      <c r="F42">
        <f t="shared" si="60"/>
        <v>12.22189</v>
      </c>
      <c r="G42">
        <f t="shared" si="61"/>
        <v>0.13922000000000001</v>
      </c>
      <c r="H42">
        <f t="shared" si="62"/>
        <v>12.08267</v>
      </c>
      <c r="I42">
        <f t="shared" si="64"/>
        <v>0.64341999999999999</v>
      </c>
      <c r="K42" s="67"/>
      <c r="L42" s="5">
        <v>-94.399999999999991</v>
      </c>
      <c r="M42" s="5">
        <f t="shared" si="71"/>
        <v>3.8000000000000114</v>
      </c>
      <c r="N42" s="5">
        <f t="shared" si="65"/>
        <v>76.025152245972833</v>
      </c>
      <c r="O42" s="5">
        <f t="shared" si="66"/>
        <v>0.26801995585460153</v>
      </c>
      <c r="P42" s="4">
        <v>14</v>
      </c>
      <c r="Q42" s="5">
        <f t="shared" si="67"/>
        <v>12.08267</v>
      </c>
      <c r="R42" s="5">
        <f t="shared" si="67"/>
        <v>0.64341999999999999</v>
      </c>
      <c r="S42" s="5">
        <f t="shared" si="68"/>
        <v>2.876538507857143</v>
      </c>
      <c r="T42" s="5">
        <f t="shared" si="69"/>
        <v>0.17259231047142859</v>
      </c>
      <c r="U42" s="5">
        <f t="shared" si="70"/>
        <v>0.3940463709393347</v>
      </c>
      <c r="V42" s="5">
        <f t="shared" si="63"/>
        <v>0.26801995585460153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60"/>
        <v>0</v>
      </c>
      <c r="G43">
        <f t="shared" si="61"/>
        <v>0</v>
      </c>
      <c r="H43">
        <f t="shared" si="62"/>
        <v>0</v>
      </c>
      <c r="I43">
        <f t="shared" si="64"/>
        <v>0</v>
      </c>
      <c r="K43" s="68"/>
      <c r="L43" s="6">
        <v>-93.3</v>
      </c>
      <c r="M43" s="6">
        <f t="shared" si="71"/>
        <v>4.9000000000000057</v>
      </c>
      <c r="N43" s="6">
        <f t="shared" si="65"/>
        <v>94.671337139281746</v>
      </c>
      <c r="O43" s="6">
        <f t="shared" si="66"/>
        <v>0.17284017847267674</v>
      </c>
      <c r="P43" s="7">
        <v>21</v>
      </c>
      <c r="Q43" s="6">
        <f t="shared" si="67"/>
        <v>0</v>
      </c>
      <c r="R43" s="6">
        <f t="shared" si="67"/>
        <v>0</v>
      </c>
      <c r="S43" s="6">
        <f t="shared" si="68"/>
        <v>0</v>
      </c>
      <c r="T43" s="6">
        <f t="shared" si="69"/>
        <v>0</v>
      </c>
      <c r="U43" s="6">
        <f t="shared" si="70"/>
        <v>0</v>
      </c>
      <c r="V43" s="6">
        <f t="shared" si="63"/>
        <v>0.17284017847267674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22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41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-1065</v>
      </c>
      <c r="D47">
        <v>166783.6</v>
      </c>
      <c r="E47">
        <v>3887</v>
      </c>
      <c r="F47">
        <f t="shared" ref="F47:F57" si="72">D47/10000</f>
        <v>16.678360000000001</v>
      </c>
      <c r="G47">
        <f t="shared" ref="G47:G57" si="73">C47/10000</f>
        <v>-0.1065</v>
      </c>
      <c r="H47">
        <f t="shared" ref="H47:H57" si="74">F47-G47</f>
        <v>16.784860000000002</v>
      </c>
      <c r="I47">
        <f>E47/10000</f>
        <v>0.38869999999999999</v>
      </c>
      <c r="K47" s="66">
        <v>4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2.477615031750708</v>
      </c>
      <c r="P47" s="2">
        <v>3</v>
      </c>
      <c r="Q47" s="8">
        <f>H47</f>
        <v>16.784860000000002</v>
      </c>
      <c r="R47" s="8">
        <f>I47</f>
        <v>0.38869999999999999</v>
      </c>
      <c r="S47" s="8">
        <f>Q47/10^6*$Z$4*$Z$3/P47*10^12</f>
        <v>18.647979460000002</v>
      </c>
      <c r="T47" s="8">
        <f>S47*0.06</f>
        <v>1.1188787676</v>
      </c>
      <c r="U47" s="8">
        <f>S47/$Z$1</f>
        <v>2.5545177342465757</v>
      </c>
      <c r="V47" s="12">
        <f t="shared" ref="V47:V57" si="75">O47</f>
        <v>2.477615031750708</v>
      </c>
    </row>
    <row r="48" spans="2:22" x14ac:dyDescent="0.3">
      <c r="B48">
        <v>2</v>
      </c>
      <c r="C48">
        <v>-440.9</v>
      </c>
      <c r="D48">
        <v>156802.29999999999</v>
      </c>
      <c r="E48">
        <v>3601.8</v>
      </c>
      <c r="F48">
        <f t="shared" si="72"/>
        <v>15.680229999999998</v>
      </c>
      <c r="G48">
        <f t="shared" si="73"/>
        <v>-4.4089999999999997E-2</v>
      </c>
      <c r="H48">
        <f t="shared" si="74"/>
        <v>15.724319999999999</v>
      </c>
      <c r="I48">
        <f t="shared" ref="I48:I57" si="76">E48/10000</f>
        <v>0.36018</v>
      </c>
      <c r="K48" s="67"/>
      <c r="L48" s="3">
        <v>-98</v>
      </c>
      <c r="M48" s="5">
        <f>L48+98.2</f>
        <v>0.20000000000000284</v>
      </c>
      <c r="N48" s="5">
        <f t="shared" ref="N48:N57" si="77">20.56036*SQRT(1+((L48-(-98.58903))*1.03*1095.70644/(3.14159*20.56036^2))^2)</f>
        <v>22.992351577801337</v>
      </c>
      <c r="O48" s="5">
        <f t="shared" ref="O48:O57" si="78">2*$Z$1/$Z$2/PI()/(N48*10^-4)^2/$K$47/$Z$7</f>
        <v>2.1977394726231827</v>
      </c>
      <c r="P48" s="4">
        <v>3</v>
      </c>
      <c r="Q48" s="5">
        <f t="shared" ref="Q48:R57" si="79">H48</f>
        <v>15.724319999999999</v>
      </c>
      <c r="R48" s="5">
        <f t="shared" si="79"/>
        <v>0.36018</v>
      </c>
      <c r="S48" s="5">
        <f t="shared" ref="S48:S57" si="80">Q48/10^6*$Z$4*$Z$3/P48*10^12</f>
        <v>17.469719519999998</v>
      </c>
      <c r="T48" s="5">
        <f t="shared" ref="T48:T57" si="81">S48*0.06</f>
        <v>1.0481831711999998</v>
      </c>
      <c r="U48" s="5">
        <f t="shared" ref="U48:U57" si="82">S48/$Z$1</f>
        <v>2.3931122630136983</v>
      </c>
      <c r="V48" s="5">
        <f t="shared" si="75"/>
        <v>2.1977394726231827</v>
      </c>
    </row>
    <row r="49" spans="2:22" x14ac:dyDescent="0.3">
      <c r="B49">
        <v>3</v>
      </c>
      <c r="C49">
        <v>-4891</v>
      </c>
      <c r="D49">
        <v>149225.5</v>
      </c>
      <c r="E49">
        <v>3394.5</v>
      </c>
      <c r="F49">
        <f t="shared" si="72"/>
        <v>14.922549999999999</v>
      </c>
      <c r="G49">
        <f t="shared" si="73"/>
        <v>-0.48909999999999998</v>
      </c>
      <c r="H49">
        <f t="shared" si="74"/>
        <v>15.41165</v>
      </c>
      <c r="I49">
        <f t="shared" si="76"/>
        <v>0.33944999999999997</v>
      </c>
      <c r="K49" s="67"/>
      <c r="L49" s="3">
        <v>-97.8</v>
      </c>
      <c r="M49" s="5">
        <f t="shared" ref="M49:M57" si="83">L49+98.2</f>
        <v>0.40000000000000568</v>
      </c>
      <c r="N49" s="5">
        <f t="shared" si="77"/>
        <v>24.754552179927092</v>
      </c>
      <c r="O49" s="5">
        <f t="shared" si="78"/>
        <v>1.8959760342683765</v>
      </c>
      <c r="P49" s="4">
        <v>3</v>
      </c>
      <c r="Q49" s="5">
        <f t="shared" si="79"/>
        <v>15.41165</v>
      </c>
      <c r="R49" s="5">
        <f t="shared" si="79"/>
        <v>0.33944999999999997</v>
      </c>
      <c r="S49" s="5">
        <f t="shared" si="80"/>
        <v>17.122343149999999</v>
      </c>
      <c r="T49" s="5">
        <f t="shared" si="81"/>
        <v>1.0273405889999998</v>
      </c>
      <c r="U49" s="5">
        <f t="shared" si="82"/>
        <v>2.3455264589041094</v>
      </c>
      <c r="V49" s="5">
        <f t="shared" si="75"/>
        <v>1.8959760342683765</v>
      </c>
    </row>
    <row r="50" spans="2:22" x14ac:dyDescent="0.3">
      <c r="B50">
        <v>4</v>
      </c>
      <c r="C50">
        <v>-8605</v>
      </c>
      <c r="D50">
        <v>185328.7</v>
      </c>
      <c r="E50">
        <v>3000</v>
      </c>
      <c r="F50">
        <f t="shared" si="72"/>
        <v>18.532870000000003</v>
      </c>
      <c r="G50">
        <f t="shared" si="73"/>
        <v>-0.86050000000000004</v>
      </c>
      <c r="H50">
        <f t="shared" si="74"/>
        <v>19.393370000000004</v>
      </c>
      <c r="I50">
        <f t="shared" si="76"/>
        <v>0.3</v>
      </c>
      <c r="K50" s="67"/>
      <c r="L50" s="3">
        <v>-97.2</v>
      </c>
      <c r="M50" s="5">
        <f t="shared" si="83"/>
        <v>1</v>
      </c>
      <c r="N50" s="5">
        <f t="shared" si="77"/>
        <v>31.807899949628325</v>
      </c>
      <c r="O50" s="5">
        <f t="shared" si="78"/>
        <v>1.1483466252362846</v>
      </c>
      <c r="P50" s="4">
        <v>3</v>
      </c>
      <c r="Q50" s="5">
        <f t="shared" si="79"/>
        <v>19.393370000000004</v>
      </c>
      <c r="R50" s="5">
        <f t="shared" si="79"/>
        <v>0.3</v>
      </c>
      <c r="S50" s="5">
        <f t="shared" si="80"/>
        <v>21.546034070000008</v>
      </c>
      <c r="T50" s="5">
        <f t="shared" si="81"/>
        <v>1.2927620442000005</v>
      </c>
      <c r="U50" s="5">
        <f t="shared" si="82"/>
        <v>2.9515115164383574</v>
      </c>
      <c r="V50" s="5">
        <f t="shared" si="75"/>
        <v>1.1483466252362846</v>
      </c>
    </row>
    <row r="51" spans="2:22" x14ac:dyDescent="0.3">
      <c r="B51">
        <v>5</v>
      </c>
      <c r="C51">
        <v>-7138.1</v>
      </c>
      <c r="D51">
        <v>177892.1</v>
      </c>
      <c r="E51">
        <v>2297.8000000000002</v>
      </c>
      <c r="F51">
        <f t="shared" si="72"/>
        <v>17.789210000000001</v>
      </c>
      <c r="G51">
        <f t="shared" si="73"/>
        <v>-0.71381000000000006</v>
      </c>
      <c r="H51">
        <f t="shared" si="74"/>
        <v>18.503019999999999</v>
      </c>
      <c r="I51">
        <f t="shared" si="76"/>
        <v>0.22978000000000001</v>
      </c>
      <c r="K51" s="67"/>
      <c r="L51" s="3">
        <v>-96.8</v>
      </c>
      <c r="M51" s="5">
        <f t="shared" si="83"/>
        <v>1.4000000000000057</v>
      </c>
      <c r="N51" s="5">
        <f t="shared" si="77"/>
        <v>37.414240753916886</v>
      </c>
      <c r="O51" s="5">
        <f t="shared" si="78"/>
        <v>0.82998285020519136</v>
      </c>
      <c r="P51" s="4">
        <v>3</v>
      </c>
      <c r="Q51" s="5">
        <f t="shared" si="79"/>
        <v>18.503019999999999</v>
      </c>
      <c r="R51" s="5">
        <f t="shared" si="79"/>
        <v>0.22978000000000001</v>
      </c>
      <c r="S51" s="5">
        <f t="shared" si="80"/>
        <v>20.556855220000003</v>
      </c>
      <c r="T51" s="5">
        <f t="shared" si="81"/>
        <v>1.2334113132000002</v>
      </c>
      <c r="U51" s="5">
        <f t="shared" si="82"/>
        <v>2.816007564383562</v>
      </c>
      <c r="V51" s="5">
        <f t="shared" si="75"/>
        <v>0.82998285020519136</v>
      </c>
    </row>
    <row r="52" spans="2:22" x14ac:dyDescent="0.3">
      <c r="B52">
        <v>6</v>
      </c>
      <c r="C52">
        <v>-2982.8</v>
      </c>
      <c r="D52">
        <v>163819.4</v>
      </c>
      <c r="E52">
        <v>3569.4</v>
      </c>
      <c r="F52">
        <f t="shared" si="72"/>
        <v>16.38194</v>
      </c>
      <c r="G52">
        <f t="shared" si="73"/>
        <v>-0.29828000000000005</v>
      </c>
      <c r="H52">
        <f t="shared" si="74"/>
        <v>16.680219999999998</v>
      </c>
      <c r="I52">
        <f t="shared" si="76"/>
        <v>0.35694000000000004</v>
      </c>
      <c r="K52" s="67"/>
      <c r="L52" s="3">
        <v>-96.3</v>
      </c>
      <c r="M52" s="5">
        <f t="shared" si="83"/>
        <v>1.9000000000000057</v>
      </c>
      <c r="N52" s="5">
        <f t="shared" si="77"/>
        <v>44.970060517830404</v>
      </c>
      <c r="O52" s="5">
        <f t="shared" si="78"/>
        <v>0.57450795652469577</v>
      </c>
      <c r="P52" s="4">
        <v>4</v>
      </c>
      <c r="Q52" s="5">
        <f t="shared" si="79"/>
        <v>16.680219999999998</v>
      </c>
      <c r="R52" s="5">
        <f t="shared" si="79"/>
        <v>0.35694000000000004</v>
      </c>
      <c r="S52" s="5">
        <f t="shared" si="80"/>
        <v>13.898793314999997</v>
      </c>
      <c r="T52" s="5">
        <f t="shared" si="81"/>
        <v>0.83392759889999979</v>
      </c>
      <c r="U52" s="5">
        <f t="shared" si="82"/>
        <v>1.903944289726027</v>
      </c>
      <c r="V52" s="5">
        <f t="shared" si="75"/>
        <v>0.57450795652469577</v>
      </c>
    </row>
    <row r="53" spans="2:22" x14ac:dyDescent="0.3">
      <c r="B53">
        <v>7</v>
      </c>
      <c r="C53">
        <v>-5552.5</v>
      </c>
      <c r="D53">
        <v>91653.5</v>
      </c>
      <c r="E53">
        <v>3073.6</v>
      </c>
      <c r="F53">
        <f t="shared" si="72"/>
        <v>9.1653500000000001</v>
      </c>
      <c r="G53">
        <f t="shared" si="73"/>
        <v>-0.55525000000000002</v>
      </c>
      <c r="H53">
        <f t="shared" si="74"/>
        <v>9.720600000000001</v>
      </c>
      <c r="I53">
        <f t="shared" si="76"/>
        <v>0.30735999999999997</v>
      </c>
      <c r="K53" s="67"/>
      <c r="L53" s="3">
        <v>-95.8</v>
      </c>
      <c r="M53" s="5">
        <f t="shared" si="83"/>
        <v>2.4000000000000057</v>
      </c>
      <c r="N53" s="5">
        <f t="shared" si="77"/>
        <v>52.890724234957723</v>
      </c>
      <c r="O53" s="5">
        <f t="shared" si="78"/>
        <v>0.41532106980127165</v>
      </c>
      <c r="P53" s="4">
        <v>4</v>
      </c>
      <c r="Q53" s="5">
        <f t="shared" si="79"/>
        <v>9.720600000000001</v>
      </c>
      <c r="R53" s="5">
        <f t="shared" si="79"/>
        <v>0.30735999999999997</v>
      </c>
      <c r="S53" s="5">
        <f t="shared" si="80"/>
        <v>8.0996899500000019</v>
      </c>
      <c r="T53" s="5">
        <f t="shared" si="81"/>
        <v>0.48598139700000009</v>
      </c>
      <c r="U53" s="5">
        <f t="shared" si="82"/>
        <v>1.1095465684931509</v>
      </c>
      <c r="V53" s="5">
        <f t="shared" si="75"/>
        <v>0.41532106980127165</v>
      </c>
    </row>
    <row r="54" spans="2:22" x14ac:dyDescent="0.3">
      <c r="B54">
        <v>8</v>
      </c>
      <c r="C54">
        <v>1281.0999999999999</v>
      </c>
      <c r="D54">
        <v>76673.7</v>
      </c>
      <c r="E54">
        <v>3424.1</v>
      </c>
      <c r="F54">
        <f t="shared" si="72"/>
        <v>7.66737</v>
      </c>
      <c r="G54">
        <f t="shared" si="73"/>
        <v>0.12811</v>
      </c>
      <c r="H54">
        <f t="shared" si="74"/>
        <v>7.5392599999999996</v>
      </c>
      <c r="I54">
        <f t="shared" si="76"/>
        <v>0.34240999999999999</v>
      </c>
      <c r="K54" s="67"/>
      <c r="L54" s="3">
        <v>-95.5</v>
      </c>
      <c r="M54" s="5">
        <f t="shared" si="83"/>
        <v>2.7000000000000028</v>
      </c>
      <c r="N54" s="5">
        <f t="shared" si="77"/>
        <v>57.756125383651771</v>
      </c>
      <c r="O54" s="5">
        <f t="shared" si="78"/>
        <v>0.34829471991101485</v>
      </c>
      <c r="P54" s="4">
        <v>5</v>
      </c>
      <c r="Q54" s="5">
        <f t="shared" si="79"/>
        <v>7.5392599999999996</v>
      </c>
      <c r="R54" s="5">
        <f t="shared" si="79"/>
        <v>0.34240999999999999</v>
      </c>
      <c r="S54" s="5">
        <f t="shared" si="80"/>
        <v>5.0256707159999996</v>
      </c>
      <c r="T54" s="5">
        <f t="shared" si="81"/>
        <v>0.30154024295999998</v>
      </c>
      <c r="U54" s="5">
        <f t="shared" si="82"/>
        <v>0.68844804328767117</v>
      </c>
      <c r="V54" s="5">
        <f t="shared" si="75"/>
        <v>0.34829471991101485</v>
      </c>
    </row>
    <row r="55" spans="2:22" x14ac:dyDescent="0.3">
      <c r="B55">
        <v>9</v>
      </c>
      <c r="C55">
        <v>1586.4</v>
      </c>
      <c r="D55">
        <v>78642.100000000006</v>
      </c>
      <c r="E55">
        <v>4539.7</v>
      </c>
      <c r="F55">
        <f t="shared" si="72"/>
        <v>7.8642100000000008</v>
      </c>
      <c r="G55">
        <f t="shared" si="73"/>
        <v>0.15864</v>
      </c>
      <c r="H55">
        <f t="shared" si="74"/>
        <v>7.7055700000000007</v>
      </c>
      <c r="I55">
        <f t="shared" si="76"/>
        <v>0.45396999999999998</v>
      </c>
      <c r="K55" s="67"/>
      <c r="L55" s="5">
        <v>-95.1</v>
      </c>
      <c r="M55" s="5">
        <f t="shared" si="83"/>
        <v>3.1000000000000085</v>
      </c>
      <c r="N55" s="5">
        <f t="shared" si="77"/>
        <v>64.335352920706185</v>
      </c>
      <c r="O55" s="5">
        <f t="shared" si="78"/>
        <v>0.28070077803233701</v>
      </c>
      <c r="P55" s="4">
        <v>8</v>
      </c>
      <c r="Q55" s="5">
        <f t="shared" si="79"/>
        <v>7.7055700000000007</v>
      </c>
      <c r="R55" s="5">
        <f t="shared" si="79"/>
        <v>0.45396999999999998</v>
      </c>
      <c r="S55" s="5">
        <f t="shared" si="80"/>
        <v>3.2103331012500007</v>
      </c>
      <c r="T55" s="5">
        <f t="shared" si="81"/>
        <v>0.19261998607500003</v>
      </c>
      <c r="U55" s="5">
        <f t="shared" si="82"/>
        <v>0.43977165770547955</v>
      </c>
      <c r="V55" s="5">
        <f t="shared" si="75"/>
        <v>0.28070077803233701</v>
      </c>
    </row>
    <row r="56" spans="2:22" x14ac:dyDescent="0.3">
      <c r="B56">
        <v>10</v>
      </c>
      <c r="C56">
        <v>2152.3000000000002</v>
      </c>
      <c r="D56">
        <v>12797.4</v>
      </c>
      <c r="E56">
        <v>14279.3</v>
      </c>
      <c r="F56">
        <f t="shared" si="72"/>
        <v>1.2797399999999999</v>
      </c>
      <c r="G56">
        <f t="shared" si="73"/>
        <v>0.21523</v>
      </c>
      <c r="H56">
        <f t="shared" si="74"/>
        <v>1.0645099999999998</v>
      </c>
      <c r="I56">
        <f t="shared" si="76"/>
        <v>1.4279299999999999</v>
      </c>
      <c r="K56" s="67"/>
      <c r="L56" s="5">
        <v>-94.399999999999991</v>
      </c>
      <c r="M56" s="5">
        <f t="shared" si="83"/>
        <v>3.8000000000000114</v>
      </c>
      <c r="N56" s="5">
        <f t="shared" si="77"/>
        <v>76.025152245972833</v>
      </c>
      <c r="O56" s="5">
        <f t="shared" si="78"/>
        <v>0.20101496689095116</v>
      </c>
      <c r="P56" s="4">
        <v>14</v>
      </c>
      <c r="Q56" s="5">
        <f t="shared" si="79"/>
        <v>1.0645099999999998</v>
      </c>
      <c r="R56" s="5">
        <f t="shared" si="79"/>
        <v>1.4279299999999999</v>
      </c>
      <c r="S56" s="5">
        <f t="shared" si="80"/>
        <v>0.25342941642857136</v>
      </c>
      <c r="T56" s="5">
        <f t="shared" si="81"/>
        <v>1.5205764985714281E-2</v>
      </c>
      <c r="U56" s="5">
        <f t="shared" si="82"/>
        <v>3.4716358414872792E-2</v>
      </c>
      <c r="V56" s="5">
        <f t="shared" si="75"/>
        <v>0.20101496689095116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72"/>
        <v>0</v>
      </c>
      <c r="G57">
        <f t="shared" si="73"/>
        <v>0</v>
      </c>
      <c r="H57">
        <f t="shared" si="74"/>
        <v>0</v>
      </c>
      <c r="I57">
        <f t="shared" si="76"/>
        <v>0</v>
      </c>
      <c r="K57" s="68"/>
      <c r="L57" s="6">
        <v>-93.3</v>
      </c>
      <c r="M57" s="6">
        <f t="shared" si="83"/>
        <v>4.9000000000000057</v>
      </c>
      <c r="N57" s="6">
        <f t="shared" si="77"/>
        <v>94.671337139281746</v>
      </c>
      <c r="O57" s="6">
        <f t="shared" si="78"/>
        <v>0.12963013385450756</v>
      </c>
      <c r="P57" s="7">
        <v>21</v>
      </c>
      <c r="Q57" s="6">
        <f t="shared" si="79"/>
        <v>0</v>
      </c>
      <c r="R57" s="6">
        <f t="shared" si="79"/>
        <v>0</v>
      </c>
      <c r="S57" s="6">
        <f t="shared" si="80"/>
        <v>0</v>
      </c>
      <c r="T57" s="6">
        <f t="shared" si="81"/>
        <v>0</v>
      </c>
      <c r="U57" s="6">
        <f t="shared" si="82"/>
        <v>0</v>
      </c>
      <c r="V57" s="6">
        <f t="shared" si="75"/>
        <v>0.12963013385450756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23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41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222.2</v>
      </c>
      <c r="D61">
        <v>324486.7</v>
      </c>
      <c r="E61">
        <v>4658.7</v>
      </c>
      <c r="F61">
        <f t="shared" ref="F61:F71" si="84">D61/10000</f>
        <v>32.44867</v>
      </c>
      <c r="G61">
        <f t="shared" ref="G61:G71" si="85">C61/10000</f>
        <v>2.222E-2</v>
      </c>
      <c r="H61">
        <f t="shared" ref="H61:H71" si="86">F61-G61</f>
        <v>32.426450000000003</v>
      </c>
      <c r="I61">
        <f>E61/10000</f>
        <v>0.46587000000000001</v>
      </c>
      <c r="K61" s="66">
        <v>5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1.9820920254005663</v>
      </c>
      <c r="P61" s="2">
        <v>3</v>
      </c>
      <c r="Q61" s="8">
        <f>H61</f>
        <v>32.426450000000003</v>
      </c>
      <c r="R61" s="8">
        <f>I61</f>
        <v>0.46587000000000001</v>
      </c>
      <c r="S61" s="8">
        <f>Q61/10^6*$Z$4*$Z$3/P61*10^12</f>
        <v>36.02578595</v>
      </c>
      <c r="T61" s="8">
        <f>S61*0.06</f>
        <v>2.1615471569999998</v>
      </c>
      <c r="U61" s="8">
        <f>S61/$Z$1</f>
        <v>4.9350391712328765</v>
      </c>
      <c r="V61" s="12">
        <f t="shared" ref="V61:V71" si="87">O61</f>
        <v>1.9820920254005663</v>
      </c>
    </row>
    <row r="62" spans="2:22" x14ac:dyDescent="0.3">
      <c r="B62">
        <v>2</v>
      </c>
      <c r="C62">
        <v>-5375.6</v>
      </c>
      <c r="D62">
        <v>317401.2</v>
      </c>
      <c r="E62">
        <v>5015.6000000000004</v>
      </c>
      <c r="F62">
        <f t="shared" si="84"/>
        <v>31.740120000000001</v>
      </c>
      <c r="G62">
        <f t="shared" si="85"/>
        <v>-0.53756000000000004</v>
      </c>
      <c r="H62">
        <f t="shared" si="86"/>
        <v>32.277680000000004</v>
      </c>
      <c r="I62">
        <f t="shared" ref="I62:I71" si="88">E62/10000</f>
        <v>0.50156000000000001</v>
      </c>
      <c r="K62" s="67"/>
      <c r="L62" s="3">
        <v>-98</v>
      </c>
      <c r="M62" s="5">
        <f>L62+98.2</f>
        <v>0.20000000000000284</v>
      </c>
      <c r="N62" s="5">
        <f t="shared" ref="N62:N71" si="89">20.56036*SQRT(1+((L62-(-98.58903))*1.03*1095.70644/(3.14159*20.56036^2))^2)</f>
        <v>22.992351577801337</v>
      </c>
      <c r="O62" s="5">
        <f t="shared" ref="O62:O71" si="90">2*$Z$1/$Z$2/PI()/(N62*10^-4)^2/$K$61/$Z$7</f>
        <v>1.7581915780985462</v>
      </c>
      <c r="P62" s="4">
        <v>3</v>
      </c>
      <c r="Q62" s="5">
        <f t="shared" ref="Q62:R71" si="91">H62</f>
        <v>32.277680000000004</v>
      </c>
      <c r="R62" s="5">
        <f t="shared" si="91"/>
        <v>0.50156000000000001</v>
      </c>
      <c r="S62" s="5">
        <f t="shared" ref="S62:S71" si="92">Q62/10^6*$Z$4*$Z$3/P62*10^12</f>
        <v>35.860502480000001</v>
      </c>
      <c r="T62" s="5">
        <f t="shared" ref="T62:T71" si="93">S62*0.06</f>
        <v>2.1516301487999998</v>
      </c>
      <c r="U62" s="5">
        <f t="shared" ref="U62:U71" si="94">S62/$Z$1</f>
        <v>4.9123976000000003</v>
      </c>
      <c r="V62" s="5">
        <f t="shared" si="87"/>
        <v>1.7581915780985462</v>
      </c>
    </row>
    <row r="63" spans="2:22" x14ac:dyDescent="0.3">
      <c r="B63">
        <v>3</v>
      </c>
      <c r="C63">
        <v>-6323.2</v>
      </c>
      <c r="D63">
        <v>302451.20000000001</v>
      </c>
      <c r="E63">
        <v>4143.8</v>
      </c>
      <c r="F63">
        <f t="shared" si="84"/>
        <v>30.24512</v>
      </c>
      <c r="G63">
        <f t="shared" si="85"/>
        <v>-0.63231999999999999</v>
      </c>
      <c r="H63">
        <f t="shared" si="86"/>
        <v>30.87744</v>
      </c>
      <c r="I63">
        <f t="shared" si="88"/>
        <v>0.41438000000000003</v>
      </c>
      <c r="K63" s="67"/>
      <c r="L63" s="3">
        <v>-97.8</v>
      </c>
      <c r="M63" s="5">
        <f t="shared" ref="M63:M71" si="95">L63+98.2</f>
        <v>0.40000000000000568</v>
      </c>
      <c r="N63" s="5">
        <f t="shared" si="89"/>
        <v>24.754552179927092</v>
      </c>
      <c r="O63" s="5">
        <f t="shared" si="90"/>
        <v>1.5167808274147012</v>
      </c>
      <c r="P63" s="4">
        <v>3</v>
      </c>
      <c r="Q63" s="5">
        <f t="shared" si="91"/>
        <v>30.87744</v>
      </c>
      <c r="R63" s="5">
        <f t="shared" si="91"/>
        <v>0.41438000000000003</v>
      </c>
      <c r="S63" s="5">
        <f t="shared" si="92"/>
        <v>34.304835839999996</v>
      </c>
      <c r="T63" s="5">
        <f t="shared" si="93"/>
        <v>2.0582901503999995</v>
      </c>
      <c r="U63" s="5">
        <f t="shared" si="94"/>
        <v>4.6992925808219175</v>
      </c>
      <c r="V63" s="5">
        <f t="shared" si="87"/>
        <v>1.5167808274147012</v>
      </c>
    </row>
    <row r="64" spans="2:22" x14ac:dyDescent="0.3">
      <c r="B64">
        <v>4</v>
      </c>
      <c r="C64">
        <v>-7058.9</v>
      </c>
      <c r="D64">
        <v>222623.4</v>
      </c>
      <c r="E64">
        <v>3646.3</v>
      </c>
      <c r="F64">
        <f t="shared" si="84"/>
        <v>22.262339999999998</v>
      </c>
      <c r="G64">
        <f t="shared" si="85"/>
        <v>-0.70589000000000002</v>
      </c>
      <c r="H64">
        <f t="shared" si="86"/>
        <v>22.968229999999998</v>
      </c>
      <c r="I64">
        <f t="shared" si="88"/>
        <v>0.36463000000000001</v>
      </c>
      <c r="K64" s="67"/>
      <c r="L64" s="3">
        <v>-97.2</v>
      </c>
      <c r="M64" s="5">
        <f t="shared" si="95"/>
        <v>1</v>
      </c>
      <c r="N64" s="5">
        <f t="shared" si="89"/>
        <v>31.807899949628325</v>
      </c>
      <c r="O64" s="5">
        <f t="shared" si="90"/>
        <v>0.91867730018902771</v>
      </c>
      <c r="P64" s="4">
        <v>3</v>
      </c>
      <c r="Q64" s="5">
        <f t="shared" si="91"/>
        <v>22.968229999999998</v>
      </c>
      <c r="R64" s="5">
        <f t="shared" si="91"/>
        <v>0.36463000000000001</v>
      </c>
      <c r="S64" s="5">
        <f t="shared" si="92"/>
        <v>25.517703529999999</v>
      </c>
      <c r="T64" s="5">
        <f t="shared" si="93"/>
        <v>1.5310622117999999</v>
      </c>
      <c r="U64" s="5">
        <f t="shared" si="94"/>
        <v>3.4955758260273972</v>
      </c>
      <c r="V64" s="5">
        <f t="shared" si="87"/>
        <v>0.91867730018902771</v>
      </c>
    </row>
    <row r="65" spans="2:22" x14ac:dyDescent="0.3">
      <c r="B65">
        <v>5</v>
      </c>
      <c r="C65">
        <v>-6556.7</v>
      </c>
      <c r="D65">
        <v>158053.29999999999</v>
      </c>
      <c r="E65">
        <v>2904.4</v>
      </c>
      <c r="F65">
        <f t="shared" si="84"/>
        <v>15.80533</v>
      </c>
      <c r="G65">
        <f t="shared" si="85"/>
        <v>-0.65566999999999998</v>
      </c>
      <c r="H65">
        <f t="shared" si="86"/>
        <v>16.460999999999999</v>
      </c>
      <c r="I65">
        <f t="shared" si="88"/>
        <v>0.29044000000000003</v>
      </c>
      <c r="K65" s="67"/>
      <c r="L65" s="3">
        <v>-96.8</v>
      </c>
      <c r="M65" s="5">
        <f t="shared" si="95"/>
        <v>1.4000000000000057</v>
      </c>
      <c r="N65" s="5">
        <f t="shared" si="89"/>
        <v>37.414240753916886</v>
      </c>
      <c r="O65" s="5">
        <f t="shared" si="90"/>
        <v>0.66398628016415306</v>
      </c>
      <c r="P65" s="4">
        <v>3</v>
      </c>
      <c r="Q65" s="5">
        <f t="shared" si="91"/>
        <v>16.460999999999999</v>
      </c>
      <c r="R65" s="5">
        <f t="shared" si="91"/>
        <v>0.29044000000000003</v>
      </c>
      <c r="S65" s="5">
        <f t="shared" si="92"/>
        <v>18.288170999999995</v>
      </c>
      <c r="T65" s="5">
        <f t="shared" si="93"/>
        <v>1.0972902599999996</v>
      </c>
      <c r="U65" s="5">
        <f t="shared" si="94"/>
        <v>2.5052289041095883</v>
      </c>
      <c r="V65" s="5">
        <f t="shared" si="87"/>
        <v>0.66398628016415306</v>
      </c>
    </row>
    <row r="66" spans="2:22" x14ac:dyDescent="0.3">
      <c r="B66">
        <v>6</v>
      </c>
      <c r="C66">
        <v>-8086.1</v>
      </c>
      <c r="D66">
        <v>115709.9</v>
      </c>
      <c r="E66">
        <v>3976.2</v>
      </c>
      <c r="F66">
        <f t="shared" si="84"/>
        <v>11.57099</v>
      </c>
      <c r="G66">
        <f t="shared" si="85"/>
        <v>-0.80861000000000005</v>
      </c>
      <c r="H66">
        <f t="shared" si="86"/>
        <v>12.3796</v>
      </c>
      <c r="I66">
        <f t="shared" si="88"/>
        <v>0.39761999999999997</v>
      </c>
      <c r="K66" s="67"/>
      <c r="L66" s="3">
        <v>-96.3</v>
      </c>
      <c r="M66" s="5">
        <f t="shared" si="95"/>
        <v>1.9000000000000057</v>
      </c>
      <c r="N66" s="5">
        <f t="shared" si="89"/>
        <v>44.970060517830404</v>
      </c>
      <c r="O66" s="5">
        <f t="shared" si="90"/>
        <v>0.45960636521975662</v>
      </c>
      <c r="P66" s="4">
        <v>4</v>
      </c>
      <c r="Q66" s="5">
        <f t="shared" si="91"/>
        <v>12.3796</v>
      </c>
      <c r="R66" s="5">
        <f t="shared" si="91"/>
        <v>0.39761999999999997</v>
      </c>
      <c r="S66" s="5">
        <f t="shared" si="92"/>
        <v>10.315301699999999</v>
      </c>
      <c r="T66" s="5">
        <f t="shared" si="93"/>
        <v>0.61891810199999997</v>
      </c>
      <c r="U66" s="5">
        <f t="shared" si="94"/>
        <v>1.4130550273972602</v>
      </c>
      <c r="V66" s="5">
        <f t="shared" si="87"/>
        <v>0.45960636521975662</v>
      </c>
    </row>
    <row r="67" spans="2:22" x14ac:dyDescent="0.3">
      <c r="B67">
        <v>7</v>
      </c>
      <c r="C67">
        <v>-3888.8</v>
      </c>
      <c r="D67">
        <v>57023.7</v>
      </c>
      <c r="E67">
        <v>4740.6000000000004</v>
      </c>
      <c r="F67">
        <f t="shared" si="84"/>
        <v>5.7023699999999993</v>
      </c>
      <c r="G67">
        <f t="shared" si="85"/>
        <v>-0.38888</v>
      </c>
      <c r="H67">
        <f t="shared" si="86"/>
        <v>6.0912499999999996</v>
      </c>
      <c r="I67">
        <f t="shared" si="88"/>
        <v>0.47406000000000004</v>
      </c>
      <c r="K67" s="67"/>
      <c r="L67" s="3">
        <v>-95.8</v>
      </c>
      <c r="M67" s="5">
        <f t="shared" si="95"/>
        <v>2.4000000000000057</v>
      </c>
      <c r="N67" s="5">
        <f t="shared" si="89"/>
        <v>52.890724234957723</v>
      </c>
      <c r="O67" s="5">
        <f t="shared" si="90"/>
        <v>0.33225685584101733</v>
      </c>
      <c r="P67" s="4">
        <v>4</v>
      </c>
      <c r="Q67" s="5">
        <f t="shared" si="91"/>
        <v>6.0912499999999996</v>
      </c>
      <c r="R67" s="5">
        <f t="shared" si="91"/>
        <v>0.47406000000000004</v>
      </c>
      <c r="S67" s="5">
        <f t="shared" si="92"/>
        <v>5.0755340624999992</v>
      </c>
      <c r="T67" s="5">
        <f t="shared" si="93"/>
        <v>0.30453204374999993</v>
      </c>
      <c r="U67" s="5">
        <f t="shared" si="94"/>
        <v>0.69527863869863005</v>
      </c>
      <c r="V67" s="5">
        <f t="shared" si="87"/>
        <v>0.33225685584101733</v>
      </c>
    </row>
    <row r="68" spans="2:22" x14ac:dyDescent="0.3">
      <c r="B68">
        <v>8</v>
      </c>
      <c r="C68">
        <v>-6355</v>
      </c>
      <c r="D68">
        <v>47892.3</v>
      </c>
      <c r="E68">
        <v>2491.6999999999998</v>
      </c>
      <c r="F68">
        <f t="shared" si="84"/>
        <v>4.7892299999999999</v>
      </c>
      <c r="G68">
        <f t="shared" si="85"/>
        <v>-0.63549999999999995</v>
      </c>
      <c r="H68">
        <f t="shared" si="86"/>
        <v>5.4247300000000003</v>
      </c>
      <c r="I68">
        <f t="shared" si="88"/>
        <v>0.24916999999999997</v>
      </c>
      <c r="K68" s="67"/>
      <c r="L68" s="3">
        <v>-95.5</v>
      </c>
      <c r="M68" s="5">
        <f t="shared" si="95"/>
        <v>2.7000000000000028</v>
      </c>
      <c r="N68" s="5">
        <f t="shared" si="89"/>
        <v>57.756125383651771</v>
      </c>
      <c r="O68" s="5">
        <f t="shared" si="90"/>
        <v>0.27863577592881189</v>
      </c>
      <c r="P68" s="4">
        <v>5</v>
      </c>
      <c r="Q68" s="5">
        <f t="shared" si="91"/>
        <v>5.4247300000000003</v>
      </c>
      <c r="R68" s="5">
        <f t="shared" si="91"/>
        <v>0.24916999999999997</v>
      </c>
      <c r="S68" s="5">
        <f t="shared" si="92"/>
        <v>3.616125018</v>
      </c>
      <c r="T68" s="5">
        <f t="shared" si="93"/>
        <v>0.21696750107999999</v>
      </c>
      <c r="U68" s="5">
        <f t="shared" si="94"/>
        <v>0.49535959150684933</v>
      </c>
      <c r="V68" s="5">
        <f t="shared" si="87"/>
        <v>0.27863577592881189</v>
      </c>
    </row>
    <row r="69" spans="2:22" x14ac:dyDescent="0.3">
      <c r="B69">
        <v>9</v>
      </c>
      <c r="C69">
        <v>-5774.8</v>
      </c>
      <c r="D69">
        <v>18099.3</v>
      </c>
      <c r="E69">
        <v>6574.9</v>
      </c>
      <c r="F69">
        <f t="shared" si="84"/>
        <v>1.8099299999999998</v>
      </c>
      <c r="G69">
        <f t="shared" si="85"/>
        <v>-0.57747999999999999</v>
      </c>
      <c r="H69">
        <f t="shared" si="86"/>
        <v>2.38741</v>
      </c>
      <c r="I69">
        <f t="shared" si="88"/>
        <v>0.65749000000000002</v>
      </c>
      <c r="K69" s="67"/>
      <c r="L69" s="5">
        <v>-95.1</v>
      </c>
      <c r="M69" s="5">
        <f t="shared" si="95"/>
        <v>3.1000000000000085</v>
      </c>
      <c r="N69" s="5">
        <f t="shared" si="89"/>
        <v>64.335352920706185</v>
      </c>
      <c r="O69" s="5">
        <f t="shared" si="90"/>
        <v>0.2245606224258696</v>
      </c>
      <c r="P69" s="4">
        <v>8</v>
      </c>
      <c r="Q69" s="5">
        <f t="shared" si="91"/>
        <v>2.38741</v>
      </c>
      <c r="R69" s="5">
        <f t="shared" si="91"/>
        <v>0.65749000000000002</v>
      </c>
      <c r="S69" s="5">
        <f t="shared" si="92"/>
        <v>0.99465469124999994</v>
      </c>
      <c r="T69" s="5">
        <f t="shared" si="93"/>
        <v>5.9679281474999991E-2</v>
      </c>
      <c r="U69" s="5">
        <f t="shared" si="94"/>
        <v>0.13625406729452055</v>
      </c>
      <c r="V69" s="5">
        <f t="shared" si="87"/>
        <v>0.2245606224258696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84"/>
        <v>0</v>
      </c>
      <c r="G70">
        <f t="shared" si="85"/>
        <v>0</v>
      </c>
      <c r="H70">
        <f t="shared" si="86"/>
        <v>0</v>
      </c>
      <c r="I70">
        <f t="shared" si="88"/>
        <v>0</v>
      </c>
      <c r="K70" s="67"/>
      <c r="L70" s="5">
        <v>-94.399999999999991</v>
      </c>
      <c r="M70" s="5">
        <f t="shared" si="95"/>
        <v>3.8000000000000114</v>
      </c>
      <c r="N70" s="5">
        <f t="shared" si="89"/>
        <v>76.025152245972833</v>
      </c>
      <c r="O70" s="5">
        <f t="shared" si="90"/>
        <v>0.16081197351276094</v>
      </c>
      <c r="P70" s="4">
        <v>14</v>
      </c>
      <c r="Q70" s="5">
        <f t="shared" si="91"/>
        <v>0</v>
      </c>
      <c r="R70" s="5">
        <f t="shared" si="91"/>
        <v>0</v>
      </c>
      <c r="S70" s="5">
        <f t="shared" si="92"/>
        <v>0</v>
      </c>
      <c r="T70" s="5">
        <f t="shared" si="93"/>
        <v>0</v>
      </c>
      <c r="U70" s="5">
        <f t="shared" si="94"/>
        <v>0</v>
      </c>
      <c r="V70" s="5">
        <f t="shared" si="87"/>
        <v>0.16081197351276094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84"/>
        <v>0</v>
      </c>
      <c r="G71">
        <f t="shared" si="85"/>
        <v>0</v>
      </c>
      <c r="H71">
        <f t="shared" si="86"/>
        <v>0</v>
      </c>
      <c r="I71">
        <f t="shared" si="88"/>
        <v>0</v>
      </c>
      <c r="K71" s="68"/>
      <c r="L71" s="6">
        <v>-93.3</v>
      </c>
      <c r="M71" s="6">
        <f t="shared" si="95"/>
        <v>4.9000000000000057</v>
      </c>
      <c r="N71" s="6">
        <f t="shared" si="89"/>
        <v>94.671337139281746</v>
      </c>
      <c r="O71" s="6">
        <f t="shared" si="90"/>
        <v>0.10370410708360604</v>
      </c>
      <c r="P71" s="7">
        <v>21</v>
      </c>
      <c r="Q71" s="6">
        <f t="shared" si="91"/>
        <v>0</v>
      </c>
      <c r="R71" s="6">
        <f t="shared" si="91"/>
        <v>0</v>
      </c>
      <c r="S71" s="6">
        <f t="shared" si="92"/>
        <v>0</v>
      </c>
      <c r="T71" s="6">
        <f t="shared" si="93"/>
        <v>0</v>
      </c>
      <c r="U71" s="6">
        <f t="shared" si="94"/>
        <v>0</v>
      </c>
      <c r="V71" s="6">
        <f t="shared" si="87"/>
        <v>0.10370410708360604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24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41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-877.9</v>
      </c>
      <c r="D75">
        <v>182535.3</v>
      </c>
      <c r="E75">
        <v>3471.9</v>
      </c>
      <c r="F75">
        <f t="shared" ref="F75:F85" si="96">D75/10000</f>
        <v>18.253529999999998</v>
      </c>
      <c r="G75">
        <f t="shared" ref="G75:G85" si="97">C75/10000</f>
        <v>-8.7789999999999993E-2</v>
      </c>
      <c r="H75">
        <f t="shared" ref="H75:H85" si="98">F75-G75</f>
        <v>18.341319999999996</v>
      </c>
      <c r="I75">
        <f>E75/10000</f>
        <v>0.34719</v>
      </c>
      <c r="K75" s="66">
        <v>6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1.651743354500472</v>
      </c>
      <c r="P75" s="2">
        <v>3</v>
      </c>
      <c r="Q75" s="8">
        <f>H75</f>
        <v>18.341319999999996</v>
      </c>
      <c r="R75" s="8">
        <f>I75</f>
        <v>0.34719</v>
      </c>
      <c r="S75" s="8">
        <f>Q75/10^6*$Z$4*$Z$3/P75*10^12</f>
        <v>20.377206519999994</v>
      </c>
      <c r="T75" s="8">
        <f>S75*0.06</f>
        <v>1.2226323911999997</v>
      </c>
      <c r="U75" s="8">
        <f>S75/$Z$1</f>
        <v>2.791398153424657</v>
      </c>
      <c r="V75" s="12">
        <f t="shared" ref="V75:V85" si="99">O75</f>
        <v>1.651743354500472</v>
      </c>
    </row>
    <row r="76" spans="2:22" x14ac:dyDescent="0.3">
      <c r="B76">
        <v>2</v>
      </c>
      <c r="C76">
        <v>-7933</v>
      </c>
      <c r="D76">
        <v>175204</v>
      </c>
      <c r="E76">
        <v>3161.5</v>
      </c>
      <c r="F76">
        <f t="shared" si="96"/>
        <v>17.520399999999999</v>
      </c>
      <c r="G76">
        <f t="shared" si="97"/>
        <v>-0.79330000000000001</v>
      </c>
      <c r="H76">
        <f t="shared" si="98"/>
        <v>18.313699999999997</v>
      </c>
      <c r="I76">
        <f t="shared" ref="I76:I85" si="100">E76/10000</f>
        <v>0.31614999999999999</v>
      </c>
      <c r="K76" s="67"/>
      <c r="L76" s="3">
        <v>-98</v>
      </c>
      <c r="M76" s="5">
        <f>L76+98.2</f>
        <v>0.20000000000000284</v>
      </c>
      <c r="N76" s="5">
        <f t="shared" ref="N76:N85" si="101">20.56036*SQRT(1+((L76-(-98.58903))*1.03*1095.70644/(3.14159*20.56036^2))^2)</f>
        <v>22.992351577801337</v>
      </c>
      <c r="O76" s="5">
        <f t="shared" ref="O76:O85" si="102">2*$Z$1/$Z$2/PI()/(N76*10^-4)^2/$K$75/$Z$7</f>
        <v>1.4651596484154552</v>
      </c>
      <c r="P76" s="4">
        <v>3</v>
      </c>
      <c r="Q76" s="5">
        <f t="shared" ref="Q76:R85" si="103">H76</f>
        <v>18.313699999999997</v>
      </c>
      <c r="R76" s="5">
        <f t="shared" si="103"/>
        <v>0.31614999999999999</v>
      </c>
      <c r="S76" s="5">
        <f t="shared" ref="S76:S85" si="104">Q76/10^6*$Z$4*$Z$3/P76*10^12</f>
        <v>20.346520699999999</v>
      </c>
      <c r="T76" s="5">
        <f t="shared" ref="T76:T85" si="105">S76*0.06</f>
        <v>1.220791242</v>
      </c>
      <c r="U76" s="5">
        <f t="shared" ref="U76:U85" si="106">S76/$Z$1</f>
        <v>2.7871946164383563</v>
      </c>
      <c r="V76" s="5">
        <f t="shared" si="99"/>
        <v>1.4651596484154552</v>
      </c>
    </row>
    <row r="77" spans="2:22" x14ac:dyDescent="0.3">
      <c r="B77">
        <v>3</v>
      </c>
      <c r="C77">
        <v>-6273.4</v>
      </c>
      <c r="D77">
        <v>165755.4</v>
      </c>
      <c r="E77">
        <v>3059.9</v>
      </c>
      <c r="F77">
        <f t="shared" si="96"/>
        <v>16.57554</v>
      </c>
      <c r="G77">
        <f t="shared" si="97"/>
        <v>-0.62734000000000001</v>
      </c>
      <c r="H77">
        <f t="shared" si="98"/>
        <v>17.20288</v>
      </c>
      <c r="I77">
        <f t="shared" si="100"/>
        <v>0.30598999999999998</v>
      </c>
      <c r="K77" s="67"/>
      <c r="L77" s="3">
        <v>-97.8</v>
      </c>
      <c r="M77" s="5">
        <f t="shared" ref="M77:M85" si="107">L77+98.2</f>
        <v>0.40000000000000568</v>
      </c>
      <c r="N77" s="5">
        <f t="shared" si="101"/>
        <v>24.754552179927092</v>
      </c>
      <c r="O77" s="5">
        <f t="shared" si="102"/>
        <v>1.2639840228455843</v>
      </c>
      <c r="P77" s="4">
        <v>3</v>
      </c>
      <c r="Q77" s="5">
        <f t="shared" si="103"/>
        <v>17.20288</v>
      </c>
      <c r="R77" s="5">
        <f t="shared" si="103"/>
        <v>0.30598999999999998</v>
      </c>
      <c r="S77" s="5">
        <f t="shared" si="104"/>
        <v>19.112399679999999</v>
      </c>
      <c r="T77" s="5">
        <f t="shared" si="105"/>
        <v>1.1467439808</v>
      </c>
      <c r="U77" s="5">
        <f t="shared" si="106"/>
        <v>2.6181369424657532</v>
      </c>
      <c r="V77" s="5">
        <f t="shared" si="99"/>
        <v>1.2639840228455843</v>
      </c>
    </row>
    <row r="78" spans="2:22" x14ac:dyDescent="0.3">
      <c r="B78">
        <v>4</v>
      </c>
      <c r="C78">
        <v>-4951.8</v>
      </c>
      <c r="D78">
        <v>166151.20000000001</v>
      </c>
      <c r="E78">
        <v>2270.1</v>
      </c>
      <c r="F78">
        <f t="shared" si="96"/>
        <v>16.615120000000001</v>
      </c>
      <c r="G78">
        <f t="shared" si="97"/>
        <v>-0.49518000000000001</v>
      </c>
      <c r="H78">
        <f t="shared" si="98"/>
        <v>17.110300000000002</v>
      </c>
      <c r="I78">
        <f t="shared" si="100"/>
        <v>0.22700999999999999</v>
      </c>
      <c r="K78" s="67"/>
      <c r="L78" s="3">
        <v>-97.2</v>
      </c>
      <c r="M78" s="5">
        <f t="shared" si="107"/>
        <v>1</v>
      </c>
      <c r="N78" s="5">
        <f t="shared" si="101"/>
        <v>31.807899949628325</v>
      </c>
      <c r="O78" s="5">
        <f t="shared" si="102"/>
        <v>0.76556441682418974</v>
      </c>
      <c r="P78" s="4">
        <v>3</v>
      </c>
      <c r="Q78" s="5">
        <f t="shared" si="103"/>
        <v>17.110300000000002</v>
      </c>
      <c r="R78" s="5">
        <f t="shared" si="103"/>
        <v>0.22700999999999999</v>
      </c>
      <c r="S78" s="5">
        <f t="shared" si="104"/>
        <v>19.009543300000001</v>
      </c>
      <c r="T78" s="5">
        <f t="shared" si="105"/>
        <v>1.1405725980000001</v>
      </c>
      <c r="U78" s="5">
        <f t="shared" si="106"/>
        <v>2.6040470273972605</v>
      </c>
      <c r="V78" s="5">
        <f t="shared" si="99"/>
        <v>0.76556441682418974</v>
      </c>
    </row>
    <row r="79" spans="2:22" x14ac:dyDescent="0.3">
      <c r="B79">
        <v>5</v>
      </c>
      <c r="C79">
        <v>-6327.6</v>
      </c>
      <c r="D79">
        <v>122954.6</v>
      </c>
      <c r="E79">
        <v>2621</v>
      </c>
      <c r="F79">
        <f t="shared" si="96"/>
        <v>12.29546</v>
      </c>
      <c r="G79">
        <f t="shared" si="97"/>
        <v>-0.63275999999999999</v>
      </c>
      <c r="H79">
        <f t="shared" si="98"/>
        <v>12.92822</v>
      </c>
      <c r="I79">
        <f t="shared" si="100"/>
        <v>0.2621</v>
      </c>
      <c r="K79" s="67"/>
      <c r="L79" s="3">
        <v>-96.8</v>
      </c>
      <c r="M79" s="5">
        <f t="shared" si="107"/>
        <v>1.4000000000000057</v>
      </c>
      <c r="N79" s="5">
        <f t="shared" si="101"/>
        <v>37.414240753916886</v>
      </c>
      <c r="O79" s="5">
        <f t="shared" si="102"/>
        <v>0.55332190013679428</v>
      </c>
      <c r="P79" s="4">
        <v>3</v>
      </c>
      <c r="Q79" s="5">
        <f t="shared" si="103"/>
        <v>12.92822</v>
      </c>
      <c r="R79" s="5">
        <f t="shared" si="103"/>
        <v>0.2621</v>
      </c>
      <c r="S79" s="5">
        <f t="shared" si="104"/>
        <v>14.363252419999998</v>
      </c>
      <c r="T79" s="5">
        <f t="shared" si="105"/>
        <v>0.86179514519999989</v>
      </c>
      <c r="U79" s="5">
        <f t="shared" si="106"/>
        <v>1.967568824657534</v>
      </c>
      <c r="V79" s="5">
        <f t="shared" si="99"/>
        <v>0.55332190013679428</v>
      </c>
    </row>
    <row r="80" spans="2:22" x14ac:dyDescent="0.3">
      <c r="B80">
        <v>6</v>
      </c>
      <c r="C80">
        <v>-4456.6000000000004</v>
      </c>
      <c r="D80">
        <v>80363</v>
      </c>
      <c r="E80">
        <v>3489.6</v>
      </c>
      <c r="F80">
        <f t="shared" si="96"/>
        <v>8.0363000000000007</v>
      </c>
      <c r="G80">
        <f t="shared" si="97"/>
        <v>-0.44566000000000006</v>
      </c>
      <c r="H80">
        <f t="shared" si="98"/>
        <v>8.4819600000000008</v>
      </c>
      <c r="I80">
        <f t="shared" si="100"/>
        <v>0.34895999999999999</v>
      </c>
      <c r="K80" s="67"/>
      <c r="L80" s="3">
        <v>-96.3</v>
      </c>
      <c r="M80" s="5">
        <f t="shared" si="107"/>
        <v>1.9000000000000057</v>
      </c>
      <c r="N80" s="5">
        <f t="shared" si="101"/>
        <v>44.970060517830404</v>
      </c>
      <c r="O80" s="5">
        <f t="shared" si="102"/>
        <v>0.38300530434979718</v>
      </c>
      <c r="P80" s="4">
        <v>4</v>
      </c>
      <c r="Q80" s="5">
        <f t="shared" si="103"/>
        <v>8.4819600000000008</v>
      </c>
      <c r="R80" s="5">
        <f t="shared" si="103"/>
        <v>0.34895999999999999</v>
      </c>
      <c r="S80" s="5">
        <f t="shared" si="104"/>
        <v>7.0675931700000003</v>
      </c>
      <c r="T80" s="5">
        <f t="shared" si="105"/>
        <v>0.4240555902</v>
      </c>
      <c r="U80" s="5">
        <f t="shared" si="106"/>
        <v>0.96816344794520559</v>
      </c>
      <c r="V80" s="5">
        <f t="shared" si="99"/>
        <v>0.38300530434979718</v>
      </c>
    </row>
    <row r="81" spans="2:22" x14ac:dyDescent="0.3">
      <c r="B81">
        <v>7</v>
      </c>
      <c r="C81">
        <v>2063.1999999999998</v>
      </c>
      <c r="D81">
        <v>41778.300000000003</v>
      </c>
      <c r="E81">
        <v>2323.6999999999998</v>
      </c>
      <c r="F81">
        <f t="shared" si="96"/>
        <v>4.1778300000000002</v>
      </c>
      <c r="G81">
        <f t="shared" si="97"/>
        <v>0.20631999999999998</v>
      </c>
      <c r="H81">
        <f t="shared" si="98"/>
        <v>3.9715100000000003</v>
      </c>
      <c r="I81">
        <f t="shared" si="100"/>
        <v>0.23236999999999999</v>
      </c>
      <c r="K81" s="67"/>
      <c r="L81" s="3">
        <v>-95.8</v>
      </c>
      <c r="M81" s="5">
        <f t="shared" si="107"/>
        <v>2.4000000000000057</v>
      </c>
      <c r="N81" s="5">
        <f t="shared" si="101"/>
        <v>52.890724234957723</v>
      </c>
      <c r="O81" s="5">
        <f t="shared" si="102"/>
        <v>0.27688071320084778</v>
      </c>
      <c r="P81" s="4">
        <v>4</v>
      </c>
      <c r="Q81" s="5">
        <f t="shared" si="103"/>
        <v>3.9715100000000003</v>
      </c>
      <c r="R81" s="5">
        <f t="shared" si="103"/>
        <v>0.23236999999999999</v>
      </c>
      <c r="S81" s="5">
        <f t="shared" si="104"/>
        <v>3.3092607075000005</v>
      </c>
      <c r="T81" s="5">
        <f t="shared" si="105"/>
        <v>0.19855564245000001</v>
      </c>
      <c r="U81" s="5">
        <f t="shared" si="106"/>
        <v>0.45332338458904115</v>
      </c>
      <c r="V81" s="5">
        <f t="shared" si="99"/>
        <v>0.27688071320084778</v>
      </c>
    </row>
    <row r="82" spans="2:22" x14ac:dyDescent="0.3">
      <c r="B82">
        <v>8</v>
      </c>
      <c r="C82">
        <v>1124.9000000000001</v>
      </c>
      <c r="D82">
        <v>20062.400000000001</v>
      </c>
      <c r="E82">
        <v>2636.2</v>
      </c>
      <c r="F82">
        <f t="shared" si="96"/>
        <v>2.00624</v>
      </c>
      <c r="G82">
        <f t="shared" si="97"/>
        <v>0.11249000000000001</v>
      </c>
      <c r="H82">
        <f t="shared" si="98"/>
        <v>1.89375</v>
      </c>
      <c r="I82">
        <f t="shared" si="100"/>
        <v>0.26361999999999997</v>
      </c>
      <c r="K82" s="67"/>
      <c r="L82" s="3">
        <v>-95.5</v>
      </c>
      <c r="M82" s="5">
        <f t="shared" si="107"/>
        <v>2.7000000000000028</v>
      </c>
      <c r="N82" s="5">
        <f t="shared" si="101"/>
        <v>57.756125383651771</v>
      </c>
      <c r="O82" s="5">
        <f t="shared" si="102"/>
        <v>0.23219647994067658</v>
      </c>
      <c r="P82" s="4">
        <v>5</v>
      </c>
      <c r="Q82" s="5">
        <f t="shared" si="103"/>
        <v>1.89375</v>
      </c>
      <c r="R82" s="5">
        <f t="shared" si="103"/>
        <v>0.26361999999999997</v>
      </c>
      <c r="S82" s="5">
        <f t="shared" si="104"/>
        <v>1.2623737500000001</v>
      </c>
      <c r="T82" s="5">
        <f t="shared" si="105"/>
        <v>7.5742425000000002E-2</v>
      </c>
      <c r="U82" s="5">
        <f t="shared" si="106"/>
        <v>0.17292791095890411</v>
      </c>
      <c r="V82" s="5">
        <f t="shared" si="99"/>
        <v>0.23219647994067658</v>
      </c>
    </row>
    <row r="83" spans="2:22" x14ac:dyDescent="0.3">
      <c r="B83">
        <v>9</v>
      </c>
      <c r="C83">
        <v>0</v>
      </c>
      <c r="D83">
        <v>0</v>
      </c>
      <c r="E83">
        <v>0</v>
      </c>
      <c r="F83">
        <f t="shared" si="96"/>
        <v>0</v>
      </c>
      <c r="G83">
        <f t="shared" si="97"/>
        <v>0</v>
      </c>
      <c r="H83">
        <f t="shared" si="98"/>
        <v>0</v>
      </c>
      <c r="I83">
        <f t="shared" si="100"/>
        <v>0</v>
      </c>
      <c r="K83" s="67"/>
      <c r="L83" s="5">
        <v>-95.1</v>
      </c>
      <c r="M83" s="5">
        <f t="shared" si="107"/>
        <v>3.1000000000000085</v>
      </c>
      <c r="N83" s="5">
        <f t="shared" si="101"/>
        <v>64.335352920706185</v>
      </c>
      <c r="O83" s="5">
        <f t="shared" si="102"/>
        <v>0.18713385202155799</v>
      </c>
      <c r="P83" s="4">
        <v>8</v>
      </c>
      <c r="Q83" s="5">
        <f t="shared" si="103"/>
        <v>0</v>
      </c>
      <c r="R83" s="5">
        <f t="shared" si="103"/>
        <v>0</v>
      </c>
      <c r="S83" s="5">
        <f t="shared" si="104"/>
        <v>0</v>
      </c>
      <c r="T83" s="5">
        <f t="shared" si="105"/>
        <v>0</v>
      </c>
      <c r="U83" s="5">
        <f t="shared" si="106"/>
        <v>0</v>
      </c>
      <c r="V83" s="5">
        <f t="shared" si="99"/>
        <v>0.18713385202155799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96"/>
        <v>0</v>
      </c>
      <c r="G84">
        <f t="shared" si="97"/>
        <v>0</v>
      </c>
      <c r="H84">
        <f t="shared" si="98"/>
        <v>0</v>
      </c>
      <c r="I84">
        <f t="shared" si="100"/>
        <v>0</v>
      </c>
      <c r="K84" s="67"/>
      <c r="L84" s="5">
        <v>-94.399999999999991</v>
      </c>
      <c r="M84" s="5">
        <f t="shared" si="107"/>
        <v>3.8000000000000114</v>
      </c>
      <c r="N84" s="5">
        <f t="shared" si="101"/>
        <v>76.025152245972833</v>
      </c>
      <c r="O84" s="5">
        <f t="shared" si="102"/>
        <v>0.13400997792730077</v>
      </c>
      <c r="P84" s="4">
        <v>14</v>
      </c>
      <c r="Q84" s="5">
        <f t="shared" si="103"/>
        <v>0</v>
      </c>
      <c r="R84" s="5">
        <f t="shared" si="103"/>
        <v>0</v>
      </c>
      <c r="S84" s="5">
        <f t="shared" si="104"/>
        <v>0</v>
      </c>
      <c r="T84" s="5">
        <f t="shared" si="105"/>
        <v>0</v>
      </c>
      <c r="U84" s="5">
        <f t="shared" si="106"/>
        <v>0</v>
      </c>
      <c r="V84" s="5">
        <f t="shared" si="99"/>
        <v>0.13400997792730077</v>
      </c>
    </row>
    <row r="85" spans="2:22" ht="15" thickBot="1" x14ac:dyDescent="0.35">
      <c r="B85">
        <v>11</v>
      </c>
      <c r="C85">
        <v>0</v>
      </c>
      <c r="D85">
        <v>0</v>
      </c>
      <c r="F85">
        <f t="shared" si="96"/>
        <v>0</v>
      </c>
      <c r="G85">
        <f t="shared" si="97"/>
        <v>0</v>
      </c>
      <c r="H85">
        <f t="shared" si="98"/>
        <v>0</v>
      </c>
      <c r="I85">
        <f t="shared" si="100"/>
        <v>0</v>
      </c>
      <c r="K85" s="68"/>
      <c r="L85" s="6">
        <v>-93.3</v>
      </c>
      <c r="M85" s="6">
        <f t="shared" si="107"/>
        <v>4.9000000000000057</v>
      </c>
      <c r="N85" s="6">
        <f t="shared" si="101"/>
        <v>94.671337139281746</v>
      </c>
      <c r="O85" s="6">
        <f t="shared" si="102"/>
        <v>8.6420089236338371E-2</v>
      </c>
      <c r="P85" s="7">
        <v>21</v>
      </c>
      <c r="Q85" s="6">
        <f t="shared" si="103"/>
        <v>0</v>
      </c>
      <c r="R85" s="6">
        <f t="shared" si="103"/>
        <v>0</v>
      </c>
      <c r="S85" s="6">
        <f t="shared" si="104"/>
        <v>0</v>
      </c>
      <c r="T85" s="6">
        <f t="shared" si="105"/>
        <v>0</v>
      </c>
      <c r="U85" s="6">
        <f t="shared" si="106"/>
        <v>0</v>
      </c>
      <c r="V85" s="6">
        <f t="shared" si="99"/>
        <v>8.6420089236338371E-2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25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41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-2083.8000000000002</v>
      </c>
      <c r="D89">
        <v>265825.5</v>
      </c>
      <c r="E89">
        <v>6881.7</v>
      </c>
      <c r="F89">
        <f t="shared" ref="F89:F99" si="108">D89/10000</f>
        <v>26.582550000000001</v>
      </c>
      <c r="G89">
        <f t="shared" ref="G89:G99" si="109">C89/10000</f>
        <v>-0.20838000000000001</v>
      </c>
      <c r="H89">
        <f t="shared" ref="H89:H99" si="110">F89-G89</f>
        <v>26.790930000000003</v>
      </c>
      <c r="I89">
        <f>E89/10000</f>
        <v>0.68816999999999995</v>
      </c>
      <c r="K89" s="66">
        <v>7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1.4157800181432616</v>
      </c>
      <c r="P89" s="2">
        <v>3</v>
      </c>
      <c r="Q89" s="8">
        <f>H89</f>
        <v>26.790930000000003</v>
      </c>
      <c r="R89" s="8">
        <f>I89</f>
        <v>0.68816999999999995</v>
      </c>
      <c r="S89" s="8">
        <f>Q89/10^6*$Z$4*$Z$3/P89*10^12</f>
        <v>29.764723230000008</v>
      </c>
      <c r="T89" s="8">
        <f>S89*0.06</f>
        <v>1.7858833938000005</v>
      </c>
      <c r="U89" s="8">
        <f>S89/$Z$1</f>
        <v>4.0773593465753439</v>
      </c>
      <c r="V89" s="12">
        <f t="shared" ref="V89:V99" si="111">O89</f>
        <v>1.4157800181432616</v>
      </c>
    </row>
    <row r="90" spans="2:22" x14ac:dyDescent="0.3">
      <c r="B90">
        <v>2</v>
      </c>
      <c r="C90">
        <v>-7331.8</v>
      </c>
      <c r="D90">
        <v>266932.09999999998</v>
      </c>
      <c r="E90">
        <v>4558.8999999999996</v>
      </c>
      <c r="F90">
        <f t="shared" si="108"/>
        <v>26.693209999999997</v>
      </c>
      <c r="G90">
        <f t="shared" si="109"/>
        <v>-0.73318000000000005</v>
      </c>
      <c r="H90">
        <f t="shared" si="110"/>
        <v>27.426389999999998</v>
      </c>
      <c r="I90">
        <f t="shared" ref="I90:I99" si="112">E90/10000</f>
        <v>0.45588999999999996</v>
      </c>
      <c r="K90" s="67"/>
      <c r="L90" s="3">
        <v>-98</v>
      </c>
      <c r="M90" s="5">
        <f>L90+98.2</f>
        <v>0.20000000000000284</v>
      </c>
      <c r="N90" s="5">
        <f t="shared" ref="N90:N99" si="113">20.56036*SQRT(1+((L90-(-98.58903))*1.03*1095.70644/(3.14159*20.56036^2))^2)</f>
        <v>22.992351577801337</v>
      </c>
      <c r="O90" s="5">
        <f t="shared" ref="O90:O99" si="114">2*$Z$1/$Z$2/PI()/(N90*10^-4)^2/$K$89/$Z$7</f>
        <v>1.2558511272132473</v>
      </c>
      <c r="P90" s="4">
        <v>3</v>
      </c>
      <c r="Q90" s="5">
        <f t="shared" ref="Q90:R99" si="115">H90</f>
        <v>27.426389999999998</v>
      </c>
      <c r="R90" s="5">
        <f t="shared" si="115"/>
        <v>0.45588999999999996</v>
      </c>
      <c r="S90" s="5">
        <f t="shared" ref="S90:S99" si="116">Q90/10^6*$Z$4*$Z$3/P90*10^12</f>
        <v>30.470719289999998</v>
      </c>
      <c r="T90" s="5">
        <f t="shared" ref="T90:T99" si="117">S90*0.06</f>
        <v>1.8282431573999998</v>
      </c>
      <c r="U90" s="5">
        <f t="shared" ref="U90:U99" si="118">S90/$Z$1</f>
        <v>4.1740711356164386</v>
      </c>
      <c r="V90" s="5">
        <f t="shared" si="111"/>
        <v>1.2558511272132473</v>
      </c>
    </row>
    <row r="91" spans="2:22" x14ac:dyDescent="0.3">
      <c r="B91">
        <v>3</v>
      </c>
      <c r="C91">
        <v>-6542.8</v>
      </c>
      <c r="D91">
        <v>245961.1</v>
      </c>
      <c r="E91">
        <v>5915</v>
      </c>
      <c r="F91">
        <f t="shared" si="108"/>
        <v>24.596109999999999</v>
      </c>
      <c r="G91">
        <f t="shared" si="109"/>
        <v>-0.65427999999999997</v>
      </c>
      <c r="H91">
        <f t="shared" si="110"/>
        <v>25.250389999999999</v>
      </c>
      <c r="I91">
        <f t="shared" si="112"/>
        <v>0.59150000000000003</v>
      </c>
      <c r="K91" s="67"/>
      <c r="L91" s="3">
        <v>-97.8</v>
      </c>
      <c r="M91" s="5">
        <f t="shared" ref="M91:M99" si="119">L91+98.2</f>
        <v>0.40000000000000568</v>
      </c>
      <c r="N91" s="5">
        <f t="shared" si="113"/>
        <v>24.754552179927092</v>
      </c>
      <c r="O91" s="5">
        <f t="shared" si="114"/>
        <v>1.0834148767247866</v>
      </c>
      <c r="P91" s="4">
        <v>3</v>
      </c>
      <c r="Q91" s="5">
        <f t="shared" si="115"/>
        <v>25.250389999999999</v>
      </c>
      <c r="R91" s="5">
        <f t="shared" si="115"/>
        <v>0.59150000000000003</v>
      </c>
      <c r="S91" s="5">
        <f t="shared" si="116"/>
        <v>28.05318329</v>
      </c>
      <c r="T91" s="5">
        <f t="shared" si="117"/>
        <v>1.6831909973999999</v>
      </c>
      <c r="U91" s="5">
        <f t="shared" si="118"/>
        <v>3.842901820547945</v>
      </c>
      <c r="V91" s="5">
        <f t="shared" si="111"/>
        <v>1.0834148767247866</v>
      </c>
    </row>
    <row r="92" spans="2:22" x14ac:dyDescent="0.3">
      <c r="B92">
        <v>4</v>
      </c>
      <c r="C92">
        <v>-6080.8</v>
      </c>
      <c r="D92">
        <v>166309.6</v>
      </c>
      <c r="E92">
        <v>2524.3000000000002</v>
      </c>
      <c r="F92">
        <f t="shared" si="108"/>
        <v>16.630960000000002</v>
      </c>
      <c r="G92">
        <f t="shared" si="109"/>
        <v>-0.60808000000000006</v>
      </c>
      <c r="H92">
        <f t="shared" si="110"/>
        <v>17.239040000000003</v>
      </c>
      <c r="I92">
        <f t="shared" si="112"/>
        <v>0.25243000000000004</v>
      </c>
      <c r="K92" s="67"/>
      <c r="L92" s="3">
        <v>-97.2</v>
      </c>
      <c r="M92" s="5">
        <f t="shared" si="119"/>
        <v>1</v>
      </c>
      <c r="N92" s="5">
        <f t="shared" si="113"/>
        <v>31.807899949628325</v>
      </c>
      <c r="O92" s="5">
        <f t="shared" si="114"/>
        <v>0.65619807156359122</v>
      </c>
      <c r="P92" s="4">
        <v>3</v>
      </c>
      <c r="Q92" s="5">
        <f t="shared" si="115"/>
        <v>17.239040000000003</v>
      </c>
      <c r="R92" s="5">
        <f t="shared" si="115"/>
        <v>0.25243000000000004</v>
      </c>
      <c r="S92" s="5">
        <f t="shared" si="116"/>
        <v>19.152573440000005</v>
      </c>
      <c r="T92" s="5">
        <f t="shared" si="117"/>
        <v>1.1491544064000003</v>
      </c>
      <c r="U92" s="5">
        <f t="shared" si="118"/>
        <v>2.6236401972602748</v>
      </c>
      <c r="V92" s="5">
        <f t="shared" si="111"/>
        <v>0.65619807156359122</v>
      </c>
    </row>
    <row r="93" spans="2:22" x14ac:dyDescent="0.3">
      <c r="B93">
        <v>5</v>
      </c>
      <c r="C93">
        <v>-8200.7000000000007</v>
      </c>
      <c r="D93">
        <v>90633.600000000006</v>
      </c>
      <c r="E93">
        <v>3458</v>
      </c>
      <c r="F93">
        <f t="shared" si="108"/>
        <v>9.0633600000000012</v>
      </c>
      <c r="G93">
        <f t="shared" si="109"/>
        <v>-0.82007000000000008</v>
      </c>
      <c r="H93">
        <f t="shared" si="110"/>
        <v>9.8834300000000006</v>
      </c>
      <c r="I93">
        <f t="shared" si="112"/>
        <v>0.3458</v>
      </c>
      <c r="K93" s="67"/>
      <c r="L93" s="3">
        <v>-96.8</v>
      </c>
      <c r="M93" s="5">
        <f t="shared" si="119"/>
        <v>1.4000000000000057</v>
      </c>
      <c r="N93" s="5">
        <f t="shared" si="113"/>
        <v>37.414240753916886</v>
      </c>
      <c r="O93" s="5">
        <f t="shared" si="114"/>
        <v>0.47427591440296651</v>
      </c>
      <c r="P93" s="4">
        <v>3</v>
      </c>
      <c r="Q93" s="5">
        <f t="shared" si="115"/>
        <v>9.8834300000000006</v>
      </c>
      <c r="R93" s="5">
        <f t="shared" si="115"/>
        <v>0.3458</v>
      </c>
      <c r="S93" s="5">
        <f t="shared" si="116"/>
        <v>10.980490730000003</v>
      </c>
      <c r="T93" s="5">
        <f t="shared" si="117"/>
        <v>0.65882944380000019</v>
      </c>
      <c r="U93" s="5">
        <f t="shared" si="118"/>
        <v>1.5041768123287675</v>
      </c>
      <c r="V93" s="5">
        <f t="shared" si="111"/>
        <v>0.47427591440296651</v>
      </c>
    </row>
    <row r="94" spans="2:22" x14ac:dyDescent="0.3">
      <c r="B94">
        <v>6</v>
      </c>
      <c r="C94">
        <v>-8486.1</v>
      </c>
      <c r="D94">
        <v>52815.7</v>
      </c>
      <c r="E94">
        <v>3541</v>
      </c>
      <c r="F94">
        <f t="shared" si="108"/>
        <v>5.2815699999999994</v>
      </c>
      <c r="G94">
        <f t="shared" si="109"/>
        <v>-0.84861000000000009</v>
      </c>
      <c r="H94">
        <f t="shared" si="110"/>
        <v>6.1301799999999993</v>
      </c>
      <c r="I94">
        <f t="shared" si="112"/>
        <v>0.35410000000000003</v>
      </c>
      <c r="K94" s="67"/>
      <c r="L94" s="3">
        <v>-96.3</v>
      </c>
      <c r="M94" s="5">
        <f t="shared" si="119"/>
        <v>1.9000000000000057</v>
      </c>
      <c r="N94" s="5">
        <f t="shared" si="113"/>
        <v>44.970060517830404</v>
      </c>
      <c r="O94" s="5">
        <f t="shared" si="114"/>
        <v>0.32829026087125474</v>
      </c>
      <c r="P94" s="4">
        <v>4</v>
      </c>
      <c r="Q94" s="5">
        <f t="shared" si="115"/>
        <v>6.1301799999999993</v>
      </c>
      <c r="R94" s="5">
        <f t="shared" si="115"/>
        <v>0.35410000000000003</v>
      </c>
      <c r="S94" s="5">
        <f t="shared" si="116"/>
        <v>5.1079724850000003</v>
      </c>
      <c r="T94" s="5">
        <f t="shared" si="117"/>
        <v>0.30647834909999999</v>
      </c>
      <c r="U94" s="5">
        <f t="shared" si="118"/>
        <v>0.69972225821917811</v>
      </c>
      <c r="V94" s="5">
        <f t="shared" si="111"/>
        <v>0.32829026087125474</v>
      </c>
    </row>
    <row r="95" spans="2:22" x14ac:dyDescent="0.3">
      <c r="B95">
        <v>7</v>
      </c>
      <c r="C95">
        <v>-4113.3999999999996</v>
      </c>
      <c r="D95">
        <v>22075.8</v>
      </c>
      <c r="E95">
        <v>8926</v>
      </c>
      <c r="F95">
        <f t="shared" si="108"/>
        <v>2.2075800000000001</v>
      </c>
      <c r="G95">
        <f t="shared" si="109"/>
        <v>-0.41133999999999998</v>
      </c>
      <c r="H95">
        <f t="shared" si="110"/>
        <v>2.6189200000000001</v>
      </c>
      <c r="I95">
        <f t="shared" si="112"/>
        <v>0.89259999999999995</v>
      </c>
      <c r="K95" s="67"/>
      <c r="L95" s="3">
        <v>-95.8</v>
      </c>
      <c r="M95" s="5">
        <f t="shared" si="119"/>
        <v>2.4000000000000057</v>
      </c>
      <c r="N95" s="5">
        <f t="shared" si="113"/>
        <v>52.890724234957723</v>
      </c>
      <c r="O95" s="5">
        <f t="shared" si="114"/>
        <v>0.23732632560072667</v>
      </c>
      <c r="P95" s="4">
        <v>4</v>
      </c>
      <c r="Q95" s="5">
        <f t="shared" si="115"/>
        <v>2.6189200000000001</v>
      </c>
      <c r="R95" s="5">
        <f t="shared" si="115"/>
        <v>0.89259999999999995</v>
      </c>
      <c r="S95" s="5">
        <f t="shared" si="116"/>
        <v>2.1822150900000001</v>
      </c>
      <c r="T95" s="5">
        <f t="shared" si="117"/>
        <v>0.13093290539999999</v>
      </c>
      <c r="U95" s="5">
        <f t="shared" si="118"/>
        <v>0.29893357397260278</v>
      </c>
      <c r="V95" s="5">
        <f t="shared" si="111"/>
        <v>0.23732632560072667</v>
      </c>
    </row>
    <row r="96" spans="2:22" x14ac:dyDescent="0.3">
      <c r="B96">
        <v>8</v>
      </c>
      <c r="C96">
        <v>0</v>
      </c>
      <c r="D96">
        <v>0</v>
      </c>
      <c r="E96">
        <v>0</v>
      </c>
      <c r="F96">
        <f t="shared" si="108"/>
        <v>0</v>
      </c>
      <c r="G96">
        <f t="shared" si="109"/>
        <v>0</v>
      </c>
      <c r="H96">
        <f t="shared" si="110"/>
        <v>0</v>
      </c>
      <c r="I96">
        <f t="shared" si="112"/>
        <v>0</v>
      </c>
      <c r="K96" s="67"/>
      <c r="L96" s="3">
        <v>-95.5</v>
      </c>
      <c r="M96" s="5">
        <f t="shared" si="119"/>
        <v>2.7000000000000028</v>
      </c>
      <c r="N96" s="5">
        <f t="shared" si="113"/>
        <v>57.756125383651771</v>
      </c>
      <c r="O96" s="5">
        <f t="shared" si="114"/>
        <v>0.19902555423486562</v>
      </c>
      <c r="P96" s="4">
        <v>5</v>
      </c>
      <c r="Q96" s="5">
        <f t="shared" si="115"/>
        <v>0</v>
      </c>
      <c r="R96" s="5">
        <f t="shared" si="115"/>
        <v>0</v>
      </c>
      <c r="S96" s="5">
        <f t="shared" si="116"/>
        <v>0</v>
      </c>
      <c r="T96" s="5">
        <f t="shared" si="117"/>
        <v>0</v>
      </c>
      <c r="U96" s="5">
        <f t="shared" si="118"/>
        <v>0</v>
      </c>
      <c r="V96" s="5">
        <f t="shared" si="111"/>
        <v>0.19902555423486562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08"/>
        <v>0</v>
      </c>
      <c r="G97">
        <f t="shared" si="109"/>
        <v>0</v>
      </c>
      <c r="H97">
        <f t="shared" si="110"/>
        <v>0</v>
      </c>
      <c r="I97">
        <f t="shared" si="112"/>
        <v>0</v>
      </c>
      <c r="K97" s="67"/>
      <c r="L97" s="5">
        <v>-95.1</v>
      </c>
      <c r="M97" s="5">
        <f t="shared" si="119"/>
        <v>3.1000000000000085</v>
      </c>
      <c r="N97" s="5">
        <f t="shared" si="113"/>
        <v>64.335352920706185</v>
      </c>
      <c r="O97" s="5">
        <f t="shared" si="114"/>
        <v>0.16040044458990685</v>
      </c>
      <c r="P97" s="4">
        <v>8</v>
      </c>
      <c r="Q97" s="5">
        <f t="shared" si="115"/>
        <v>0</v>
      </c>
      <c r="R97" s="5">
        <f t="shared" si="115"/>
        <v>0</v>
      </c>
      <c r="S97" s="5">
        <f t="shared" si="116"/>
        <v>0</v>
      </c>
      <c r="T97" s="5">
        <f t="shared" si="117"/>
        <v>0</v>
      </c>
      <c r="U97" s="5">
        <f t="shared" si="118"/>
        <v>0</v>
      </c>
      <c r="V97" s="5">
        <f t="shared" si="111"/>
        <v>0.16040044458990685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08"/>
        <v>0</v>
      </c>
      <c r="G98">
        <f t="shared" si="109"/>
        <v>0</v>
      </c>
      <c r="H98">
        <f t="shared" si="110"/>
        <v>0</v>
      </c>
      <c r="I98">
        <f t="shared" si="112"/>
        <v>0</v>
      </c>
      <c r="K98" s="67"/>
      <c r="L98" s="5">
        <v>-94.399999999999991</v>
      </c>
      <c r="M98" s="5">
        <f t="shared" si="119"/>
        <v>3.8000000000000114</v>
      </c>
      <c r="N98" s="5">
        <f t="shared" si="113"/>
        <v>76.025152245972833</v>
      </c>
      <c r="O98" s="5">
        <f t="shared" si="114"/>
        <v>0.11486569536625781</v>
      </c>
      <c r="P98" s="4">
        <v>14</v>
      </c>
      <c r="Q98" s="5">
        <f t="shared" si="115"/>
        <v>0</v>
      </c>
      <c r="R98" s="5">
        <f t="shared" si="115"/>
        <v>0</v>
      </c>
      <c r="S98" s="5">
        <f t="shared" si="116"/>
        <v>0</v>
      </c>
      <c r="T98" s="5">
        <f t="shared" si="117"/>
        <v>0</v>
      </c>
      <c r="U98" s="5">
        <f t="shared" si="118"/>
        <v>0</v>
      </c>
      <c r="V98" s="5">
        <f t="shared" si="111"/>
        <v>0.11486569536625781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08"/>
        <v>0</v>
      </c>
      <c r="G99">
        <f t="shared" si="109"/>
        <v>0</v>
      </c>
      <c r="H99">
        <f t="shared" si="110"/>
        <v>0</v>
      </c>
      <c r="I99">
        <f t="shared" si="112"/>
        <v>0</v>
      </c>
      <c r="K99" s="68"/>
      <c r="L99" s="6">
        <v>-93.3</v>
      </c>
      <c r="M99" s="6">
        <f t="shared" si="119"/>
        <v>4.9000000000000057</v>
      </c>
      <c r="N99" s="6">
        <f t="shared" si="113"/>
        <v>94.671337139281746</v>
      </c>
      <c r="O99" s="6">
        <f t="shared" si="114"/>
        <v>7.4074362202575753E-2</v>
      </c>
      <c r="P99" s="7">
        <v>21</v>
      </c>
      <c r="Q99" s="6">
        <f t="shared" si="115"/>
        <v>0</v>
      </c>
      <c r="R99" s="6">
        <f t="shared" si="115"/>
        <v>0</v>
      </c>
      <c r="S99" s="6">
        <f t="shared" si="116"/>
        <v>0</v>
      </c>
      <c r="T99" s="6">
        <f t="shared" si="117"/>
        <v>0</v>
      </c>
      <c r="U99" s="6">
        <f t="shared" si="118"/>
        <v>0</v>
      </c>
      <c r="V99" s="6">
        <f t="shared" si="111"/>
        <v>7.4074362202575753E-2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26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41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-3313</v>
      </c>
      <c r="D103">
        <v>196055</v>
      </c>
      <c r="E103">
        <v>3898.7</v>
      </c>
      <c r="F103">
        <f t="shared" ref="F103:F113" si="120">D103/10000</f>
        <v>19.605499999999999</v>
      </c>
      <c r="G103">
        <f t="shared" ref="G103:G113" si="121">C103/10000</f>
        <v>-0.33129999999999998</v>
      </c>
      <c r="H103">
        <f t="shared" ref="H103:H113" si="122">F103-G103</f>
        <v>19.936799999999998</v>
      </c>
      <c r="I103">
        <f>E103/10000</f>
        <v>0.38986999999999999</v>
      </c>
      <c r="K103" s="66">
        <v>8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1.238807515875354</v>
      </c>
      <c r="P103" s="2">
        <v>3</v>
      </c>
      <c r="Q103" s="8">
        <f t="shared" ref="Q103:Q113" si="123">H103</f>
        <v>19.936799999999998</v>
      </c>
      <c r="R103" s="8">
        <f t="shared" ref="R103:R113" si="124">I103</f>
        <v>0.38986999999999999</v>
      </c>
      <c r="S103" s="8">
        <f>Q103/10^6*$Z$4*$Z$3/P103*10^12</f>
        <v>22.149784800000003</v>
      </c>
      <c r="T103" s="8">
        <f>S103*0.06</f>
        <v>1.3289870880000001</v>
      </c>
      <c r="U103" s="8">
        <f>S103/$Z$1</f>
        <v>3.0342170958904116</v>
      </c>
      <c r="V103" s="12">
        <f t="shared" ref="V103:V113" si="125">O103</f>
        <v>1.238807515875354</v>
      </c>
    </row>
    <row r="104" spans="2:22" x14ac:dyDescent="0.3">
      <c r="B104">
        <v>2</v>
      </c>
      <c r="C104">
        <v>-8124.5</v>
      </c>
      <c r="D104">
        <v>187612.7</v>
      </c>
      <c r="E104">
        <v>4319.3999999999996</v>
      </c>
      <c r="F104">
        <f t="shared" si="120"/>
        <v>18.76127</v>
      </c>
      <c r="G104">
        <f t="shared" si="121"/>
        <v>-0.81245000000000001</v>
      </c>
      <c r="H104">
        <f t="shared" si="122"/>
        <v>19.573719999999998</v>
      </c>
      <c r="I104">
        <f t="shared" ref="I104:I113" si="126">E104/10000</f>
        <v>0.43193999999999999</v>
      </c>
      <c r="K104" s="67"/>
      <c r="L104" s="3">
        <v>-98</v>
      </c>
      <c r="M104" s="5">
        <f>L104+98.2</f>
        <v>0.20000000000000284</v>
      </c>
      <c r="N104" s="5">
        <f t="shared" ref="N104:N113" si="127">20.56036*SQRT(1+((L104-(-98.58903))*1.03*1095.70644/(3.14159*20.56036^2))^2)</f>
        <v>22.992351577801337</v>
      </c>
      <c r="O104" s="5">
        <f t="shared" ref="O104:O113" si="128">2*$Z$1/$Z$2/PI()/(N104*10^-4)^2/$K$103/$Z$7</f>
        <v>1.0988697363115913</v>
      </c>
      <c r="P104" s="4">
        <v>3</v>
      </c>
      <c r="Q104" s="5">
        <f t="shared" si="123"/>
        <v>19.573719999999998</v>
      </c>
      <c r="R104" s="5">
        <f t="shared" si="124"/>
        <v>0.43193999999999999</v>
      </c>
      <c r="S104" s="5">
        <f t="shared" ref="S104:S113" si="129">Q104/10^6*$Z$4*$Z$3/P104*10^12</f>
        <v>21.746402919999994</v>
      </c>
      <c r="T104" s="5">
        <f t="shared" ref="T104:T113" si="130">S104*0.06</f>
        <v>1.3047841751999996</v>
      </c>
      <c r="U104" s="5">
        <f t="shared" ref="U104:U113" si="131">S104/$Z$1</f>
        <v>2.9789593041095883</v>
      </c>
      <c r="V104" s="5">
        <f t="shared" si="125"/>
        <v>1.0988697363115913</v>
      </c>
    </row>
    <row r="105" spans="2:22" x14ac:dyDescent="0.3">
      <c r="B105">
        <v>3</v>
      </c>
      <c r="C105">
        <v>-9214.7999999999993</v>
      </c>
      <c r="D105">
        <v>181718</v>
      </c>
      <c r="E105">
        <v>2538.6999999999998</v>
      </c>
      <c r="F105">
        <f t="shared" si="120"/>
        <v>18.171800000000001</v>
      </c>
      <c r="G105">
        <f t="shared" si="121"/>
        <v>-0.92147999999999997</v>
      </c>
      <c r="H105">
        <f t="shared" si="122"/>
        <v>19.09328</v>
      </c>
      <c r="I105">
        <f t="shared" si="126"/>
        <v>0.25386999999999998</v>
      </c>
      <c r="K105" s="67"/>
      <c r="L105" s="3">
        <v>-97.8</v>
      </c>
      <c r="M105" s="5">
        <f t="shared" ref="M105:M113" si="132">L105+98.2</f>
        <v>0.40000000000000568</v>
      </c>
      <c r="N105" s="5">
        <f t="shared" si="127"/>
        <v>24.754552179927092</v>
      </c>
      <c r="O105" s="5">
        <f t="shared" si="128"/>
        <v>0.94798801713418823</v>
      </c>
      <c r="P105" s="4">
        <v>3</v>
      </c>
      <c r="Q105" s="5">
        <f t="shared" si="123"/>
        <v>19.09328</v>
      </c>
      <c r="R105" s="5">
        <f t="shared" si="124"/>
        <v>0.25386999999999998</v>
      </c>
      <c r="S105" s="5">
        <f t="shared" si="129"/>
        <v>21.212634080000004</v>
      </c>
      <c r="T105" s="5">
        <f t="shared" si="130"/>
        <v>1.2727580448000002</v>
      </c>
      <c r="U105" s="5">
        <f t="shared" si="131"/>
        <v>2.9058402849315077</v>
      </c>
      <c r="V105" s="5">
        <f t="shared" si="125"/>
        <v>0.94798801713418823</v>
      </c>
    </row>
    <row r="106" spans="2:22" x14ac:dyDescent="0.3">
      <c r="B106">
        <v>4</v>
      </c>
      <c r="C106">
        <v>-5574.6</v>
      </c>
      <c r="D106">
        <v>135826.29999999999</v>
      </c>
      <c r="E106">
        <v>2497.8000000000002</v>
      </c>
      <c r="F106">
        <f t="shared" si="120"/>
        <v>13.582629999999998</v>
      </c>
      <c r="G106">
        <f t="shared" si="121"/>
        <v>-0.55746000000000007</v>
      </c>
      <c r="H106">
        <f t="shared" si="122"/>
        <v>14.140089999999999</v>
      </c>
      <c r="I106">
        <f t="shared" si="126"/>
        <v>0.24978000000000003</v>
      </c>
      <c r="K106" s="67"/>
      <c r="L106" s="3">
        <v>-97.2</v>
      </c>
      <c r="M106" s="5">
        <f t="shared" si="132"/>
        <v>1</v>
      </c>
      <c r="N106" s="5">
        <f t="shared" si="127"/>
        <v>31.807899949628325</v>
      </c>
      <c r="O106" s="5">
        <f t="shared" si="128"/>
        <v>0.57417331261814231</v>
      </c>
      <c r="P106" s="4">
        <v>3</v>
      </c>
      <c r="Q106" s="5">
        <f t="shared" si="123"/>
        <v>14.140089999999999</v>
      </c>
      <c r="R106" s="5">
        <f t="shared" si="124"/>
        <v>0.24978000000000003</v>
      </c>
      <c r="S106" s="5">
        <f t="shared" si="129"/>
        <v>15.709639989999999</v>
      </c>
      <c r="T106" s="5">
        <f t="shared" si="130"/>
        <v>0.94257839939999988</v>
      </c>
      <c r="U106" s="5">
        <f t="shared" si="131"/>
        <v>2.1520054780821916</v>
      </c>
      <c r="V106" s="5">
        <f t="shared" si="125"/>
        <v>0.57417331261814231</v>
      </c>
    </row>
    <row r="107" spans="2:22" x14ac:dyDescent="0.3">
      <c r="B107">
        <v>5</v>
      </c>
      <c r="C107">
        <v>-9473.1</v>
      </c>
      <c r="D107">
        <v>73485.5</v>
      </c>
      <c r="E107">
        <v>3823.6</v>
      </c>
      <c r="F107">
        <f t="shared" si="120"/>
        <v>7.3485500000000004</v>
      </c>
      <c r="G107">
        <f t="shared" si="121"/>
        <v>-0.94730999999999999</v>
      </c>
      <c r="H107">
        <f t="shared" si="122"/>
        <v>8.2958600000000011</v>
      </c>
      <c r="I107">
        <f t="shared" si="126"/>
        <v>0.38235999999999998</v>
      </c>
      <c r="K107" s="67"/>
      <c r="L107" s="3">
        <v>-96.8</v>
      </c>
      <c r="M107" s="5">
        <f t="shared" si="132"/>
        <v>1.4000000000000057</v>
      </c>
      <c r="N107" s="5">
        <f t="shared" si="127"/>
        <v>37.414240753916886</v>
      </c>
      <c r="O107" s="5">
        <f t="shared" si="128"/>
        <v>0.41499142510259568</v>
      </c>
      <c r="P107" s="4">
        <v>3</v>
      </c>
      <c r="Q107" s="5">
        <f t="shared" si="123"/>
        <v>8.2958600000000011</v>
      </c>
      <c r="R107" s="5">
        <f t="shared" si="124"/>
        <v>0.38235999999999998</v>
      </c>
      <c r="S107" s="5">
        <f t="shared" si="129"/>
        <v>9.216700460000002</v>
      </c>
      <c r="T107" s="5">
        <f t="shared" si="130"/>
        <v>0.55300202760000006</v>
      </c>
      <c r="U107" s="5">
        <f t="shared" si="131"/>
        <v>1.2625617068493153</v>
      </c>
      <c r="V107" s="5">
        <f t="shared" si="125"/>
        <v>0.41499142510259568</v>
      </c>
    </row>
    <row r="108" spans="2:22" x14ac:dyDescent="0.3">
      <c r="B108">
        <v>6</v>
      </c>
      <c r="C108">
        <v>-8832.6</v>
      </c>
      <c r="D108">
        <v>34506</v>
      </c>
      <c r="E108">
        <v>2480.4</v>
      </c>
      <c r="F108">
        <f t="shared" si="120"/>
        <v>3.4506000000000001</v>
      </c>
      <c r="G108">
        <f t="shared" si="121"/>
        <v>-0.88326000000000005</v>
      </c>
      <c r="H108">
        <f t="shared" si="122"/>
        <v>4.3338600000000005</v>
      </c>
      <c r="I108">
        <f t="shared" si="126"/>
        <v>0.24804000000000001</v>
      </c>
      <c r="K108" s="67"/>
      <c r="L108" s="3">
        <v>-96.3</v>
      </c>
      <c r="M108" s="5">
        <f t="shared" si="132"/>
        <v>1.9000000000000057</v>
      </c>
      <c r="N108" s="5">
        <f t="shared" si="127"/>
        <v>44.970060517830404</v>
      </c>
      <c r="O108" s="5">
        <f t="shared" si="128"/>
        <v>0.28725397826234789</v>
      </c>
      <c r="P108" s="4">
        <v>4</v>
      </c>
      <c r="Q108" s="5">
        <f t="shared" si="123"/>
        <v>4.3338600000000005</v>
      </c>
      <c r="R108" s="5">
        <f t="shared" si="124"/>
        <v>0.24804000000000001</v>
      </c>
      <c r="S108" s="5">
        <f t="shared" si="129"/>
        <v>3.6111888450000005</v>
      </c>
      <c r="T108" s="5">
        <f t="shared" si="130"/>
        <v>0.21667133070000003</v>
      </c>
      <c r="U108" s="5">
        <f t="shared" si="131"/>
        <v>0.49468340342465761</v>
      </c>
      <c r="V108" s="5">
        <f t="shared" si="125"/>
        <v>0.28725397826234789</v>
      </c>
    </row>
    <row r="109" spans="2:22" x14ac:dyDescent="0.3">
      <c r="B109">
        <v>7</v>
      </c>
      <c r="C109">
        <v>-3719.9</v>
      </c>
      <c r="D109">
        <v>1117.7</v>
      </c>
      <c r="E109">
        <v>2222.3000000000002</v>
      </c>
      <c r="F109">
        <f t="shared" si="120"/>
        <v>0.11177000000000001</v>
      </c>
      <c r="G109">
        <f t="shared" si="121"/>
        <v>-0.37198999999999999</v>
      </c>
      <c r="H109">
        <f t="shared" si="122"/>
        <v>0.48375999999999997</v>
      </c>
      <c r="I109">
        <f t="shared" si="126"/>
        <v>0.22223000000000001</v>
      </c>
      <c r="K109" s="67"/>
      <c r="L109" s="3">
        <v>-95.8</v>
      </c>
      <c r="M109" s="5">
        <f t="shared" si="132"/>
        <v>2.4000000000000057</v>
      </c>
      <c r="N109" s="5">
        <f t="shared" si="127"/>
        <v>52.890724234957723</v>
      </c>
      <c r="O109" s="5">
        <f t="shared" si="128"/>
        <v>0.20766053490063582</v>
      </c>
      <c r="P109" s="4">
        <v>4</v>
      </c>
      <c r="Q109" s="5">
        <f t="shared" si="123"/>
        <v>0.48375999999999997</v>
      </c>
      <c r="R109" s="5">
        <f t="shared" si="124"/>
        <v>0.22223000000000001</v>
      </c>
      <c r="S109" s="5">
        <f t="shared" si="129"/>
        <v>0.40309301999999997</v>
      </c>
      <c r="T109" s="5">
        <f t="shared" si="130"/>
        <v>2.4185581199999997E-2</v>
      </c>
      <c r="U109" s="5">
        <f t="shared" si="131"/>
        <v>5.5218221917808216E-2</v>
      </c>
      <c r="V109" s="5">
        <f t="shared" si="125"/>
        <v>0.20766053490063582</v>
      </c>
    </row>
    <row r="110" spans="2:22" x14ac:dyDescent="0.3">
      <c r="B110">
        <v>8</v>
      </c>
      <c r="C110">
        <v>0</v>
      </c>
      <c r="D110">
        <v>0</v>
      </c>
      <c r="E110">
        <v>0</v>
      </c>
      <c r="F110">
        <f t="shared" si="120"/>
        <v>0</v>
      </c>
      <c r="G110">
        <f t="shared" si="121"/>
        <v>0</v>
      </c>
      <c r="H110">
        <f t="shared" si="122"/>
        <v>0</v>
      </c>
      <c r="I110">
        <f t="shared" si="126"/>
        <v>0</v>
      </c>
      <c r="K110" s="67"/>
      <c r="L110" s="3">
        <v>-95.5</v>
      </c>
      <c r="M110" s="5">
        <f t="shared" si="132"/>
        <v>2.7000000000000028</v>
      </c>
      <c r="N110" s="5">
        <f t="shared" si="127"/>
        <v>57.756125383651771</v>
      </c>
      <c r="O110" s="5">
        <f t="shared" si="128"/>
        <v>0.17414735995550742</v>
      </c>
      <c r="P110" s="4">
        <v>5</v>
      </c>
      <c r="Q110" s="5">
        <f t="shared" si="123"/>
        <v>0</v>
      </c>
      <c r="R110" s="5">
        <f t="shared" si="124"/>
        <v>0</v>
      </c>
      <c r="S110" s="5">
        <f t="shared" si="129"/>
        <v>0</v>
      </c>
      <c r="T110" s="5">
        <f t="shared" si="130"/>
        <v>0</v>
      </c>
      <c r="U110" s="5">
        <f t="shared" si="131"/>
        <v>0</v>
      </c>
      <c r="V110" s="5">
        <f t="shared" si="125"/>
        <v>0.17414735995550742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20"/>
        <v>0</v>
      </c>
      <c r="G111">
        <f t="shared" si="121"/>
        <v>0</v>
      </c>
      <c r="H111">
        <f t="shared" si="122"/>
        <v>0</v>
      </c>
      <c r="I111">
        <f t="shared" si="126"/>
        <v>0</v>
      </c>
      <c r="K111" s="67"/>
      <c r="L111" s="5">
        <v>-95.1</v>
      </c>
      <c r="M111" s="5">
        <f t="shared" si="132"/>
        <v>3.1000000000000085</v>
      </c>
      <c r="N111" s="5">
        <f t="shared" si="127"/>
        <v>64.335352920706185</v>
      </c>
      <c r="O111" s="5">
        <f t="shared" si="128"/>
        <v>0.1403503890161685</v>
      </c>
      <c r="P111" s="4">
        <v>8</v>
      </c>
      <c r="Q111" s="5">
        <f t="shared" si="123"/>
        <v>0</v>
      </c>
      <c r="R111" s="5">
        <f t="shared" si="124"/>
        <v>0</v>
      </c>
      <c r="S111" s="5">
        <f t="shared" si="129"/>
        <v>0</v>
      </c>
      <c r="T111" s="5">
        <f t="shared" si="130"/>
        <v>0</v>
      </c>
      <c r="U111" s="5">
        <f t="shared" si="131"/>
        <v>0</v>
      </c>
      <c r="V111" s="5">
        <f t="shared" si="125"/>
        <v>0.1403503890161685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20"/>
        <v>0</v>
      </c>
      <c r="G112">
        <f t="shared" si="121"/>
        <v>0</v>
      </c>
      <c r="H112">
        <f t="shared" si="122"/>
        <v>0</v>
      </c>
      <c r="I112">
        <f t="shared" si="126"/>
        <v>0</v>
      </c>
      <c r="K112" s="67"/>
      <c r="L112" s="5">
        <v>-94.399999999999991</v>
      </c>
      <c r="M112" s="5">
        <f t="shared" si="132"/>
        <v>3.8000000000000114</v>
      </c>
      <c r="N112" s="5">
        <f t="shared" si="127"/>
        <v>76.025152245972833</v>
      </c>
      <c r="O112" s="5">
        <f t="shared" si="128"/>
        <v>0.10050748344547558</v>
      </c>
      <c r="P112" s="4">
        <v>14</v>
      </c>
      <c r="Q112" s="5">
        <f t="shared" si="123"/>
        <v>0</v>
      </c>
      <c r="R112" s="5">
        <f t="shared" si="124"/>
        <v>0</v>
      </c>
      <c r="S112" s="5">
        <f t="shared" si="129"/>
        <v>0</v>
      </c>
      <c r="T112" s="5">
        <f t="shared" si="130"/>
        <v>0</v>
      </c>
      <c r="U112" s="5">
        <f t="shared" si="131"/>
        <v>0</v>
      </c>
      <c r="V112" s="5">
        <f t="shared" si="125"/>
        <v>0.10050748344547558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20"/>
        <v>0</v>
      </c>
      <c r="G113">
        <f t="shared" si="121"/>
        <v>0</v>
      </c>
      <c r="H113">
        <f t="shared" si="122"/>
        <v>0</v>
      </c>
      <c r="I113">
        <f t="shared" si="126"/>
        <v>0</v>
      </c>
      <c r="K113" s="68"/>
      <c r="L113" s="6">
        <v>-93.3</v>
      </c>
      <c r="M113" s="6">
        <f t="shared" si="132"/>
        <v>4.9000000000000057</v>
      </c>
      <c r="N113" s="6">
        <f t="shared" si="127"/>
        <v>94.671337139281746</v>
      </c>
      <c r="O113" s="6">
        <f t="shared" si="128"/>
        <v>6.4815066927253778E-2</v>
      </c>
      <c r="P113" s="7">
        <v>21</v>
      </c>
      <c r="Q113" s="6">
        <f t="shared" si="123"/>
        <v>0</v>
      </c>
      <c r="R113" s="6">
        <f t="shared" si="124"/>
        <v>0</v>
      </c>
      <c r="S113" s="6">
        <f t="shared" si="129"/>
        <v>0</v>
      </c>
      <c r="T113" s="6">
        <f t="shared" si="130"/>
        <v>0</v>
      </c>
      <c r="U113" s="6">
        <f t="shared" si="131"/>
        <v>0</v>
      </c>
      <c r="V113" s="6">
        <f t="shared" si="125"/>
        <v>6.4815066927253778E-2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27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41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-44.6</v>
      </c>
      <c r="D117">
        <v>227356.6</v>
      </c>
      <c r="E117">
        <v>3950.8</v>
      </c>
      <c r="F117">
        <f t="shared" ref="F117:F127" si="133">D117/10000</f>
        <v>22.735659999999999</v>
      </c>
      <c r="G117">
        <f t="shared" ref="G117:G127" si="134">C117/10000</f>
        <v>-4.4600000000000004E-3</v>
      </c>
      <c r="H117">
        <f t="shared" ref="H117:H127" si="135">F117-G117</f>
        <v>22.740120000000001</v>
      </c>
      <c r="I117">
        <f>E117/10000</f>
        <v>0.39508000000000004</v>
      </c>
      <c r="K117" s="66">
        <v>9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1.101162236333648</v>
      </c>
      <c r="P117" s="2">
        <v>3</v>
      </c>
      <c r="Q117" s="8">
        <f t="shared" ref="Q117:Q127" si="136">H117</f>
        <v>22.740120000000001</v>
      </c>
      <c r="R117" s="8">
        <f t="shared" ref="R117:R127" si="137">I117</f>
        <v>0.39508000000000004</v>
      </c>
      <c r="S117" s="8">
        <f>Q117/10^6*$Z$4*$Z$3/P117*10^12</f>
        <v>25.264273320000001</v>
      </c>
      <c r="T117" s="8">
        <f>S117*0.06</f>
        <v>1.5158563992</v>
      </c>
      <c r="U117" s="8">
        <f>S117/$Z$1</f>
        <v>3.4608593589041097</v>
      </c>
      <c r="V117" s="12">
        <f t="shared" ref="V117:V127" si="138">O117</f>
        <v>1.101162236333648</v>
      </c>
    </row>
    <row r="118" spans="2:22" x14ac:dyDescent="0.3">
      <c r="B118">
        <v>2</v>
      </c>
      <c r="C118">
        <v>-6377.2</v>
      </c>
      <c r="D118">
        <v>219636.7</v>
      </c>
      <c r="E118">
        <v>4039.1</v>
      </c>
      <c r="F118">
        <f t="shared" si="133"/>
        <v>21.96367</v>
      </c>
      <c r="G118">
        <f t="shared" si="134"/>
        <v>-0.63771999999999995</v>
      </c>
      <c r="H118">
        <f t="shared" si="135"/>
        <v>22.601390000000002</v>
      </c>
      <c r="I118">
        <f t="shared" ref="I118:I127" si="139">E118/10000</f>
        <v>0.40390999999999999</v>
      </c>
      <c r="K118" s="67"/>
      <c r="L118" s="3">
        <v>-98</v>
      </c>
      <c r="M118" s="5">
        <f>L118+98.2</f>
        <v>0.20000000000000284</v>
      </c>
      <c r="N118" s="5">
        <f t="shared" ref="N118:N127" si="140">20.56036*SQRT(1+((L118-(-98.58903))*1.03*1095.70644/(3.14159*20.56036^2))^2)</f>
        <v>22.992351577801337</v>
      </c>
      <c r="O118" s="5">
        <f t="shared" ref="O118:O127" si="141">2*$Z$1/$Z$2/PI()/(N118*10^-4)^2/$K$117/$Z$7</f>
        <v>0.97677309894363673</v>
      </c>
      <c r="P118" s="4">
        <v>3</v>
      </c>
      <c r="Q118" s="5">
        <f t="shared" si="136"/>
        <v>22.601390000000002</v>
      </c>
      <c r="R118" s="5">
        <f t="shared" si="137"/>
        <v>0.40390999999999999</v>
      </c>
      <c r="S118" s="5">
        <f t="shared" ref="S118:S127" si="142">Q118/10^6*$Z$4*$Z$3/P118*10^12</f>
        <v>25.110144290000008</v>
      </c>
      <c r="T118" s="5">
        <f t="shared" ref="T118:T127" si="143">S118*0.06</f>
        <v>1.5066086574000004</v>
      </c>
      <c r="U118" s="5">
        <f t="shared" ref="U118:U127" si="144">S118/$Z$1</f>
        <v>3.4397457931506863</v>
      </c>
      <c r="V118" s="5">
        <f t="shared" si="138"/>
        <v>0.97677309894363673</v>
      </c>
    </row>
    <row r="119" spans="2:22" x14ac:dyDescent="0.3">
      <c r="B119">
        <v>3</v>
      </c>
      <c r="C119">
        <v>-414.7</v>
      </c>
      <c r="D119">
        <v>201762.7</v>
      </c>
      <c r="E119">
        <v>2496</v>
      </c>
      <c r="F119">
        <f t="shared" si="133"/>
        <v>20.176270000000002</v>
      </c>
      <c r="G119">
        <f t="shared" si="134"/>
        <v>-4.147E-2</v>
      </c>
      <c r="H119">
        <f t="shared" si="135"/>
        <v>20.217740000000003</v>
      </c>
      <c r="I119">
        <f t="shared" si="139"/>
        <v>0.24959999999999999</v>
      </c>
      <c r="K119" s="67"/>
      <c r="L119" s="3">
        <v>-97.8</v>
      </c>
      <c r="M119" s="5">
        <f t="shared" ref="M119:M127" si="145">L119+98.2</f>
        <v>0.40000000000000568</v>
      </c>
      <c r="N119" s="5">
        <f t="shared" si="140"/>
        <v>24.754552179927092</v>
      </c>
      <c r="O119" s="5">
        <f t="shared" si="141"/>
        <v>0.84265601523038958</v>
      </c>
      <c r="P119" s="4">
        <v>3</v>
      </c>
      <c r="Q119" s="5">
        <f t="shared" si="136"/>
        <v>20.217740000000003</v>
      </c>
      <c r="R119" s="5">
        <f t="shared" si="137"/>
        <v>0.24959999999999999</v>
      </c>
      <c r="S119" s="5">
        <f t="shared" si="142"/>
        <v>22.461909140000007</v>
      </c>
      <c r="T119" s="5">
        <f t="shared" si="143"/>
        <v>1.3477145484000004</v>
      </c>
      <c r="U119" s="5">
        <f t="shared" si="144"/>
        <v>3.0769738547945216</v>
      </c>
      <c r="V119" s="5">
        <f t="shared" si="138"/>
        <v>0.84265601523038958</v>
      </c>
    </row>
    <row r="120" spans="2:22" x14ac:dyDescent="0.3">
      <c r="B120">
        <v>4</v>
      </c>
      <c r="C120">
        <v>-3258</v>
      </c>
      <c r="D120">
        <v>119414.7</v>
      </c>
      <c r="E120">
        <v>3056.2</v>
      </c>
      <c r="F120">
        <f t="shared" si="133"/>
        <v>11.941469999999999</v>
      </c>
      <c r="G120">
        <f t="shared" si="134"/>
        <v>-0.32579999999999998</v>
      </c>
      <c r="H120">
        <f t="shared" si="135"/>
        <v>12.267269999999998</v>
      </c>
      <c r="I120">
        <f t="shared" si="139"/>
        <v>0.30562</v>
      </c>
      <c r="K120" s="67"/>
      <c r="L120" s="3">
        <v>-97.2</v>
      </c>
      <c r="M120" s="5">
        <f t="shared" si="145"/>
        <v>1</v>
      </c>
      <c r="N120" s="5">
        <f t="shared" si="140"/>
        <v>31.807899949628325</v>
      </c>
      <c r="O120" s="5">
        <f t="shared" si="141"/>
        <v>0.51037627788279316</v>
      </c>
      <c r="P120" s="4">
        <v>3</v>
      </c>
      <c r="Q120" s="5">
        <f t="shared" si="136"/>
        <v>12.267269999999998</v>
      </c>
      <c r="R120" s="5">
        <f t="shared" si="137"/>
        <v>0.30562</v>
      </c>
      <c r="S120" s="5">
        <f t="shared" si="142"/>
        <v>13.628936969999996</v>
      </c>
      <c r="T120" s="5">
        <f t="shared" si="143"/>
        <v>0.81773621819999975</v>
      </c>
      <c r="U120" s="5">
        <f t="shared" si="144"/>
        <v>1.8669776671232872</v>
      </c>
      <c r="V120" s="5">
        <f t="shared" si="138"/>
        <v>0.51037627788279316</v>
      </c>
    </row>
    <row r="121" spans="2:22" x14ac:dyDescent="0.3">
      <c r="B121">
        <v>5</v>
      </c>
      <c r="C121">
        <v>-4340.3999999999996</v>
      </c>
      <c r="D121">
        <v>64049.5</v>
      </c>
      <c r="E121">
        <v>3210.8</v>
      </c>
      <c r="F121">
        <f t="shared" si="133"/>
        <v>6.4049500000000004</v>
      </c>
      <c r="G121">
        <f t="shared" si="134"/>
        <v>-0.43403999999999998</v>
      </c>
      <c r="H121">
        <f t="shared" si="135"/>
        <v>6.8389900000000008</v>
      </c>
      <c r="I121">
        <f t="shared" si="139"/>
        <v>0.32108000000000003</v>
      </c>
      <c r="K121" s="67"/>
      <c r="L121" s="3">
        <v>-96.8</v>
      </c>
      <c r="M121" s="5">
        <f t="shared" si="145"/>
        <v>1.4000000000000057</v>
      </c>
      <c r="N121" s="5">
        <f t="shared" si="140"/>
        <v>37.414240753916886</v>
      </c>
      <c r="O121" s="5">
        <f t="shared" si="141"/>
        <v>0.36888126675786281</v>
      </c>
      <c r="P121" s="4">
        <v>3</v>
      </c>
      <c r="Q121" s="5">
        <f t="shared" si="136"/>
        <v>6.8389900000000008</v>
      </c>
      <c r="R121" s="5">
        <f t="shared" si="137"/>
        <v>0.32108000000000003</v>
      </c>
      <c r="S121" s="5">
        <f t="shared" si="142"/>
        <v>7.598117890000001</v>
      </c>
      <c r="T121" s="5">
        <f t="shared" si="143"/>
        <v>0.45588707340000006</v>
      </c>
      <c r="U121" s="5">
        <f t="shared" si="144"/>
        <v>1.0408380671232877</v>
      </c>
      <c r="V121" s="5">
        <f t="shared" si="138"/>
        <v>0.36888126675786281</v>
      </c>
    </row>
    <row r="122" spans="2:22" x14ac:dyDescent="0.3">
      <c r="B122">
        <v>6</v>
      </c>
      <c r="C122">
        <v>-2424.9</v>
      </c>
      <c r="D122">
        <v>31459.7</v>
      </c>
      <c r="E122">
        <v>2403.6</v>
      </c>
      <c r="F122">
        <f t="shared" si="133"/>
        <v>3.1459700000000002</v>
      </c>
      <c r="G122">
        <f t="shared" si="134"/>
        <v>-0.24249000000000001</v>
      </c>
      <c r="H122">
        <f t="shared" si="135"/>
        <v>3.3884600000000002</v>
      </c>
      <c r="I122">
        <f t="shared" si="139"/>
        <v>0.24035999999999999</v>
      </c>
      <c r="K122" s="67"/>
      <c r="L122" s="3">
        <v>-96.3</v>
      </c>
      <c r="M122" s="5">
        <f t="shared" si="145"/>
        <v>1.9000000000000057</v>
      </c>
      <c r="N122" s="5">
        <f t="shared" si="140"/>
        <v>44.970060517830404</v>
      </c>
      <c r="O122" s="5">
        <f t="shared" si="141"/>
        <v>0.25533686956653145</v>
      </c>
      <c r="P122" s="4">
        <v>4</v>
      </c>
      <c r="Q122" s="5">
        <f t="shared" si="136"/>
        <v>3.3884600000000002</v>
      </c>
      <c r="R122" s="5">
        <f t="shared" si="137"/>
        <v>0.24035999999999999</v>
      </c>
      <c r="S122" s="5">
        <f t="shared" si="142"/>
        <v>2.8234342950000006</v>
      </c>
      <c r="T122" s="5">
        <f t="shared" si="143"/>
        <v>0.16940605770000003</v>
      </c>
      <c r="U122" s="5">
        <f t="shared" si="144"/>
        <v>0.38677182123287679</v>
      </c>
      <c r="V122" s="5">
        <f t="shared" si="138"/>
        <v>0.25533686956653145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33"/>
        <v>0</v>
      </c>
      <c r="G123">
        <f t="shared" si="134"/>
        <v>0</v>
      </c>
      <c r="H123">
        <f t="shared" si="135"/>
        <v>0</v>
      </c>
      <c r="I123">
        <f t="shared" si="139"/>
        <v>0</v>
      </c>
      <c r="K123" s="67"/>
      <c r="L123" s="3">
        <v>-95.8</v>
      </c>
      <c r="M123" s="5">
        <f t="shared" si="145"/>
        <v>2.4000000000000057</v>
      </c>
      <c r="N123" s="5">
        <f t="shared" si="140"/>
        <v>52.890724234957723</v>
      </c>
      <c r="O123" s="5">
        <f t="shared" si="141"/>
        <v>0.18458714213389851</v>
      </c>
      <c r="P123" s="4">
        <v>4</v>
      </c>
      <c r="Q123" s="5">
        <f t="shared" si="136"/>
        <v>0</v>
      </c>
      <c r="R123" s="5">
        <f t="shared" si="137"/>
        <v>0</v>
      </c>
      <c r="S123" s="5">
        <f t="shared" si="142"/>
        <v>0</v>
      </c>
      <c r="T123" s="5">
        <f t="shared" si="143"/>
        <v>0</v>
      </c>
      <c r="U123" s="5">
        <f t="shared" si="144"/>
        <v>0</v>
      </c>
      <c r="V123" s="5">
        <f t="shared" si="138"/>
        <v>0.18458714213389851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33"/>
        <v>0</v>
      </c>
      <c r="G124">
        <f t="shared" si="134"/>
        <v>0</v>
      </c>
      <c r="H124">
        <f t="shared" si="135"/>
        <v>0</v>
      </c>
      <c r="I124">
        <f t="shared" si="139"/>
        <v>0</v>
      </c>
      <c r="K124" s="67"/>
      <c r="L124" s="3">
        <v>-95.5</v>
      </c>
      <c r="M124" s="5">
        <f t="shared" si="145"/>
        <v>2.7000000000000028</v>
      </c>
      <c r="N124" s="5">
        <f t="shared" si="140"/>
        <v>57.756125383651771</v>
      </c>
      <c r="O124" s="5">
        <f t="shared" si="141"/>
        <v>0.15479765329378437</v>
      </c>
      <c r="P124" s="4">
        <v>5</v>
      </c>
      <c r="Q124" s="5">
        <f t="shared" si="136"/>
        <v>0</v>
      </c>
      <c r="R124" s="5">
        <f t="shared" si="137"/>
        <v>0</v>
      </c>
      <c r="S124" s="5">
        <f t="shared" si="142"/>
        <v>0</v>
      </c>
      <c r="T124" s="5">
        <f t="shared" si="143"/>
        <v>0</v>
      </c>
      <c r="U124" s="5">
        <f t="shared" si="144"/>
        <v>0</v>
      </c>
      <c r="V124" s="5">
        <f t="shared" si="138"/>
        <v>0.15479765329378437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33"/>
        <v>0</v>
      </c>
      <c r="G125">
        <f t="shared" si="134"/>
        <v>0</v>
      </c>
      <c r="H125">
        <f t="shared" si="135"/>
        <v>0</v>
      </c>
      <c r="I125">
        <f t="shared" si="139"/>
        <v>0</v>
      </c>
      <c r="K125" s="67"/>
      <c r="L125" s="5">
        <v>-95.1</v>
      </c>
      <c r="M125" s="5">
        <f t="shared" si="145"/>
        <v>3.1000000000000085</v>
      </c>
      <c r="N125" s="5">
        <f t="shared" si="140"/>
        <v>64.335352920706185</v>
      </c>
      <c r="O125" s="5">
        <f t="shared" si="141"/>
        <v>0.12475590134770534</v>
      </c>
      <c r="P125" s="4">
        <v>8</v>
      </c>
      <c r="Q125" s="5">
        <f t="shared" si="136"/>
        <v>0</v>
      </c>
      <c r="R125" s="5">
        <f t="shared" si="137"/>
        <v>0</v>
      </c>
      <c r="S125" s="5">
        <f t="shared" si="142"/>
        <v>0</v>
      </c>
      <c r="T125" s="5">
        <f t="shared" si="143"/>
        <v>0</v>
      </c>
      <c r="U125" s="5">
        <f t="shared" si="144"/>
        <v>0</v>
      </c>
      <c r="V125" s="5">
        <f t="shared" si="138"/>
        <v>0.12475590134770534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33"/>
        <v>0</v>
      </c>
      <c r="G126">
        <f t="shared" si="134"/>
        <v>0</v>
      </c>
      <c r="H126">
        <f t="shared" si="135"/>
        <v>0</v>
      </c>
      <c r="I126">
        <f t="shared" si="139"/>
        <v>0</v>
      </c>
      <c r="K126" s="67"/>
      <c r="L126" s="5">
        <v>-94.399999999999991</v>
      </c>
      <c r="M126" s="5">
        <f t="shared" si="145"/>
        <v>3.8000000000000114</v>
      </c>
      <c r="N126" s="5">
        <f t="shared" si="140"/>
        <v>76.025152245972833</v>
      </c>
      <c r="O126" s="5">
        <f t="shared" si="141"/>
        <v>8.9339985284867182E-2</v>
      </c>
      <c r="P126" s="4">
        <v>14</v>
      </c>
      <c r="Q126" s="5">
        <f t="shared" si="136"/>
        <v>0</v>
      </c>
      <c r="R126" s="5">
        <f t="shared" si="137"/>
        <v>0</v>
      </c>
      <c r="S126" s="5">
        <f t="shared" si="142"/>
        <v>0</v>
      </c>
      <c r="T126" s="5">
        <f t="shared" si="143"/>
        <v>0</v>
      </c>
      <c r="U126" s="5">
        <f t="shared" si="144"/>
        <v>0</v>
      </c>
      <c r="V126" s="5">
        <f t="shared" si="138"/>
        <v>8.9339985284867182E-2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33"/>
        <v>0</v>
      </c>
      <c r="G127">
        <f t="shared" si="134"/>
        <v>0</v>
      </c>
      <c r="H127">
        <f t="shared" si="135"/>
        <v>0</v>
      </c>
      <c r="I127">
        <f t="shared" si="139"/>
        <v>0</v>
      </c>
      <c r="K127" s="68"/>
      <c r="L127" s="6">
        <v>-93.3</v>
      </c>
      <c r="M127" s="6">
        <f t="shared" si="145"/>
        <v>4.9000000000000057</v>
      </c>
      <c r="N127" s="6">
        <f t="shared" si="140"/>
        <v>94.671337139281746</v>
      </c>
      <c r="O127" s="6">
        <f t="shared" si="141"/>
        <v>5.7613392824225583E-2</v>
      </c>
      <c r="P127" s="7">
        <v>21</v>
      </c>
      <c r="Q127" s="6">
        <f t="shared" si="136"/>
        <v>0</v>
      </c>
      <c r="R127" s="6">
        <f t="shared" si="137"/>
        <v>0</v>
      </c>
      <c r="S127" s="6">
        <f t="shared" si="142"/>
        <v>0</v>
      </c>
      <c r="T127" s="6">
        <f t="shared" si="143"/>
        <v>0</v>
      </c>
      <c r="U127" s="6">
        <f t="shared" si="144"/>
        <v>0</v>
      </c>
      <c r="V127" s="6">
        <f t="shared" si="138"/>
        <v>5.7613392824225583E-2</v>
      </c>
    </row>
    <row r="128" spans="2:22" ht="15" thickTop="1" x14ac:dyDescent="0.3"/>
    <row r="130" spans="11:22" x14ac:dyDescent="0.3">
      <c r="K130" s="23"/>
      <c r="L130" s="24"/>
      <c r="M130" s="24"/>
      <c r="N130" s="24"/>
      <c r="O130" s="24"/>
      <c r="P130" s="24"/>
      <c r="Q130" s="24"/>
      <c r="R130" s="24"/>
      <c r="S130" s="25"/>
      <c r="T130" s="25"/>
      <c r="U130" s="25"/>
      <c r="V130" s="24"/>
    </row>
    <row r="131" spans="11:22" x14ac:dyDescent="0.3">
      <c r="K131" s="65"/>
      <c r="L131" s="16"/>
      <c r="M131" s="18"/>
      <c r="N131" s="18"/>
      <c r="O131" s="18"/>
      <c r="P131" s="17"/>
      <c r="Q131" s="18"/>
      <c r="R131" s="18"/>
      <c r="S131" s="18"/>
      <c r="T131" s="18"/>
      <c r="U131" s="18"/>
      <c r="V131" s="18"/>
    </row>
    <row r="132" spans="11:22" x14ac:dyDescent="0.3">
      <c r="K132" s="65"/>
      <c r="L132" s="16"/>
      <c r="M132" s="18"/>
      <c r="N132" s="18"/>
      <c r="O132" s="18"/>
      <c r="P132" s="21"/>
      <c r="Q132" s="18"/>
      <c r="R132" s="18"/>
      <c r="S132" s="18"/>
      <c r="T132" s="18"/>
      <c r="U132" s="18"/>
      <c r="V132" s="18"/>
    </row>
    <row r="133" spans="11:22" x14ac:dyDescent="0.3">
      <c r="K133" s="65"/>
      <c r="L133" s="16"/>
      <c r="M133" s="18"/>
      <c r="N133" s="18"/>
      <c r="O133" s="18"/>
      <c r="P133" s="21"/>
      <c r="Q133" s="18"/>
      <c r="R133" s="18"/>
      <c r="S133" s="18"/>
      <c r="T133" s="18"/>
      <c r="U133" s="18"/>
      <c r="V133" s="18"/>
    </row>
    <row r="134" spans="11:22" x14ac:dyDescent="0.3">
      <c r="K134" s="65"/>
      <c r="L134" s="16"/>
      <c r="M134" s="18"/>
      <c r="N134" s="18"/>
      <c r="O134" s="18"/>
      <c r="P134" s="21"/>
      <c r="Q134" s="18"/>
      <c r="R134" s="18"/>
      <c r="S134" s="18"/>
      <c r="T134" s="18"/>
      <c r="U134" s="18"/>
      <c r="V134" s="18"/>
    </row>
    <row r="135" spans="11:22" x14ac:dyDescent="0.3">
      <c r="K135" s="65"/>
      <c r="L135" s="16"/>
      <c r="M135" s="18"/>
      <c r="N135" s="18"/>
      <c r="O135" s="18"/>
      <c r="P135" s="21"/>
      <c r="Q135" s="18"/>
      <c r="R135" s="18"/>
      <c r="S135" s="18"/>
      <c r="T135" s="18"/>
      <c r="U135" s="18"/>
      <c r="V135" s="18"/>
    </row>
    <row r="136" spans="11:22" x14ac:dyDescent="0.3">
      <c r="K136" s="65"/>
      <c r="L136" s="16"/>
      <c r="M136" s="18"/>
      <c r="N136" s="18"/>
      <c r="O136" s="18"/>
      <c r="P136" s="21"/>
      <c r="Q136" s="18"/>
      <c r="R136" s="18"/>
      <c r="S136" s="18"/>
      <c r="T136" s="18"/>
      <c r="U136" s="18"/>
      <c r="V136" s="18"/>
    </row>
    <row r="137" spans="11:22" x14ac:dyDescent="0.3">
      <c r="K137" s="65"/>
      <c r="L137" s="16"/>
      <c r="M137" s="18"/>
      <c r="N137" s="18"/>
      <c r="O137" s="18"/>
      <c r="P137" s="21"/>
      <c r="Q137" s="18"/>
      <c r="R137" s="18"/>
      <c r="S137" s="18"/>
      <c r="T137" s="18"/>
      <c r="U137" s="18"/>
      <c r="V137" s="18"/>
    </row>
    <row r="138" spans="11:22" x14ac:dyDescent="0.3">
      <c r="K138" s="65"/>
      <c r="L138" s="16"/>
      <c r="M138" s="18"/>
      <c r="N138" s="18"/>
      <c r="O138" s="18"/>
      <c r="P138" s="21"/>
      <c r="Q138" s="18"/>
      <c r="R138" s="18"/>
      <c r="S138" s="18"/>
      <c r="T138" s="18"/>
      <c r="U138" s="18"/>
      <c r="V138" s="18"/>
    </row>
    <row r="139" spans="11:22" x14ac:dyDescent="0.3">
      <c r="K139" s="65"/>
      <c r="L139" s="18"/>
      <c r="M139" s="18"/>
      <c r="N139" s="18"/>
      <c r="O139" s="18"/>
      <c r="P139" s="21"/>
      <c r="Q139" s="18"/>
      <c r="R139" s="18"/>
      <c r="S139" s="18"/>
      <c r="T139" s="18"/>
      <c r="U139" s="18"/>
      <c r="V139" s="18"/>
    </row>
    <row r="140" spans="11:22" x14ac:dyDescent="0.3">
      <c r="K140" s="65"/>
      <c r="L140" s="18"/>
      <c r="M140" s="18"/>
      <c r="N140" s="18"/>
      <c r="O140" s="18"/>
      <c r="P140" s="21"/>
      <c r="Q140" s="18"/>
      <c r="R140" s="18"/>
      <c r="S140" s="18"/>
      <c r="T140" s="18"/>
      <c r="U140" s="18"/>
      <c r="V140" s="18"/>
    </row>
    <row r="141" spans="11:22" x14ac:dyDescent="0.3">
      <c r="K141" s="65"/>
      <c r="L141" s="18"/>
      <c r="M141" s="18"/>
      <c r="N141" s="18"/>
      <c r="O141" s="18"/>
      <c r="P141" s="21"/>
      <c r="Q141" s="18"/>
      <c r="R141" s="18"/>
      <c r="S141" s="18"/>
      <c r="T141" s="18"/>
      <c r="U141" s="18"/>
      <c r="V141" s="18"/>
    </row>
    <row r="144" spans="11:22" x14ac:dyDescent="0.3">
      <c r="K144" s="23"/>
      <c r="L144" s="24"/>
      <c r="M144" s="24"/>
      <c r="N144" s="24"/>
      <c r="O144" s="24"/>
      <c r="P144" s="24"/>
      <c r="Q144" s="24"/>
      <c r="R144" s="24"/>
      <c r="S144" s="25"/>
      <c r="T144" s="25"/>
      <c r="U144" s="25"/>
      <c r="V144" s="24"/>
    </row>
    <row r="145" spans="11:22" x14ac:dyDescent="0.3">
      <c r="K145" s="65"/>
      <c r="L145" s="16"/>
      <c r="M145" s="18"/>
      <c r="N145" s="18"/>
      <c r="O145" s="18"/>
      <c r="P145" s="17"/>
      <c r="Q145" s="18"/>
      <c r="R145" s="18"/>
      <c r="S145" s="18"/>
      <c r="T145" s="18"/>
      <c r="U145" s="18"/>
      <c r="V145" s="18"/>
    </row>
    <row r="146" spans="11:22" x14ac:dyDescent="0.3">
      <c r="K146" s="65"/>
      <c r="L146" s="16"/>
      <c r="M146" s="18"/>
      <c r="N146" s="18"/>
      <c r="O146" s="18"/>
      <c r="P146" s="21"/>
      <c r="Q146" s="18"/>
      <c r="R146" s="18"/>
      <c r="S146" s="18"/>
      <c r="T146" s="18"/>
      <c r="U146" s="18"/>
      <c r="V146" s="18"/>
    </row>
    <row r="147" spans="11:22" x14ac:dyDescent="0.3">
      <c r="K147" s="65"/>
      <c r="L147" s="16"/>
      <c r="M147" s="18"/>
      <c r="N147" s="18"/>
      <c r="O147" s="18"/>
      <c r="P147" s="21"/>
      <c r="Q147" s="18"/>
      <c r="R147" s="18"/>
      <c r="S147" s="18"/>
      <c r="T147" s="18"/>
      <c r="U147" s="18"/>
      <c r="V147" s="18"/>
    </row>
    <row r="148" spans="11:22" x14ac:dyDescent="0.3">
      <c r="K148" s="65"/>
      <c r="L148" s="16"/>
      <c r="M148" s="18"/>
      <c r="N148" s="18"/>
      <c r="O148" s="18"/>
      <c r="P148" s="21"/>
      <c r="Q148" s="18"/>
      <c r="R148" s="18"/>
      <c r="S148" s="18"/>
      <c r="T148" s="18"/>
      <c r="U148" s="18"/>
      <c r="V148" s="18"/>
    </row>
    <row r="149" spans="11:22" x14ac:dyDescent="0.3">
      <c r="K149" s="65"/>
      <c r="L149" s="16"/>
      <c r="M149" s="18"/>
      <c r="N149" s="18"/>
      <c r="O149" s="18"/>
      <c r="P149" s="21"/>
      <c r="Q149" s="18"/>
      <c r="R149" s="18"/>
      <c r="S149" s="18"/>
      <c r="T149" s="18"/>
      <c r="U149" s="18"/>
      <c r="V149" s="18"/>
    </row>
    <row r="150" spans="11:22" x14ac:dyDescent="0.3">
      <c r="K150" s="65"/>
      <c r="L150" s="16"/>
      <c r="M150" s="18"/>
      <c r="N150" s="18"/>
      <c r="O150" s="18"/>
      <c r="P150" s="21"/>
      <c r="Q150" s="18"/>
      <c r="R150" s="18"/>
      <c r="S150" s="18"/>
      <c r="T150" s="18"/>
      <c r="U150" s="18"/>
      <c r="V150" s="18"/>
    </row>
    <row r="151" spans="11:22" x14ac:dyDescent="0.3">
      <c r="K151" s="65"/>
      <c r="L151" s="16"/>
      <c r="M151" s="18"/>
      <c r="N151" s="18"/>
      <c r="O151" s="18"/>
      <c r="P151" s="21"/>
      <c r="Q151" s="18"/>
      <c r="R151" s="18"/>
      <c r="S151" s="18"/>
      <c r="T151" s="18"/>
      <c r="U151" s="18"/>
      <c r="V151" s="18"/>
    </row>
    <row r="152" spans="11:22" x14ac:dyDescent="0.3">
      <c r="K152" s="65"/>
      <c r="L152" s="16"/>
      <c r="M152" s="18"/>
      <c r="N152" s="18"/>
      <c r="O152" s="18"/>
      <c r="P152" s="21"/>
      <c r="Q152" s="18"/>
      <c r="R152" s="18"/>
      <c r="S152" s="18"/>
      <c r="T152" s="18"/>
      <c r="U152" s="18"/>
      <c r="V152" s="18"/>
    </row>
    <row r="153" spans="11:22" x14ac:dyDescent="0.3">
      <c r="K153" s="65"/>
      <c r="L153" s="18"/>
      <c r="M153" s="18"/>
      <c r="N153" s="18"/>
      <c r="O153" s="18"/>
      <c r="P153" s="21"/>
      <c r="Q153" s="18"/>
      <c r="R153" s="18"/>
      <c r="S153" s="18"/>
      <c r="T153" s="18"/>
      <c r="U153" s="18"/>
      <c r="V153" s="18"/>
    </row>
    <row r="154" spans="11:22" x14ac:dyDescent="0.3">
      <c r="K154" s="65"/>
      <c r="L154" s="18"/>
      <c r="M154" s="18"/>
      <c r="N154" s="18"/>
      <c r="O154" s="18"/>
      <c r="P154" s="21"/>
      <c r="Q154" s="18"/>
      <c r="R154" s="18"/>
      <c r="S154" s="18"/>
      <c r="T154" s="18"/>
      <c r="U154" s="18"/>
      <c r="V154" s="18"/>
    </row>
    <row r="155" spans="11:22" x14ac:dyDescent="0.3">
      <c r="K155" s="65"/>
      <c r="L155" s="18"/>
      <c r="M155" s="18"/>
      <c r="N155" s="18"/>
      <c r="O155" s="18"/>
      <c r="P155" s="21"/>
      <c r="Q155" s="18"/>
      <c r="R155" s="18"/>
      <c r="S155" s="18"/>
      <c r="T155" s="18"/>
      <c r="U155" s="18"/>
      <c r="V155" s="18"/>
    </row>
    <row r="158" spans="11:22" x14ac:dyDescent="0.3">
      <c r="K158" s="23"/>
      <c r="L158" s="24"/>
      <c r="M158" s="24"/>
      <c r="N158" s="24"/>
      <c r="O158" s="24"/>
      <c r="P158" s="24"/>
      <c r="Q158" s="24"/>
      <c r="R158" s="24"/>
      <c r="S158" s="25"/>
      <c r="T158" s="25"/>
      <c r="U158" s="25"/>
      <c r="V158" s="24"/>
    </row>
    <row r="159" spans="11:22" x14ac:dyDescent="0.3">
      <c r="K159" s="65"/>
      <c r="L159" s="16"/>
      <c r="M159" s="18"/>
      <c r="N159" s="18"/>
      <c r="O159" s="18"/>
      <c r="P159" s="17"/>
      <c r="Q159" s="18"/>
      <c r="R159" s="18"/>
      <c r="S159" s="18"/>
      <c r="T159" s="18"/>
      <c r="U159" s="18"/>
      <c r="V159" s="18"/>
    </row>
    <row r="160" spans="11:22" x14ac:dyDescent="0.3">
      <c r="K160" s="65"/>
      <c r="L160" s="16"/>
      <c r="M160" s="18"/>
      <c r="N160" s="18"/>
      <c r="O160" s="18"/>
      <c r="P160" s="21"/>
      <c r="Q160" s="18"/>
      <c r="R160" s="18"/>
      <c r="S160" s="18"/>
      <c r="T160" s="18"/>
      <c r="U160" s="18"/>
      <c r="V160" s="18"/>
    </row>
    <row r="161" spans="11:22" x14ac:dyDescent="0.3">
      <c r="K161" s="65"/>
      <c r="L161" s="16"/>
      <c r="M161" s="18"/>
      <c r="N161" s="18"/>
      <c r="O161" s="18"/>
      <c r="P161" s="21"/>
      <c r="Q161" s="18"/>
      <c r="R161" s="18"/>
      <c r="S161" s="18"/>
      <c r="T161" s="18"/>
      <c r="U161" s="18"/>
      <c r="V161" s="18"/>
    </row>
    <row r="162" spans="11:22" x14ac:dyDescent="0.3">
      <c r="K162" s="65"/>
      <c r="L162" s="16"/>
      <c r="M162" s="18"/>
      <c r="N162" s="18"/>
      <c r="O162" s="18"/>
      <c r="P162" s="21"/>
      <c r="Q162" s="18"/>
      <c r="R162" s="18"/>
      <c r="S162" s="18"/>
      <c r="T162" s="18"/>
      <c r="U162" s="18"/>
      <c r="V162" s="18"/>
    </row>
    <row r="163" spans="11:22" x14ac:dyDescent="0.3">
      <c r="K163" s="65"/>
      <c r="L163" s="16"/>
      <c r="M163" s="18"/>
      <c r="N163" s="18"/>
      <c r="O163" s="18"/>
      <c r="P163" s="21"/>
      <c r="Q163" s="18"/>
      <c r="R163" s="18"/>
      <c r="S163" s="18"/>
      <c r="T163" s="18"/>
      <c r="U163" s="18"/>
      <c r="V163" s="18"/>
    </row>
    <row r="164" spans="11:22" x14ac:dyDescent="0.3">
      <c r="K164" s="65"/>
      <c r="L164" s="16"/>
      <c r="M164" s="18"/>
      <c r="N164" s="18"/>
      <c r="O164" s="18"/>
      <c r="P164" s="21"/>
      <c r="Q164" s="18"/>
      <c r="R164" s="18"/>
      <c r="S164" s="18"/>
      <c r="T164" s="18"/>
      <c r="U164" s="18"/>
      <c r="V164" s="18"/>
    </row>
    <row r="165" spans="11:22" x14ac:dyDescent="0.3">
      <c r="K165" s="65"/>
      <c r="L165" s="16"/>
      <c r="M165" s="18"/>
      <c r="N165" s="18"/>
      <c r="O165" s="18"/>
      <c r="P165" s="21"/>
      <c r="Q165" s="18"/>
      <c r="R165" s="18"/>
      <c r="S165" s="18"/>
      <c r="T165" s="18"/>
      <c r="U165" s="18"/>
      <c r="V165" s="18"/>
    </row>
    <row r="166" spans="11:22" x14ac:dyDescent="0.3">
      <c r="K166" s="65"/>
      <c r="L166" s="16"/>
      <c r="M166" s="18"/>
      <c r="N166" s="18"/>
      <c r="O166" s="18"/>
      <c r="P166" s="21"/>
      <c r="Q166" s="18"/>
      <c r="R166" s="18"/>
      <c r="S166" s="18"/>
      <c r="T166" s="18"/>
      <c r="U166" s="18"/>
      <c r="V166" s="18"/>
    </row>
    <row r="167" spans="11:22" x14ac:dyDescent="0.3">
      <c r="K167" s="65"/>
      <c r="L167" s="18"/>
      <c r="M167" s="18"/>
      <c r="N167" s="18"/>
      <c r="O167" s="18"/>
      <c r="P167" s="21"/>
      <c r="Q167" s="18"/>
      <c r="R167" s="18"/>
      <c r="S167" s="18"/>
      <c r="T167" s="18"/>
      <c r="U167" s="18"/>
      <c r="V167" s="18"/>
    </row>
    <row r="168" spans="11:22" x14ac:dyDescent="0.3">
      <c r="K168" s="65"/>
      <c r="L168" s="18"/>
      <c r="M168" s="18"/>
      <c r="N168" s="18"/>
      <c r="O168" s="18"/>
      <c r="P168" s="21"/>
      <c r="Q168" s="18"/>
      <c r="R168" s="18"/>
      <c r="S168" s="18"/>
      <c r="T168" s="18"/>
      <c r="U168" s="18"/>
      <c r="V168" s="18"/>
    </row>
    <row r="169" spans="11:22" x14ac:dyDescent="0.3">
      <c r="K169" s="65"/>
      <c r="L169" s="18"/>
      <c r="M169" s="18"/>
      <c r="N169" s="18"/>
      <c r="O169" s="18"/>
      <c r="P169" s="21"/>
      <c r="Q169" s="18"/>
      <c r="R169" s="18"/>
      <c r="S169" s="18"/>
      <c r="T169" s="18"/>
      <c r="U169" s="18"/>
      <c r="V169" s="18"/>
    </row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Q170"/>
  <sheetViews>
    <sheetView topLeftCell="K1" zoomScale="70" zoomScaleNormal="70"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4173</v>
      </c>
      <c r="D5">
        <v>53206.9</v>
      </c>
      <c r="E5">
        <v>6777.8</v>
      </c>
      <c r="F5">
        <f t="shared" ref="F5:F15" si="0">D5/10000</f>
        <v>5.3206899999999999</v>
      </c>
      <c r="G5">
        <f t="shared" ref="G5:G15" si="1">C5/10000</f>
        <v>0.4173</v>
      </c>
      <c r="H5">
        <f t="shared" ref="H5:H15" si="2">F5-G5</f>
        <v>4.9033899999999999</v>
      </c>
      <c r="I5">
        <f>E5/10000</f>
        <v>0.67778000000000005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4.9552300635014159</v>
      </c>
      <c r="P5" s="2">
        <v>3</v>
      </c>
      <c r="Q5" s="8">
        <f>H5</f>
        <v>4.9033899999999999</v>
      </c>
      <c r="R5" s="8">
        <f>I5</f>
        <v>0.67778000000000005</v>
      </c>
      <c r="S5" s="8">
        <f>Q5/10^6*$Z$4*$Z$3/P5*10^12</f>
        <v>5.447666289999999</v>
      </c>
      <c r="T5" s="8">
        <f>S5*0.06</f>
        <v>0.32685997739999995</v>
      </c>
      <c r="U5" s="8">
        <f>S5/$Z$1</f>
        <v>0.7462556561643835</v>
      </c>
      <c r="V5" s="12">
        <f t="shared" ref="V5:V15" si="4">O5</f>
        <v>4.9552300635014159</v>
      </c>
    </row>
    <row r="6" spans="2:95" x14ac:dyDescent="0.3">
      <c r="B6">
        <v>2</v>
      </c>
      <c r="C6">
        <v>-109.4</v>
      </c>
      <c r="D6">
        <v>58689</v>
      </c>
      <c r="E6">
        <v>4994.6000000000004</v>
      </c>
      <c r="F6">
        <f t="shared" si="0"/>
        <v>5.8689</v>
      </c>
      <c r="G6">
        <f t="shared" si="1"/>
        <v>-1.094E-2</v>
      </c>
      <c r="H6">
        <f t="shared" si="2"/>
        <v>5.8798399999999997</v>
      </c>
      <c r="I6">
        <f t="shared" ref="I6:I15" si="5">E6/10000</f>
        <v>0.49946000000000002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4.3954789452463654</v>
      </c>
      <c r="P6" s="4">
        <v>3</v>
      </c>
      <c r="Q6" s="5">
        <f t="shared" ref="Q6:R15" si="7">H6</f>
        <v>5.8798399999999997</v>
      </c>
      <c r="R6" s="5">
        <f t="shared" si="7"/>
        <v>0.49946000000000002</v>
      </c>
      <c r="S6" s="5">
        <f t="shared" ref="S6:S15" si="8">Q6/10^6*$Z$4*$Z$3/P6*10^12</f>
        <v>6.5325022400000003</v>
      </c>
      <c r="T6" s="5">
        <f t="shared" ref="T6:T15" si="9">S6*0.06</f>
        <v>0.39195013439999998</v>
      </c>
      <c r="U6" s="5">
        <f t="shared" ref="U6:U15" si="10">S6/$Z$1</f>
        <v>0.89486332054794526</v>
      </c>
      <c r="V6" s="5">
        <f t="shared" si="4"/>
        <v>4.3954789452463654</v>
      </c>
    </row>
    <row r="7" spans="2:95" x14ac:dyDescent="0.3">
      <c r="B7">
        <v>3</v>
      </c>
      <c r="C7">
        <v>1716.2</v>
      </c>
      <c r="D7">
        <v>61815.1</v>
      </c>
      <c r="E7">
        <v>5275</v>
      </c>
      <c r="F7">
        <f t="shared" si="0"/>
        <v>6.1815100000000003</v>
      </c>
      <c r="G7">
        <f t="shared" si="1"/>
        <v>0.17161999999999999</v>
      </c>
      <c r="H7">
        <f t="shared" si="2"/>
        <v>6.0098900000000004</v>
      </c>
      <c r="I7">
        <f t="shared" si="5"/>
        <v>0.52749999999999997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3.7919520685367529</v>
      </c>
      <c r="P7" s="4">
        <v>3</v>
      </c>
      <c r="Q7" s="5">
        <f t="shared" si="7"/>
        <v>6.0098900000000004</v>
      </c>
      <c r="R7" s="5">
        <f t="shared" si="7"/>
        <v>0.52749999999999997</v>
      </c>
      <c r="S7" s="5">
        <f t="shared" si="8"/>
        <v>6.6769877900000001</v>
      </c>
      <c r="T7" s="5">
        <f t="shared" si="9"/>
        <v>0.40061926739999998</v>
      </c>
      <c r="U7" s="5">
        <f t="shared" si="10"/>
        <v>0.91465586164383561</v>
      </c>
      <c r="V7" s="5">
        <f t="shared" si="4"/>
        <v>3.7919520685367529</v>
      </c>
      <c r="Y7" t="s">
        <v>41</v>
      </c>
      <c r="Z7">
        <v>1</v>
      </c>
    </row>
    <row r="8" spans="2:95" x14ac:dyDescent="0.3">
      <c r="B8">
        <v>4</v>
      </c>
      <c r="C8">
        <v>-317.39999999999998</v>
      </c>
      <c r="D8">
        <v>78709.399999999994</v>
      </c>
      <c r="E8">
        <v>5165.1000000000004</v>
      </c>
      <c r="F8">
        <f t="shared" si="0"/>
        <v>7.8709399999999992</v>
      </c>
      <c r="G8">
        <f t="shared" si="1"/>
        <v>-3.1739999999999997E-2</v>
      </c>
      <c r="H8">
        <f t="shared" si="2"/>
        <v>7.9026799999999993</v>
      </c>
      <c r="I8">
        <f t="shared" si="5"/>
        <v>0.51651000000000002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2.2966932504725692</v>
      </c>
      <c r="P8" s="4">
        <v>3</v>
      </c>
      <c r="Q8" s="5">
        <f t="shared" si="7"/>
        <v>7.9026799999999993</v>
      </c>
      <c r="R8" s="5">
        <f t="shared" si="7"/>
        <v>0.51651000000000002</v>
      </c>
      <c r="S8" s="5">
        <f t="shared" si="8"/>
        <v>8.7798774799999997</v>
      </c>
      <c r="T8" s="5">
        <f t="shared" si="9"/>
        <v>0.52679264879999999</v>
      </c>
      <c r="U8" s="5">
        <f t="shared" si="10"/>
        <v>1.2027229424657535</v>
      </c>
      <c r="V8" s="5">
        <f t="shared" si="4"/>
        <v>2.2966932504725692</v>
      </c>
    </row>
    <row r="9" spans="2:95" x14ac:dyDescent="0.3">
      <c r="B9">
        <v>5</v>
      </c>
      <c r="C9">
        <v>-51.3</v>
      </c>
      <c r="D9">
        <v>88290.6</v>
      </c>
      <c r="E9">
        <v>5076.6000000000004</v>
      </c>
      <c r="F9">
        <f t="shared" si="0"/>
        <v>8.8290600000000001</v>
      </c>
      <c r="G9">
        <f t="shared" si="1"/>
        <v>-5.13E-3</v>
      </c>
      <c r="H9">
        <f t="shared" si="2"/>
        <v>8.8341899999999995</v>
      </c>
      <c r="I9">
        <f t="shared" si="5"/>
        <v>0.50766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1.6599657004103827</v>
      </c>
      <c r="P9" s="4">
        <v>3</v>
      </c>
      <c r="Q9" s="5">
        <f t="shared" si="7"/>
        <v>8.8341899999999995</v>
      </c>
      <c r="R9" s="5">
        <f t="shared" si="7"/>
        <v>0.50766</v>
      </c>
      <c r="S9" s="5">
        <f t="shared" si="8"/>
        <v>9.8147850900000009</v>
      </c>
      <c r="T9" s="5">
        <f t="shared" si="9"/>
        <v>0.5888871054</v>
      </c>
      <c r="U9" s="5">
        <f t="shared" si="10"/>
        <v>1.3444911082191782</v>
      </c>
      <c r="V9" s="5">
        <f t="shared" si="4"/>
        <v>1.6599657004103827</v>
      </c>
    </row>
    <row r="10" spans="2:95" ht="15" thickBot="1" x14ac:dyDescent="0.35">
      <c r="B10">
        <v>6</v>
      </c>
      <c r="C10">
        <v>1854.4</v>
      </c>
      <c r="D10">
        <v>131499.9</v>
      </c>
      <c r="E10">
        <v>6646.9</v>
      </c>
      <c r="F10">
        <f t="shared" si="0"/>
        <v>13.149989999999999</v>
      </c>
      <c r="G10">
        <f t="shared" si="1"/>
        <v>0.18544000000000002</v>
      </c>
      <c r="H10">
        <f t="shared" si="2"/>
        <v>12.964549999999999</v>
      </c>
      <c r="I10">
        <f t="shared" si="5"/>
        <v>0.66469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1.1490159130493915</v>
      </c>
      <c r="P10" s="4">
        <v>4</v>
      </c>
      <c r="Q10" s="5">
        <f t="shared" si="7"/>
        <v>12.964549999999999</v>
      </c>
      <c r="R10" s="5">
        <f t="shared" si="7"/>
        <v>0.66469</v>
      </c>
      <c r="S10" s="5">
        <f t="shared" si="8"/>
        <v>10.802711287499999</v>
      </c>
      <c r="T10" s="5">
        <f t="shared" si="9"/>
        <v>0.64816267724999999</v>
      </c>
      <c r="U10" s="5">
        <f t="shared" si="10"/>
        <v>1.4798234640410959</v>
      </c>
      <c r="V10" s="5">
        <f t="shared" si="4"/>
        <v>1.1490159130493915</v>
      </c>
    </row>
    <row r="11" spans="2:95" ht="15.6" thickTop="1" thickBot="1" x14ac:dyDescent="0.35">
      <c r="B11">
        <v>7</v>
      </c>
      <c r="C11">
        <v>-565.29999999999995</v>
      </c>
      <c r="D11">
        <v>134470.39999999999</v>
      </c>
      <c r="E11">
        <v>5149.6000000000004</v>
      </c>
      <c r="F11">
        <f t="shared" si="0"/>
        <v>13.447039999999999</v>
      </c>
      <c r="G11">
        <f t="shared" si="1"/>
        <v>-5.6529999999999997E-2</v>
      </c>
      <c r="H11">
        <f t="shared" si="2"/>
        <v>13.50357</v>
      </c>
      <c r="I11">
        <f t="shared" si="5"/>
        <v>0.51496000000000008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0.83064213960254329</v>
      </c>
      <c r="P11" s="4">
        <v>4</v>
      </c>
      <c r="Q11" s="5">
        <f t="shared" si="7"/>
        <v>13.50357</v>
      </c>
      <c r="R11" s="5">
        <f t="shared" si="7"/>
        <v>0.51496000000000008</v>
      </c>
      <c r="S11" s="5">
        <f t="shared" si="8"/>
        <v>11.251849702499999</v>
      </c>
      <c r="T11" s="5">
        <f t="shared" si="9"/>
        <v>0.67511098214999998</v>
      </c>
      <c r="U11" s="5">
        <f t="shared" si="10"/>
        <v>1.5413492743150685</v>
      </c>
      <c r="V11" s="5">
        <f t="shared" si="4"/>
        <v>0.83064213960254329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1114.9000000000001</v>
      </c>
      <c r="D12">
        <v>166642</v>
      </c>
      <c r="E12">
        <v>6524</v>
      </c>
      <c r="F12">
        <f t="shared" si="0"/>
        <v>16.664200000000001</v>
      </c>
      <c r="G12">
        <f t="shared" si="1"/>
        <v>0.11149000000000001</v>
      </c>
      <c r="H12">
        <f t="shared" si="2"/>
        <v>16.552710000000001</v>
      </c>
      <c r="I12">
        <f t="shared" si="5"/>
        <v>0.65239999999999998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0.6965894398220297</v>
      </c>
      <c r="P12" s="4">
        <v>5</v>
      </c>
      <c r="Q12" s="5">
        <f t="shared" si="7"/>
        <v>16.552710000000001</v>
      </c>
      <c r="R12" s="5">
        <f t="shared" si="7"/>
        <v>0.65239999999999998</v>
      </c>
      <c r="S12" s="5">
        <f t="shared" si="8"/>
        <v>11.034036486000002</v>
      </c>
      <c r="T12" s="5">
        <f t="shared" si="9"/>
        <v>0.66204218916000002</v>
      </c>
      <c r="U12" s="5">
        <f t="shared" si="10"/>
        <v>1.5115118473972604</v>
      </c>
      <c r="V12" s="5">
        <f t="shared" si="4"/>
        <v>0.6965894398220297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-1718.3</v>
      </c>
      <c r="D13">
        <v>259526.3</v>
      </c>
      <c r="E13">
        <v>6470.9</v>
      </c>
      <c r="F13">
        <f t="shared" si="0"/>
        <v>25.952629999999999</v>
      </c>
      <c r="G13">
        <f t="shared" si="1"/>
        <v>-0.17182999999999998</v>
      </c>
      <c r="H13">
        <f t="shared" si="2"/>
        <v>26.124459999999999</v>
      </c>
      <c r="I13">
        <f t="shared" si="5"/>
        <v>0.64708999999999994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0.56140155606467401</v>
      </c>
      <c r="P13" s="4">
        <v>8</v>
      </c>
      <c r="Q13" s="5">
        <f t="shared" si="7"/>
        <v>26.124459999999999</v>
      </c>
      <c r="R13" s="5">
        <f t="shared" si="7"/>
        <v>0.64708999999999994</v>
      </c>
      <c r="S13" s="5">
        <f t="shared" si="8"/>
        <v>10.884103147499999</v>
      </c>
      <c r="T13" s="5">
        <f t="shared" si="9"/>
        <v>0.65304618884999999</v>
      </c>
      <c r="U13" s="5">
        <f t="shared" si="10"/>
        <v>1.4909730339041096</v>
      </c>
      <c r="V13" s="5">
        <f t="shared" si="4"/>
        <v>0.56140155606467401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-274.39999999999998</v>
      </c>
      <c r="D14">
        <v>430897.5</v>
      </c>
      <c r="E14">
        <v>7237.7</v>
      </c>
      <c r="F14">
        <f t="shared" si="0"/>
        <v>43.089750000000002</v>
      </c>
      <c r="G14">
        <f t="shared" si="1"/>
        <v>-2.7439999999999999E-2</v>
      </c>
      <c r="H14">
        <f t="shared" si="2"/>
        <v>43.117190000000001</v>
      </c>
      <c r="I14">
        <f t="shared" si="5"/>
        <v>0.72377000000000002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0.40202993378190233</v>
      </c>
      <c r="P14" s="4">
        <v>14</v>
      </c>
      <c r="Q14" s="5">
        <f t="shared" si="7"/>
        <v>43.117190000000001</v>
      </c>
      <c r="R14" s="5">
        <f t="shared" si="7"/>
        <v>0.72377000000000002</v>
      </c>
      <c r="S14" s="5">
        <f t="shared" si="8"/>
        <v>10.264971019285717</v>
      </c>
      <c r="T14" s="5">
        <f t="shared" si="9"/>
        <v>0.61589826115714297</v>
      </c>
      <c r="U14" s="5">
        <f t="shared" si="10"/>
        <v>1.4061604136007833</v>
      </c>
      <c r="V14" s="5">
        <f t="shared" si="4"/>
        <v>0.40202993378190233</v>
      </c>
      <c r="X14" s="31">
        <f t="shared" ref="X14:X24" si="12">O5</f>
        <v>4.9552300635014159</v>
      </c>
      <c r="Y14" s="32">
        <f t="shared" ref="Y14:Y24" si="13">S5</f>
        <v>5.447666289999999</v>
      </c>
      <c r="Z14" s="32">
        <f t="shared" ref="Z14:Z24" si="14">T5</f>
        <v>0.32685997739999995</v>
      </c>
      <c r="AA14" s="32">
        <f t="shared" ref="AA14:AA24" si="15">U5</f>
        <v>0.7462556561643835</v>
      </c>
      <c r="AB14" s="41">
        <f>I5/H5</f>
        <v>0.13822681858877228</v>
      </c>
      <c r="AC14" s="33">
        <f t="shared" ref="AC14:AC24" si="16">R5</f>
        <v>0.67778000000000005</v>
      </c>
      <c r="AD14" s="31">
        <f t="shared" ref="AD14:AD24" si="17">O19</f>
        <v>3.3034867090009441</v>
      </c>
      <c r="AE14" s="32">
        <f t="shared" ref="AE14:AE24" si="18">S19</f>
        <v>2.9179304000000004</v>
      </c>
      <c r="AF14" s="32">
        <f t="shared" ref="AF14:AF24" si="19">T19</f>
        <v>0.17507582400000002</v>
      </c>
      <c r="AG14" s="32">
        <f t="shared" ref="AG14:AG24" si="20">U19</f>
        <v>0.39971649315068497</v>
      </c>
      <c r="AH14" s="41">
        <f>I19/H19</f>
        <v>0.22169509594882728</v>
      </c>
      <c r="AI14" s="33">
        <f>R19</f>
        <v>0.58226</v>
      </c>
      <c r="AJ14" s="31">
        <f t="shared" ref="AJ14:AJ24" si="21">O33</f>
        <v>2.477615031750708</v>
      </c>
      <c r="AK14" s="32">
        <f t="shared" ref="AK14:AK24" si="22">S33</f>
        <v>3.15164036</v>
      </c>
      <c r="AL14" s="32">
        <f t="shared" ref="AL14:AL24" si="23">T33</f>
        <v>0.18909842159999998</v>
      </c>
      <c r="AM14" s="32">
        <f t="shared" ref="AM14:AM24" si="24">U33</f>
        <v>0.43173155616438358</v>
      </c>
      <c r="AN14" s="41">
        <f>I33/H33</f>
        <v>0.19470099691197001</v>
      </c>
      <c r="AO14" s="33">
        <f>R33</f>
        <v>0.55232000000000003</v>
      </c>
      <c r="AP14" s="31">
        <f t="shared" ref="AP14:AP24" si="25">O47</f>
        <v>1.9820920254005663</v>
      </c>
      <c r="AQ14" s="32">
        <f t="shared" ref="AQ14:AQ24" si="26">S47</f>
        <v>2.7274938899999999</v>
      </c>
      <c r="AR14" s="32">
        <f t="shared" ref="AR14:AR24" si="27">T47</f>
        <v>0.16364963339999999</v>
      </c>
      <c r="AS14" s="32">
        <f t="shared" ref="AS14:AS24" si="28">U47</f>
        <v>0.3736293</v>
      </c>
      <c r="AT14" s="41">
        <f>I47/H47</f>
        <v>0.2399358042191618</v>
      </c>
      <c r="AU14" s="33">
        <f>R47</f>
        <v>0.58904000000000001</v>
      </c>
      <c r="AV14" s="31">
        <f t="shared" ref="AV14:AV24" si="29">O61</f>
        <v>1.651743354500472</v>
      </c>
      <c r="AW14" s="32">
        <f t="shared" ref="AW14:AW24" si="30">S61</f>
        <v>2.6388027600000004</v>
      </c>
      <c r="AX14" s="32">
        <f t="shared" ref="AX14:AX24" si="31">T61</f>
        <v>0.15832816560000001</v>
      </c>
      <c r="AY14" s="32">
        <f t="shared" ref="AY14:AY24" si="32">U61</f>
        <v>0.36147983013698637</v>
      </c>
      <c r="AZ14" s="41">
        <f>I61/H61</f>
        <v>0.23395055490998498</v>
      </c>
      <c r="BA14" s="33">
        <f>R61</f>
        <v>0.55567</v>
      </c>
      <c r="BB14" s="31">
        <f t="shared" ref="BB14:BB24" si="33">O75</f>
        <v>1.4157800181432616</v>
      </c>
      <c r="BC14" s="32">
        <f t="shared" ref="BC14:BC24" si="34">S75</f>
        <v>2.8665355399999997</v>
      </c>
      <c r="BD14" s="32">
        <f t="shared" ref="BD14:BD24" si="35">T75</f>
        <v>0.17199213239999997</v>
      </c>
      <c r="BE14" s="32">
        <f t="shared" ref="BE14:BE24" si="36">U75</f>
        <v>0.39267610136986297</v>
      </c>
      <c r="BF14" s="41">
        <f>I75/H75</f>
        <v>0.22302278170951964</v>
      </c>
      <c r="BG14" s="33">
        <f>R75</f>
        <v>0.57543</v>
      </c>
      <c r="BH14" s="31">
        <f t="shared" ref="BH14:BH24" si="37">O89</f>
        <v>1.238807515875354</v>
      </c>
      <c r="BI14" s="32">
        <f t="shared" ref="BI14:BI24" si="38">S89</f>
        <v>3.3114354900000009</v>
      </c>
      <c r="BJ14" s="32">
        <f t="shared" ref="BJ14:BJ24" si="39">T89</f>
        <v>0.19868612940000005</v>
      </c>
      <c r="BK14" s="32">
        <f t="shared" ref="BK14:BK24" si="40">U89</f>
        <v>0.45362130000000012</v>
      </c>
      <c r="BL14" s="41">
        <f>I89/H89</f>
        <v>0.1767435306432619</v>
      </c>
      <c r="BM14" s="33">
        <f>R89</f>
        <v>0.52680000000000005</v>
      </c>
      <c r="BN14" s="31">
        <f t="shared" ref="BN14:BN24" si="41">O103</f>
        <v>1.101162236333648</v>
      </c>
      <c r="BO14" s="32">
        <f t="shared" ref="BO14:BO24" si="42">S103</f>
        <v>3.0405181400000001</v>
      </c>
      <c r="BP14" s="32">
        <f t="shared" ref="BP14:BP24" si="43">T103</f>
        <v>0.1824310884</v>
      </c>
      <c r="BQ14" s="32">
        <f t="shared" ref="BQ14:BQ24" si="44">U103</f>
        <v>0.41650933424657538</v>
      </c>
      <c r="BR14" s="41">
        <f>I103/H103</f>
        <v>0.17794163859190135</v>
      </c>
      <c r="BS14" s="33">
        <f>R103</f>
        <v>0.48698000000000002</v>
      </c>
      <c r="BT14" s="31">
        <f t="shared" ref="BT14:BT24" si="45">O117</f>
        <v>0.99104601270028314</v>
      </c>
      <c r="BU14" s="32">
        <f t="shared" ref="BU14:BU24" si="46">S117</f>
        <v>2.7706562400000001</v>
      </c>
      <c r="BV14" s="32">
        <f t="shared" ref="BV14:BV24" si="47">T117</f>
        <v>0.1662393744</v>
      </c>
      <c r="BW14" s="32">
        <f t="shared" ref="BW14:BW24" si="48">U117</f>
        <v>0.37954195068493152</v>
      </c>
      <c r="BX14" s="41">
        <f>I117/H117</f>
        <v>0.17778606486382445</v>
      </c>
      <c r="BY14" s="33">
        <f>R117</f>
        <v>0.44336999999999999</v>
      </c>
      <c r="BZ14" s="31">
        <f t="shared" ref="BZ14:BZ24" si="49">O131</f>
        <v>0.6606973418001888</v>
      </c>
      <c r="CA14" s="32">
        <f t="shared" ref="CA14:CA24" si="50">S131</f>
        <v>3.2455198599999995</v>
      </c>
      <c r="CB14" s="32">
        <f t="shared" ref="CB14:CB24" si="51">T131</f>
        <v>0.19473119159999996</v>
      </c>
      <c r="CC14" s="32">
        <f t="shared" ref="CC14:CC24" si="52">U131</f>
        <v>0.44459176164383557</v>
      </c>
      <c r="CD14" s="41">
        <f>I131/H131</f>
        <v>0.26741200714760072</v>
      </c>
      <c r="CE14" s="33">
        <f>R131</f>
        <v>0.78117999999999999</v>
      </c>
      <c r="CF14" s="31">
        <f t="shared" ref="CF14:CF24" si="53">O145</f>
        <v>0.49552300635014157</v>
      </c>
      <c r="CG14" s="32">
        <f t="shared" ref="CG14:CG24" si="54">S145</f>
        <v>3.3098911999999996</v>
      </c>
      <c r="CH14" s="32">
        <f t="shared" ref="CH14:CH24" si="55">T145</f>
        <v>0.19859347199999997</v>
      </c>
      <c r="CI14" s="32">
        <f t="shared" ref="CI14:CI24" si="56">U145</f>
        <v>0.4534097534246575</v>
      </c>
      <c r="CJ14" s="41">
        <f>I145/H145</f>
        <v>0.22976973684210528</v>
      </c>
      <c r="CK14" s="33">
        <f>R145</f>
        <v>0.68452999999999997</v>
      </c>
      <c r="CL14" s="31">
        <f t="shared" ref="CL14:CL23" si="57">O159</f>
        <v>0.39641840508011328</v>
      </c>
      <c r="CM14" s="32">
        <f t="shared" ref="CM14:CM23" si="58">S159</f>
        <v>3.45967622</v>
      </c>
      <c r="CN14" s="32">
        <f t="shared" ref="CN14:CN23" si="59">T159</f>
        <v>0.20758057319999998</v>
      </c>
      <c r="CO14" s="32">
        <f t="shared" ref="CO14:CO23" si="60">U159</f>
        <v>0.47392824931506849</v>
      </c>
      <c r="CP14" s="41">
        <f>I159/H159</f>
        <v>0.22689963455597589</v>
      </c>
      <c r="CQ14" s="33">
        <f>R159</f>
        <v>0.70657000000000003</v>
      </c>
    </row>
    <row r="15" spans="2:95" ht="15" thickBot="1" x14ac:dyDescent="0.35">
      <c r="B15">
        <v>11</v>
      </c>
      <c r="C15">
        <v>-3719.4</v>
      </c>
      <c r="D15">
        <v>505167.7</v>
      </c>
      <c r="E15">
        <v>32649.200000000001</v>
      </c>
      <c r="F15">
        <f t="shared" si="0"/>
        <v>50.516770000000001</v>
      </c>
      <c r="G15">
        <f t="shared" si="1"/>
        <v>-0.37193999999999999</v>
      </c>
      <c r="H15">
        <f t="shared" si="2"/>
        <v>50.888710000000003</v>
      </c>
      <c r="I15">
        <f t="shared" si="5"/>
        <v>3.26492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0.25926026770901511</v>
      </c>
      <c r="P15" s="7">
        <v>21</v>
      </c>
      <c r="Q15" s="6">
        <f t="shared" si="7"/>
        <v>50.888710000000003</v>
      </c>
      <c r="R15" s="6">
        <f t="shared" si="7"/>
        <v>3.26492</v>
      </c>
      <c r="S15" s="6">
        <f t="shared" si="8"/>
        <v>8.0767652585714274</v>
      </c>
      <c r="T15" s="6">
        <f t="shared" si="9"/>
        <v>0.48460591551428561</v>
      </c>
      <c r="U15" s="6">
        <f t="shared" si="10"/>
        <v>1.1064061998043051</v>
      </c>
      <c r="V15" s="6">
        <f t="shared" si="4"/>
        <v>0.25926026770901511</v>
      </c>
      <c r="X15" s="34">
        <f t="shared" si="12"/>
        <v>4.3954789452463654</v>
      </c>
      <c r="Y15" s="35">
        <f t="shared" si="13"/>
        <v>6.5325022400000003</v>
      </c>
      <c r="Z15" s="35">
        <f t="shared" si="14"/>
        <v>0.39195013439999998</v>
      </c>
      <c r="AA15" s="35">
        <f t="shared" si="15"/>
        <v>0.89486332054794526</v>
      </c>
      <c r="AB15" s="42">
        <f t="shared" ref="AB15:AB24" si="61">I6/H6</f>
        <v>8.4944488285395525E-2</v>
      </c>
      <c r="AC15" s="36">
        <f t="shared" si="16"/>
        <v>0.49946000000000002</v>
      </c>
      <c r="AD15" s="34">
        <f t="shared" si="17"/>
        <v>2.9303192968309104</v>
      </c>
      <c r="AE15" s="35">
        <f t="shared" si="18"/>
        <v>3.5567998400000009</v>
      </c>
      <c r="AF15" s="35">
        <f t="shared" si="19"/>
        <v>0.21340799040000005</v>
      </c>
      <c r="AG15" s="35">
        <f t="shared" si="20"/>
        <v>0.48723285479452066</v>
      </c>
      <c r="AH15" s="42">
        <f t="shared" ref="AH15:AH24" si="62">I20/H20</f>
        <v>0.17161339897046329</v>
      </c>
      <c r="AI15" s="36">
        <f t="shared" ref="AI15:AI24" si="63">R20</f>
        <v>0.54941000000000006</v>
      </c>
      <c r="AJ15" s="34">
        <f t="shared" si="21"/>
        <v>2.1977394726231827</v>
      </c>
      <c r="AK15" s="35">
        <f t="shared" si="22"/>
        <v>3.33594415</v>
      </c>
      <c r="AL15" s="35">
        <f t="shared" si="23"/>
        <v>0.20015664899999999</v>
      </c>
      <c r="AM15" s="35">
        <f t="shared" si="24"/>
        <v>0.45697865068493154</v>
      </c>
      <c r="AN15" s="42">
        <f t="shared" ref="AN15:AN24" si="64">I34/H34</f>
        <v>0.17638419396200022</v>
      </c>
      <c r="AO15" s="36">
        <f t="shared" ref="AO15:AO24" si="65">R34</f>
        <v>0.52961999999999998</v>
      </c>
      <c r="AP15" s="34">
        <f t="shared" si="25"/>
        <v>1.7581915780985462</v>
      </c>
      <c r="AQ15" s="35">
        <f t="shared" si="26"/>
        <v>3.2649734699999997</v>
      </c>
      <c r="AR15" s="35">
        <f t="shared" si="27"/>
        <v>0.19589840819999998</v>
      </c>
      <c r="AS15" s="35">
        <f t="shared" si="28"/>
        <v>0.44725663972602736</v>
      </c>
      <c r="AT15" s="42">
        <f t="shared" ref="AT15:AT24" si="66">I48/H48</f>
        <v>0.18836451985014141</v>
      </c>
      <c r="AU15" s="36">
        <f t="shared" ref="AU15:AU24" si="67">R48</f>
        <v>0.55356000000000005</v>
      </c>
      <c r="AV15" s="34">
        <f t="shared" si="29"/>
        <v>1.4651596484154552</v>
      </c>
      <c r="AW15" s="35">
        <f t="shared" si="30"/>
        <v>3.4321789700000003</v>
      </c>
      <c r="AX15" s="35">
        <f t="shared" si="31"/>
        <v>0.20593073820000002</v>
      </c>
      <c r="AY15" s="35">
        <f t="shared" si="32"/>
        <v>0.47016150273972607</v>
      </c>
      <c r="AZ15" s="42">
        <f t="shared" ref="AZ15:AZ24" si="68">I62/H62</f>
        <v>0.19295173293367043</v>
      </c>
      <c r="BA15" s="36">
        <f t="shared" ref="BA15:BA24" si="69">R62</f>
        <v>0.59608000000000005</v>
      </c>
      <c r="BB15" s="34">
        <f t="shared" si="33"/>
        <v>1.2558511272132473</v>
      </c>
      <c r="BC15" s="35">
        <f t="shared" si="34"/>
        <v>2.7827105900000002</v>
      </c>
      <c r="BD15" s="35">
        <f t="shared" si="35"/>
        <v>0.1669626354</v>
      </c>
      <c r="BE15" s="35">
        <f t="shared" si="36"/>
        <v>0.38119323150684936</v>
      </c>
      <c r="BF15" s="42">
        <f t="shared" ref="BF15:BF24" si="70">I76/H76</f>
        <v>0.24835009522136467</v>
      </c>
      <c r="BG15" s="36">
        <f t="shared" ref="BG15:BG24" si="71">R76</f>
        <v>0.62203999999999993</v>
      </c>
      <c r="BH15" s="34">
        <f t="shared" si="37"/>
        <v>1.0988697363115913</v>
      </c>
      <c r="BI15" s="35">
        <f t="shared" si="38"/>
        <v>2.5182592599999998</v>
      </c>
      <c r="BJ15" s="35">
        <f t="shared" si="39"/>
        <v>0.15109555559999999</v>
      </c>
      <c r="BK15" s="35">
        <f t="shared" si="40"/>
        <v>0.3449670219178082</v>
      </c>
      <c r="BL15" s="42">
        <f t="shared" ref="BL15:BL24" si="72">I90/H90</f>
        <v>0.21930505677957876</v>
      </c>
      <c r="BM15" s="36">
        <f t="shared" ref="BM15:BM24" si="73">R90</f>
        <v>0.49708999999999998</v>
      </c>
      <c r="BN15" s="34">
        <f t="shared" si="41"/>
        <v>0.97677309894363673</v>
      </c>
      <c r="BO15" s="35">
        <f t="shared" si="42"/>
        <v>2.5026274900000001</v>
      </c>
      <c r="BP15" s="35">
        <f t="shared" si="43"/>
        <v>0.15015764940000001</v>
      </c>
      <c r="BQ15" s="35">
        <f t="shared" si="44"/>
        <v>0.34282568356164383</v>
      </c>
      <c r="BR15" s="42">
        <f t="shared" ref="BR15:BR24" si="74">I104/H104</f>
        <v>0.21726101953751015</v>
      </c>
      <c r="BS15" s="36">
        <f t="shared" ref="BS15:BS24" si="75">R104</f>
        <v>0.4894</v>
      </c>
      <c r="BT15" s="34">
        <f t="shared" si="45"/>
        <v>0.8790957890492731</v>
      </c>
      <c r="BU15" s="35">
        <f t="shared" si="46"/>
        <v>2.4203135000000002</v>
      </c>
      <c r="BV15" s="35">
        <f t="shared" si="47"/>
        <v>0.14521881</v>
      </c>
      <c r="BW15" s="35">
        <f t="shared" si="48"/>
        <v>0.331549794520548</v>
      </c>
      <c r="BX15" s="42">
        <f t="shared" ref="BX15:BX24" si="76">I118/H118</f>
        <v>0.23842093183383059</v>
      </c>
      <c r="BY15" s="36">
        <f t="shared" ref="BY15:BY24" si="77">R118</f>
        <v>0.51939999999999997</v>
      </c>
      <c r="BZ15" s="34">
        <f t="shared" si="49"/>
        <v>0.5860638593661821</v>
      </c>
      <c r="CA15" s="35">
        <f t="shared" si="50"/>
        <v>2.9819239999999998</v>
      </c>
      <c r="CB15" s="35">
        <f t="shared" si="51"/>
        <v>0.17891543999999998</v>
      </c>
      <c r="CC15" s="35">
        <f t="shared" si="52"/>
        <v>0.40848273972602739</v>
      </c>
      <c r="CD15" s="42">
        <f t="shared" ref="CD15:CD24" si="78">I132/H132</f>
        <v>0.25505216095380029</v>
      </c>
      <c r="CE15" s="36">
        <f t="shared" ref="CE15:CE24" si="79">R132</f>
        <v>0.68456000000000006</v>
      </c>
      <c r="CF15" s="34">
        <f t="shared" si="53"/>
        <v>0.43954789452463655</v>
      </c>
      <c r="CG15" s="35">
        <f t="shared" si="54"/>
        <v>3.0986234400000003</v>
      </c>
      <c r="CH15" s="35">
        <f t="shared" si="55"/>
        <v>0.18591740640000001</v>
      </c>
      <c r="CI15" s="35">
        <f t="shared" si="56"/>
        <v>0.42446896438356169</v>
      </c>
      <c r="CJ15" s="42">
        <f t="shared" ref="CJ15:CJ24" si="80">I146/H146</f>
        <v>0.22479419441815107</v>
      </c>
      <c r="CK15" s="36">
        <f t="shared" ref="CK15:CK24" si="81">R146</f>
        <v>0.62696000000000007</v>
      </c>
      <c r="CL15" s="34">
        <f t="shared" si="57"/>
        <v>0.35163831561970921</v>
      </c>
      <c r="CM15" s="35">
        <f t="shared" si="58"/>
        <v>3.3345331800000002</v>
      </c>
      <c r="CN15" s="35">
        <f t="shared" si="59"/>
        <v>0.20007199080000002</v>
      </c>
      <c r="CO15" s="35">
        <f t="shared" si="60"/>
        <v>0.45678536712328771</v>
      </c>
      <c r="CP15" s="42">
        <f t="shared" ref="CP15:CP23" si="82">I160/H160</f>
        <v>0.23595146232732941</v>
      </c>
      <c r="CQ15" s="36">
        <f t="shared" ref="CQ15:CQ23" si="83">R160</f>
        <v>0.70818000000000003</v>
      </c>
    </row>
    <row r="16" spans="2:95" ht="15" thickTop="1" x14ac:dyDescent="0.3">
      <c r="X16" s="34">
        <f t="shared" si="12"/>
        <v>3.7919520685367529</v>
      </c>
      <c r="Y16" s="35">
        <f t="shared" si="13"/>
        <v>6.6769877900000001</v>
      </c>
      <c r="Z16" s="35">
        <f t="shared" si="14"/>
        <v>0.40061926739999998</v>
      </c>
      <c r="AA16" s="35">
        <f t="shared" si="15"/>
        <v>0.91465586164383561</v>
      </c>
      <c r="AB16" s="42">
        <f t="shared" si="61"/>
        <v>8.7771989171182827E-2</v>
      </c>
      <c r="AC16" s="36">
        <f t="shared" si="16"/>
        <v>0.52749999999999997</v>
      </c>
      <c r="AD16" s="34">
        <f t="shared" si="17"/>
        <v>2.5279680456911686</v>
      </c>
      <c r="AE16" s="35">
        <f t="shared" si="18"/>
        <v>2.5884744600000005</v>
      </c>
      <c r="AF16" s="35">
        <f t="shared" si="19"/>
        <v>0.15530846760000003</v>
      </c>
      <c r="AG16" s="35">
        <f t="shared" si="20"/>
        <v>0.35458554246575352</v>
      </c>
      <c r="AH16" s="42">
        <f t="shared" si="62"/>
        <v>0.21643789755607631</v>
      </c>
      <c r="AI16" s="36">
        <f t="shared" si="63"/>
        <v>0.50427</v>
      </c>
      <c r="AJ16" s="34">
        <f t="shared" si="21"/>
        <v>1.8959760342683765</v>
      </c>
      <c r="AK16" s="35">
        <f t="shared" si="22"/>
        <v>3.4300458500000004</v>
      </c>
      <c r="AL16" s="35">
        <f t="shared" si="23"/>
        <v>0.20580275100000001</v>
      </c>
      <c r="AM16" s="35">
        <f t="shared" si="24"/>
        <v>0.46986929452054799</v>
      </c>
      <c r="AN16" s="42">
        <f t="shared" si="64"/>
        <v>0.16436426061185158</v>
      </c>
      <c r="AO16" s="36">
        <f t="shared" si="65"/>
        <v>0.50744999999999996</v>
      </c>
      <c r="AP16" s="34">
        <f t="shared" si="25"/>
        <v>1.5167808274147012</v>
      </c>
      <c r="AQ16" s="35">
        <f t="shared" si="26"/>
        <v>3.6958414900000007</v>
      </c>
      <c r="AR16" s="35">
        <f t="shared" si="27"/>
        <v>0.22175048940000003</v>
      </c>
      <c r="AS16" s="35">
        <f t="shared" si="28"/>
        <v>0.50627965616438364</v>
      </c>
      <c r="AT16" s="42">
        <f t="shared" si="66"/>
        <v>0.1602962793731719</v>
      </c>
      <c r="AU16" s="36">
        <f t="shared" si="67"/>
        <v>0.53323999999999994</v>
      </c>
      <c r="AV16" s="34">
        <f t="shared" si="29"/>
        <v>1.2639840228455843</v>
      </c>
      <c r="AW16" s="35">
        <f t="shared" si="30"/>
        <v>3.2745502900000005</v>
      </c>
      <c r="AX16" s="35">
        <f t="shared" si="31"/>
        <v>0.19647301740000003</v>
      </c>
      <c r="AY16" s="35">
        <f t="shared" si="32"/>
        <v>0.44856853287671239</v>
      </c>
      <c r="AZ16" s="42">
        <f t="shared" si="68"/>
        <v>0.21214701820933099</v>
      </c>
      <c r="BA16" s="36">
        <f t="shared" si="69"/>
        <v>0.62528000000000006</v>
      </c>
      <c r="BB16" s="34">
        <f t="shared" si="33"/>
        <v>1.0834148767247866</v>
      </c>
      <c r="BC16" s="35">
        <f t="shared" si="34"/>
        <v>2.9904009299999998</v>
      </c>
      <c r="BD16" s="35">
        <f t="shared" si="35"/>
        <v>0.17942405579999998</v>
      </c>
      <c r="BE16" s="35">
        <f t="shared" si="36"/>
        <v>0.4096439630136986</v>
      </c>
      <c r="BF16" s="42">
        <f t="shared" si="70"/>
        <v>0.21018119132273011</v>
      </c>
      <c r="BG16" s="36">
        <f t="shared" si="71"/>
        <v>0.56573000000000007</v>
      </c>
      <c r="BH16" s="34">
        <f t="shared" si="37"/>
        <v>0.94798801713418823</v>
      </c>
      <c r="BI16" s="35">
        <f t="shared" si="38"/>
        <v>3.3566309699999999</v>
      </c>
      <c r="BJ16" s="35">
        <f t="shared" si="39"/>
        <v>0.20139785819999997</v>
      </c>
      <c r="BK16" s="35">
        <f t="shared" si="40"/>
        <v>0.4598124616438356</v>
      </c>
      <c r="BL16" s="42">
        <f t="shared" si="72"/>
        <v>0.1786930661609191</v>
      </c>
      <c r="BM16" s="36">
        <f t="shared" si="73"/>
        <v>0.53988000000000003</v>
      </c>
      <c r="BN16" s="34">
        <f t="shared" si="41"/>
        <v>0.84265601523038958</v>
      </c>
      <c r="BO16" s="35">
        <f t="shared" si="42"/>
        <v>3.2387316500000001</v>
      </c>
      <c r="BP16" s="35">
        <f t="shared" si="43"/>
        <v>0.19432389899999999</v>
      </c>
      <c r="BQ16" s="35">
        <f t="shared" si="44"/>
        <v>0.4436618698630137</v>
      </c>
      <c r="BR16" s="42">
        <f t="shared" si="74"/>
        <v>0.168252062501072</v>
      </c>
      <c r="BS16" s="36">
        <f t="shared" si="75"/>
        <v>0.49048000000000003</v>
      </c>
      <c r="BT16" s="34">
        <f t="shared" si="45"/>
        <v>0.75839041370735061</v>
      </c>
      <c r="BU16" s="35">
        <f t="shared" si="46"/>
        <v>3.19366949</v>
      </c>
      <c r="BV16" s="35">
        <f t="shared" si="47"/>
        <v>0.19162016939999998</v>
      </c>
      <c r="BW16" s="35">
        <f t="shared" si="48"/>
        <v>0.43748897123287672</v>
      </c>
      <c r="BX16" s="42">
        <f t="shared" si="76"/>
        <v>0.19925276300272388</v>
      </c>
      <c r="BY16" s="36">
        <f t="shared" si="77"/>
        <v>0.57277</v>
      </c>
      <c r="BZ16" s="34">
        <f t="shared" si="49"/>
        <v>0.5055936091382337</v>
      </c>
      <c r="CA16" s="35">
        <f t="shared" si="50"/>
        <v>3.0974457800000001</v>
      </c>
      <c r="CB16" s="35">
        <f t="shared" si="51"/>
        <v>0.18584674679999999</v>
      </c>
      <c r="CC16" s="35">
        <f t="shared" si="52"/>
        <v>0.42430764109589042</v>
      </c>
      <c r="CD16" s="42">
        <f t="shared" si="78"/>
        <v>0.23682020674466817</v>
      </c>
      <c r="CE16" s="36">
        <f t="shared" si="79"/>
        <v>0.66025</v>
      </c>
      <c r="CF16" s="34">
        <f t="shared" si="53"/>
        <v>0.3791952068536753</v>
      </c>
      <c r="CG16" s="35">
        <f t="shared" si="54"/>
        <v>3.6041173300000007</v>
      </c>
      <c r="CH16" s="35">
        <f t="shared" si="55"/>
        <v>0.21624703980000004</v>
      </c>
      <c r="CI16" s="35">
        <f t="shared" si="56"/>
        <v>0.49371470273972612</v>
      </c>
      <c r="CJ16" s="42">
        <f t="shared" si="80"/>
        <v>0.22522603058541382</v>
      </c>
      <c r="CK16" s="36">
        <f t="shared" si="81"/>
        <v>0.73063999999999996</v>
      </c>
      <c r="CL16" s="34">
        <f t="shared" si="57"/>
        <v>0.30335616548294025</v>
      </c>
      <c r="CM16" s="35">
        <f t="shared" si="58"/>
        <v>3.3764067700000004</v>
      </c>
      <c r="CN16" s="35">
        <f t="shared" si="59"/>
        <v>0.20258440620000001</v>
      </c>
      <c r="CO16" s="35">
        <f t="shared" si="60"/>
        <v>0.46252147534246585</v>
      </c>
      <c r="CP16" s="42">
        <f t="shared" si="82"/>
        <v>0.24281770410026748</v>
      </c>
      <c r="CQ16" s="36">
        <f t="shared" si="83"/>
        <v>0.73793999999999993</v>
      </c>
    </row>
    <row r="17" spans="2:95" ht="15" thickBot="1" x14ac:dyDescent="0.35">
      <c r="X17" s="34">
        <f t="shared" si="12"/>
        <v>2.2966932504725692</v>
      </c>
      <c r="Y17" s="35">
        <f t="shared" si="13"/>
        <v>8.7798774799999997</v>
      </c>
      <c r="Z17" s="35">
        <f t="shared" si="14"/>
        <v>0.52679264879999999</v>
      </c>
      <c r="AA17" s="35">
        <f t="shared" si="15"/>
        <v>1.2027229424657535</v>
      </c>
      <c r="AB17" s="42">
        <f t="shared" si="61"/>
        <v>6.5358840292154066E-2</v>
      </c>
      <c r="AC17" s="36">
        <f t="shared" si="16"/>
        <v>0.51651000000000002</v>
      </c>
      <c r="AD17" s="34">
        <f t="shared" si="17"/>
        <v>1.5311288336483795</v>
      </c>
      <c r="AE17" s="35">
        <f t="shared" si="18"/>
        <v>3.4733970699999999</v>
      </c>
      <c r="AF17" s="35">
        <f t="shared" si="19"/>
        <v>0.20840382419999998</v>
      </c>
      <c r="AG17" s="35">
        <f t="shared" si="20"/>
        <v>0.47580781780821918</v>
      </c>
      <c r="AH17" s="42">
        <f t="shared" si="62"/>
        <v>0.16752335775995805</v>
      </c>
      <c r="AI17" s="36">
        <f t="shared" si="63"/>
        <v>0.52373999999999998</v>
      </c>
      <c r="AJ17" s="34">
        <f t="shared" si="21"/>
        <v>1.1483466252362846</v>
      </c>
      <c r="AK17" s="35">
        <f t="shared" si="22"/>
        <v>4.0055216300000005</v>
      </c>
      <c r="AL17" s="35">
        <f t="shared" si="23"/>
        <v>0.24033129780000001</v>
      </c>
      <c r="AM17" s="35">
        <f t="shared" si="24"/>
        <v>0.54870159315068501</v>
      </c>
      <c r="AN17" s="42">
        <f t="shared" si="64"/>
        <v>0.15117062793142375</v>
      </c>
      <c r="AO17" s="36">
        <f t="shared" si="65"/>
        <v>0.54501999999999995</v>
      </c>
      <c r="AP17" s="34">
        <f t="shared" si="25"/>
        <v>0.91867730018902771</v>
      </c>
      <c r="AQ17" s="35">
        <f t="shared" si="26"/>
        <v>3.2081124899999995</v>
      </c>
      <c r="AR17" s="35">
        <f t="shared" si="27"/>
        <v>0.19248674939999996</v>
      </c>
      <c r="AS17" s="35">
        <f t="shared" si="28"/>
        <v>0.4394674643835616</v>
      </c>
      <c r="AT17" s="42">
        <f t="shared" si="66"/>
        <v>0.21651273207068872</v>
      </c>
      <c r="AU17" s="36">
        <f t="shared" si="67"/>
        <v>0.62519999999999998</v>
      </c>
      <c r="AV17" s="34">
        <f t="shared" si="29"/>
        <v>0.76556441682418974</v>
      </c>
      <c r="AW17" s="35">
        <f t="shared" si="30"/>
        <v>3.5077047500000003</v>
      </c>
      <c r="AX17" s="35">
        <f t="shared" si="31"/>
        <v>0.210462285</v>
      </c>
      <c r="AY17" s="35">
        <f t="shared" si="32"/>
        <v>0.48050750000000003</v>
      </c>
      <c r="AZ17" s="42">
        <f t="shared" si="68"/>
        <v>0.19635758967455857</v>
      </c>
      <c r="BA17" s="36">
        <f t="shared" si="69"/>
        <v>0.61995</v>
      </c>
      <c r="BB17" s="34">
        <f t="shared" si="33"/>
        <v>0.65619807156359122</v>
      </c>
      <c r="BC17" s="35">
        <f t="shared" si="34"/>
        <v>3.4395226800000001</v>
      </c>
      <c r="BD17" s="35">
        <f t="shared" si="35"/>
        <v>0.20637136079999999</v>
      </c>
      <c r="BE17" s="35">
        <f t="shared" si="36"/>
        <v>0.4711674904109589</v>
      </c>
      <c r="BF17" s="42">
        <f t="shared" si="70"/>
        <v>0.19752380583226742</v>
      </c>
      <c r="BG17" s="36">
        <f t="shared" si="71"/>
        <v>0.61151</v>
      </c>
      <c r="BH17" s="34">
        <f t="shared" si="37"/>
        <v>0.57417331261814231</v>
      </c>
      <c r="BI17" s="35">
        <f t="shared" si="38"/>
        <v>3.4262684500000002</v>
      </c>
      <c r="BJ17" s="35">
        <f t="shared" si="39"/>
        <v>0.20557610700000001</v>
      </c>
      <c r="BK17" s="35">
        <f t="shared" si="40"/>
        <v>0.46935184246575345</v>
      </c>
      <c r="BL17" s="42">
        <f t="shared" si="72"/>
        <v>0.20335932813437313</v>
      </c>
      <c r="BM17" s="36">
        <f t="shared" si="73"/>
        <v>0.62714999999999999</v>
      </c>
      <c r="BN17" s="34">
        <f t="shared" si="41"/>
        <v>0.51037627788279316</v>
      </c>
      <c r="BO17" s="35">
        <f t="shared" si="42"/>
        <v>3.0657933900000005</v>
      </c>
      <c r="BP17" s="35">
        <f t="shared" si="43"/>
        <v>0.18394760340000002</v>
      </c>
      <c r="BQ17" s="35">
        <f t="shared" si="44"/>
        <v>0.41997169726027406</v>
      </c>
      <c r="BR17" s="42">
        <f t="shared" si="74"/>
        <v>0.24696230100489577</v>
      </c>
      <c r="BS17" s="36">
        <f t="shared" si="75"/>
        <v>0.68148999999999993</v>
      </c>
      <c r="BT17" s="34">
        <f t="shared" si="45"/>
        <v>0.45933865009451386</v>
      </c>
      <c r="BU17" s="35">
        <f t="shared" si="46"/>
        <v>3.03050803</v>
      </c>
      <c r="BV17" s="35">
        <f t="shared" si="47"/>
        <v>0.1818304818</v>
      </c>
      <c r="BW17" s="35">
        <f t="shared" si="48"/>
        <v>0.41513808630136989</v>
      </c>
      <c r="BX17" s="42">
        <f t="shared" si="76"/>
        <v>0.23433037727341044</v>
      </c>
      <c r="BY17" s="36">
        <f t="shared" si="77"/>
        <v>0.63918999999999992</v>
      </c>
      <c r="BZ17" s="34">
        <f t="shared" si="49"/>
        <v>0.30622576672967589</v>
      </c>
      <c r="CA17" s="35">
        <f t="shared" si="50"/>
        <v>3.2583741300000004</v>
      </c>
      <c r="CB17" s="35">
        <f t="shared" si="51"/>
        <v>0.19550244780000001</v>
      </c>
      <c r="CC17" s="35">
        <f t="shared" si="52"/>
        <v>0.44635262054794528</v>
      </c>
      <c r="CD17" s="42">
        <f t="shared" si="78"/>
        <v>0.26120163800834006</v>
      </c>
      <c r="CE17" s="36">
        <f t="shared" si="79"/>
        <v>0.76606000000000007</v>
      </c>
      <c r="CF17" s="34">
        <f t="shared" si="53"/>
        <v>0.22966932504725693</v>
      </c>
      <c r="CG17" s="35">
        <f t="shared" si="54"/>
        <v>3.7495250100000002</v>
      </c>
      <c r="CH17" s="35">
        <f t="shared" si="55"/>
        <v>0.22497150060000001</v>
      </c>
      <c r="CI17" s="35">
        <f t="shared" si="56"/>
        <v>0.51363356301369867</v>
      </c>
      <c r="CJ17" s="42">
        <f t="shared" si="80"/>
        <v>0.19726451964644981</v>
      </c>
      <c r="CK17" s="36">
        <f t="shared" si="81"/>
        <v>0.66574999999999995</v>
      </c>
      <c r="CL17" s="34">
        <f t="shared" si="57"/>
        <v>0.18373546003780553</v>
      </c>
      <c r="CM17" s="35">
        <f t="shared" si="58"/>
        <v>3.7640568900000004</v>
      </c>
      <c r="CN17" s="35">
        <f t="shared" si="59"/>
        <v>0.22584341340000003</v>
      </c>
      <c r="CO17" s="35">
        <f t="shared" si="60"/>
        <v>0.51562423150684944</v>
      </c>
      <c r="CP17" s="42">
        <f t="shared" si="82"/>
        <v>0.24602197763275568</v>
      </c>
      <c r="CQ17" s="36">
        <f t="shared" si="83"/>
        <v>0.83352000000000004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1.6599657004103827</v>
      </c>
      <c r="Y18" s="35">
        <f t="shared" si="13"/>
        <v>9.8147850900000009</v>
      </c>
      <c r="Z18" s="35">
        <f t="shared" si="14"/>
        <v>0.5888871054</v>
      </c>
      <c r="AA18" s="35">
        <f t="shared" si="15"/>
        <v>1.3444911082191782</v>
      </c>
      <c r="AB18" s="42">
        <f t="shared" si="61"/>
        <v>5.7465370339555753E-2</v>
      </c>
      <c r="AC18" s="36">
        <f t="shared" si="16"/>
        <v>0.50766</v>
      </c>
      <c r="AD18" s="34">
        <f t="shared" si="17"/>
        <v>1.1066438002735886</v>
      </c>
      <c r="AE18" s="35">
        <f t="shared" si="18"/>
        <v>4.4295681100000008</v>
      </c>
      <c r="AF18" s="35">
        <f t="shared" si="19"/>
        <v>0.26577408660000001</v>
      </c>
      <c r="AG18" s="35">
        <f t="shared" si="20"/>
        <v>0.6067901520547947</v>
      </c>
      <c r="AH18" s="42">
        <f t="shared" si="62"/>
        <v>0.14982405361411183</v>
      </c>
      <c r="AI18" s="36">
        <f t="shared" si="63"/>
        <v>0.59735000000000005</v>
      </c>
      <c r="AJ18" s="34">
        <f t="shared" si="21"/>
        <v>0.82998285020519136</v>
      </c>
      <c r="AK18" s="35">
        <f t="shared" si="22"/>
        <v>4.3582419099999994</v>
      </c>
      <c r="AL18" s="35">
        <f t="shared" si="23"/>
        <v>0.26149451459999995</v>
      </c>
      <c r="AM18" s="35">
        <f t="shared" si="24"/>
        <v>0.59701943972602733</v>
      </c>
      <c r="AN18" s="42">
        <f t="shared" si="64"/>
        <v>0.15828194585004118</v>
      </c>
      <c r="AO18" s="36">
        <f t="shared" si="65"/>
        <v>0.62091000000000007</v>
      </c>
      <c r="AP18" s="34">
        <f t="shared" si="25"/>
        <v>0.66398628016415306</v>
      </c>
      <c r="AQ18" s="35">
        <f t="shared" si="26"/>
        <v>4.1476963000000007</v>
      </c>
      <c r="AR18" s="35">
        <f t="shared" si="27"/>
        <v>0.24886177800000003</v>
      </c>
      <c r="AS18" s="35">
        <f t="shared" si="28"/>
        <v>0.56817757534246582</v>
      </c>
      <c r="AT18" s="42">
        <f t="shared" si="66"/>
        <v>0.18783917713551015</v>
      </c>
      <c r="AU18" s="36">
        <f t="shared" si="67"/>
        <v>0.70125999999999999</v>
      </c>
      <c r="AV18" s="34">
        <f t="shared" si="29"/>
        <v>0.55332190013679428</v>
      </c>
      <c r="AW18" s="35">
        <f t="shared" si="30"/>
        <v>3.7668566100000005</v>
      </c>
      <c r="AX18" s="35">
        <f t="shared" si="31"/>
        <v>0.22601139660000003</v>
      </c>
      <c r="AY18" s="35">
        <f t="shared" si="32"/>
        <v>0.51600775479452066</v>
      </c>
      <c r="AZ18" s="42">
        <f t="shared" si="68"/>
        <v>0.18938448787940457</v>
      </c>
      <c r="BA18" s="36">
        <f t="shared" si="69"/>
        <v>0.64211000000000007</v>
      </c>
      <c r="BB18" s="34">
        <f t="shared" si="33"/>
        <v>0.47427591440296651</v>
      </c>
      <c r="BC18" s="35">
        <f t="shared" si="34"/>
        <v>3.0523169600000006</v>
      </c>
      <c r="BD18" s="35">
        <f t="shared" si="35"/>
        <v>0.18313901760000004</v>
      </c>
      <c r="BE18" s="35">
        <f t="shared" si="36"/>
        <v>0.41812561095890421</v>
      </c>
      <c r="BF18" s="42">
        <f t="shared" si="70"/>
        <v>0.27219585347388031</v>
      </c>
      <c r="BG18" s="36">
        <f t="shared" si="71"/>
        <v>0.74781999999999993</v>
      </c>
      <c r="BH18" s="34">
        <f t="shared" si="37"/>
        <v>0.41499142510259568</v>
      </c>
      <c r="BI18" s="35">
        <f t="shared" si="38"/>
        <v>3.1548067100000003</v>
      </c>
      <c r="BJ18" s="35">
        <f t="shared" si="39"/>
        <v>0.18928840260000002</v>
      </c>
      <c r="BK18" s="35">
        <f t="shared" si="40"/>
        <v>0.43216530273972609</v>
      </c>
      <c r="BL18" s="42">
        <f t="shared" si="72"/>
        <v>0.22092118283848841</v>
      </c>
      <c r="BM18" s="36">
        <f t="shared" si="73"/>
        <v>0.62733000000000005</v>
      </c>
      <c r="BN18" s="34">
        <f t="shared" si="41"/>
        <v>0.36888126675786281</v>
      </c>
      <c r="BO18" s="35">
        <f t="shared" si="42"/>
        <v>2.7576019900000004</v>
      </c>
      <c r="BP18" s="35">
        <f t="shared" si="43"/>
        <v>0.16545611940000002</v>
      </c>
      <c r="BQ18" s="35">
        <f t="shared" si="44"/>
        <v>0.37775369726027402</v>
      </c>
      <c r="BR18" s="42">
        <f t="shared" si="74"/>
        <v>0.22623676014971253</v>
      </c>
      <c r="BS18" s="36">
        <f t="shared" si="75"/>
        <v>0.56153999999999993</v>
      </c>
      <c r="BT18" s="34">
        <f t="shared" si="45"/>
        <v>0.33199314008207653</v>
      </c>
      <c r="BU18" s="35">
        <f t="shared" si="46"/>
        <v>3.0236975999999998</v>
      </c>
      <c r="BV18" s="35">
        <f t="shared" si="47"/>
        <v>0.18142185599999999</v>
      </c>
      <c r="BW18" s="35">
        <f t="shared" si="48"/>
        <v>0.41420515068493147</v>
      </c>
      <c r="BX18" s="42">
        <f t="shared" si="76"/>
        <v>0.25055849500293942</v>
      </c>
      <c r="BY18" s="36">
        <f t="shared" si="77"/>
        <v>0.68191999999999997</v>
      </c>
      <c r="BZ18" s="34">
        <f t="shared" si="49"/>
        <v>0.22132876005471769</v>
      </c>
      <c r="CA18" s="35">
        <f t="shared" si="50"/>
        <v>2.9472163600000001</v>
      </c>
      <c r="CB18" s="35">
        <f t="shared" si="51"/>
        <v>0.17683298159999999</v>
      </c>
      <c r="CC18" s="35">
        <f t="shared" si="52"/>
        <v>0.40372826849315069</v>
      </c>
      <c r="CD18" s="42">
        <f t="shared" si="78"/>
        <v>0.23817458043697884</v>
      </c>
      <c r="CE18" s="36">
        <f t="shared" si="79"/>
        <v>0.63181999999999994</v>
      </c>
      <c r="CF18" s="34">
        <f t="shared" si="53"/>
        <v>0.16599657004103827</v>
      </c>
      <c r="CG18" s="35">
        <f t="shared" si="54"/>
        <v>3.3411769600000003</v>
      </c>
      <c r="CH18" s="35">
        <f t="shared" si="55"/>
        <v>0.20047061760000001</v>
      </c>
      <c r="CI18" s="35">
        <f t="shared" si="56"/>
        <v>0.4576954739726028</v>
      </c>
      <c r="CJ18" s="42">
        <f t="shared" si="80"/>
        <v>0.25825973611406683</v>
      </c>
      <c r="CK18" s="36">
        <f t="shared" si="81"/>
        <v>0.77668000000000004</v>
      </c>
      <c r="CL18" s="34">
        <f t="shared" si="57"/>
        <v>0.13279725603283063</v>
      </c>
      <c r="CM18" s="35">
        <f t="shared" si="58"/>
        <v>3.2589518499999999</v>
      </c>
      <c r="CN18" s="35">
        <f t="shared" si="59"/>
        <v>0.19553711099999999</v>
      </c>
      <c r="CO18" s="35">
        <f t="shared" si="60"/>
        <v>0.44643176027397258</v>
      </c>
      <c r="CP18" s="42">
        <f t="shared" si="82"/>
        <v>0.21284879063187143</v>
      </c>
      <c r="CQ18" s="36">
        <f t="shared" si="83"/>
        <v>0.62436000000000003</v>
      </c>
    </row>
    <row r="19" spans="2:95" ht="15" thickTop="1" x14ac:dyDescent="0.3">
      <c r="B19">
        <v>1</v>
      </c>
      <c r="C19">
        <v>-886.3</v>
      </c>
      <c r="D19">
        <v>25377.7</v>
      </c>
      <c r="E19">
        <v>5822.6</v>
      </c>
      <c r="F19">
        <f t="shared" ref="F19:F29" si="84">D19/10000</f>
        <v>2.5377700000000001</v>
      </c>
      <c r="G19">
        <f t="shared" ref="G19:G29" si="85">C19/10000</f>
        <v>-8.863E-2</v>
      </c>
      <c r="H19">
        <f t="shared" ref="H19:H29" si="86">F19-G19</f>
        <v>2.6264000000000003</v>
      </c>
      <c r="I19">
        <f>E19/10000</f>
        <v>0.58226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3.3034867090009441</v>
      </c>
      <c r="P19" s="2">
        <v>3</v>
      </c>
      <c r="Q19" s="8">
        <f>H19</f>
        <v>2.6264000000000003</v>
      </c>
      <c r="R19" s="8">
        <f>I19</f>
        <v>0.58226</v>
      </c>
      <c r="S19" s="8">
        <f>Q19/10^6*$Z$4*$Z$3/P19*10^12</f>
        <v>2.9179304000000004</v>
      </c>
      <c r="T19" s="8">
        <f>S19*0.06</f>
        <v>0.17507582400000002</v>
      </c>
      <c r="U19" s="8">
        <f>S19/$Z$1</f>
        <v>0.39971649315068497</v>
      </c>
      <c r="V19" s="12">
        <f t="shared" ref="V19:V29" si="87">O19</f>
        <v>3.3034867090009441</v>
      </c>
      <c r="W19" s="19"/>
      <c r="X19" s="34">
        <f t="shared" si="12"/>
        <v>1.1490159130493915</v>
      </c>
      <c r="Y19" s="35">
        <f t="shared" si="13"/>
        <v>10.802711287499999</v>
      </c>
      <c r="Z19" s="35">
        <f t="shared" si="14"/>
        <v>0.64816267724999999</v>
      </c>
      <c r="AA19" s="35">
        <f t="shared" si="15"/>
        <v>1.4798234640410959</v>
      </c>
      <c r="AB19" s="42">
        <f t="shared" si="61"/>
        <v>5.1269808824833875E-2</v>
      </c>
      <c r="AC19" s="36">
        <f t="shared" si="16"/>
        <v>0.66469</v>
      </c>
      <c r="AD19" s="34">
        <f t="shared" si="17"/>
        <v>0.76601060869959436</v>
      </c>
      <c r="AE19" s="35">
        <f t="shared" si="18"/>
        <v>5.2174948650000008</v>
      </c>
      <c r="AF19" s="35">
        <f t="shared" si="19"/>
        <v>0.31304969190000004</v>
      </c>
      <c r="AG19" s="35">
        <f t="shared" si="20"/>
        <v>0.71472532397260291</v>
      </c>
      <c r="AH19" s="42">
        <f t="shared" si="62"/>
        <v>0.11408549225280358</v>
      </c>
      <c r="AI19" s="36">
        <f t="shared" si="63"/>
        <v>0.71435999999999999</v>
      </c>
      <c r="AJ19" s="34">
        <f t="shared" si="21"/>
        <v>0.57450795652469577</v>
      </c>
      <c r="AK19" s="35">
        <f t="shared" si="22"/>
        <v>4.7538828974999996</v>
      </c>
      <c r="AL19" s="35">
        <f t="shared" si="23"/>
        <v>0.28523297384999996</v>
      </c>
      <c r="AM19" s="35">
        <f t="shared" si="24"/>
        <v>0.65121683527397256</v>
      </c>
      <c r="AN19" s="42">
        <f t="shared" si="64"/>
        <v>0.12530607880839162</v>
      </c>
      <c r="AO19" s="36">
        <f t="shared" si="65"/>
        <v>0.71489999999999998</v>
      </c>
      <c r="AP19" s="34">
        <f t="shared" si="25"/>
        <v>0.45960636521975662</v>
      </c>
      <c r="AQ19" s="35">
        <f t="shared" si="26"/>
        <v>4.1365279725000006</v>
      </c>
      <c r="AR19" s="35">
        <f t="shared" si="27"/>
        <v>0.24819167835000003</v>
      </c>
      <c r="AS19" s="35">
        <f t="shared" si="28"/>
        <v>0.56664766746575357</v>
      </c>
      <c r="AT19" s="42">
        <f t="shared" si="66"/>
        <v>0.16590959907983552</v>
      </c>
      <c r="AU19" s="36">
        <f t="shared" si="67"/>
        <v>0.82362999999999997</v>
      </c>
      <c r="AV19" s="34">
        <f t="shared" si="29"/>
        <v>0.38300530434979718</v>
      </c>
      <c r="AW19" s="35">
        <f t="shared" si="30"/>
        <v>3.6288287474999996</v>
      </c>
      <c r="AX19" s="35">
        <f t="shared" si="31"/>
        <v>0.21772972484999997</v>
      </c>
      <c r="AY19" s="35">
        <f t="shared" si="32"/>
        <v>0.4970998284246575</v>
      </c>
      <c r="AZ19" s="42">
        <f t="shared" si="68"/>
        <v>0.16715154660243445</v>
      </c>
      <c r="BA19" s="36">
        <f t="shared" si="69"/>
        <v>0.72794999999999999</v>
      </c>
      <c r="BB19" s="34">
        <f t="shared" si="33"/>
        <v>0.32829026087125474</v>
      </c>
      <c r="BC19" s="35">
        <f t="shared" si="34"/>
        <v>3.4106422350000001</v>
      </c>
      <c r="BD19" s="35">
        <f t="shared" si="35"/>
        <v>0.20463853409999999</v>
      </c>
      <c r="BE19" s="35">
        <f t="shared" si="36"/>
        <v>0.4672112650684932</v>
      </c>
      <c r="BF19" s="42">
        <f t="shared" si="70"/>
        <v>0.1836591598708095</v>
      </c>
      <c r="BG19" s="36">
        <f t="shared" si="71"/>
        <v>0.75175000000000003</v>
      </c>
      <c r="BH19" s="34">
        <f t="shared" si="37"/>
        <v>0.28725397826234789</v>
      </c>
      <c r="BI19" s="35">
        <f t="shared" si="38"/>
        <v>3.3768039525000004</v>
      </c>
      <c r="BJ19" s="35">
        <f t="shared" si="39"/>
        <v>0.20260823715000001</v>
      </c>
      <c r="BK19" s="35">
        <f t="shared" si="40"/>
        <v>0.46257588390410964</v>
      </c>
      <c r="BL19" s="42">
        <f t="shared" si="72"/>
        <v>0.16049568545392182</v>
      </c>
      <c r="BM19" s="36">
        <f t="shared" si="73"/>
        <v>0.65042</v>
      </c>
      <c r="BN19" s="34">
        <f t="shared" si="41"/>
        <v>0.25533686956653145</v>
      </c>
      <c r="BO19" s="35">
        <f t="shared" si="42"/>
        <v>3.0859747050000004</v>
      </c>
      <c r="BP19" s="35">
        <f t="shared" si="43"/>
        <v>0.18515848230000001</v>
      </c>
      <c r="BQ19" s="35">
        <f t="shared" si="44"/>
        <v>0.42273626095890415</v>
      </c>
      <c r="BR19" s="42">
        <f t="shared" si="74"/>
        <v>0.16195585844894347</v>
      </c>
      <c r="BS19" s="36">
        <f t="shared" si="75"/>
        <v>0.59981000000000007</v>
      </c>
      <c r="BT19" s="34">
        <f t="shared" si="45"/>
        <v>0.22980318260987831</v>
      </c>
      <c r="BU19" s="35">
        <f t="shared" si="46"/>
        <v>2.6961636900000001</v>
      </c>
      <c r="BV19" s="35">
        <f t="shared" si="47"/>
        <v>0.16176982140000001</v>
      </c>
      <c r="BW19" s="35">
        <f t="shared" si="48"/>
        <v>0.36933749178082192</v>
      </c>
      <c r="BX19" s="42">
        <f t="shared" si="76"/>
        <v>0.20365482798264373</v>
      </c>
      <c r="BY19" s="36">
        <f t="shared" si="77"/>
        <v>0.65896999999999994</v>
      </c>
      <c r="BZ19" s="34">
        <f t="shared" si="49"/>
        <v>0.15320212173991887</v>
      </c>
      <c r="CA19" s="35">
        <f t="shared" si="50"/>
        <v>3.1245125174999999</v>
      </c>
      <c r="CB19" s="35">
        <f t="shared" si="51"/>
        <v>0.18747075105</v>
      </c>
      <c r="CC19" s="35">
        <f t="shared" si="52"/>
        <v>0.42801541335616439</v>
      </c>
      <c r="CD19" s="42">
        <f t="shared" si="78"/>
        <v>0.19891780606380624</v>
      </c>
      <c r="CE19" s="36">
        <f t="shared" si="79"/>
        <v>0.74590000000000001</v>
      </c>
      <c r="CF19" s="34">
        <f t="shared" si="53"/>
        <v>0.11490159130493915</v>
      </c>
      <c r="CG19" s="35">
        <f t="shared" si="54"/>
        <v>2.92280769</v>
      </c>
      <c r="CH19" s="35">
        <f t="shared" si="55"/>
        <v>0.17536846139999998</v>
      </c>
      <c r="CI19" s="35">
        <f t="shared" si="56"/>
        <v>0.40038461506849315</v>
      </c>
      <c r="CJ19" s="42">
        <f t="shared" si="80"/>
        <v>0.19417171267946132</v>
      </c>
      <c r="CK19" s="36">
        <f t="shared" si="81"/>
        <v>0.68110000000000004</v>
      </c>
      <c r="CL19" s="34">
        <f t="shared" si="57"/>
        <v>9.1921273043951326E-2</v>
      </c>
      <c r="CM19" s="35">
        <f t="shared" si="58"/>
        <v>2.2565326575000006</v>
      </c>
      <c r="CN19" s="35">
        <f t="shared" si="59"/>
        <v>0.13539195945000004</v>
      </c>
      <c r="CO19" s="35">
        <f t="shared" si="60"/>
        <v>0.30911406267123298</v>
      </c>
      <c r="CP19" s="42">
        <f t="shared" si="82"/>
        <v>0.46016963860404475</v>
      </c>
      <c r="CQ19" s="36">
        <f t="shared" si="83"/>
        <v>1.2461899999999999</v>
      </c>
    </row>
    <row r="20" spans="2:95" x14ac:dyDescent="0.3">
      <c r="B20">
        <v>2</v>
      </c>
      <c r="C20">
        <v>-4106</v>
      </c>
      <c r="D20">
        <v>27908.400000000001</v>
      </c>
      <c r="E20">
        <v>5494.1</v>
      </c>
      <c r="F20">
        <f t="shared" si="84"/>
        <v>2.7908400000000002</v>
      </c>
      <c r="G20">
        <f t="shared" si="85"/>
        <v>-0.41060000000000002</v>
      </c>
      <c r="H20">
        <f t="shared" si="86"/>
        <v>3.2014400000000003</v>
      </c>
      <c r="I20">
        <f t="shared" ref="I20:I29" si="88">E20/10000</f>
        <v>0.54941000000000006</v>
      </c>
      <c r="K20" s="67"/>
      <c r="L20" s="3">
        <v>-98</v>
      </c>
      <c r="M20" s="5">
        <f>L20+98.2</f>
        <v>0.20000000000000284</v>
      </c>
      <c r="N20" s="5">
        <f t="shared" ref="N20:N29" si="89">20.56036*SQRT(1+((L20-(-98.58903))*1.03*1095.70644/(3.14159*20.56036^2))^2)</f>
        <v>22.992351577801337</v>
      </c>
      <c r="O20" s="5">
        <f t="shared" ref="O20:O29" si="90">2*$Z$1/$Z$2/PI()/(N20*10^-4)^2/$K$19/$Z$7</f>
        <v>2.9303192968309104</v>
      </c>
      <c r="P20" s="4">
        <v>3</v>
      </c>
      <c r="Q20" s="5">
        <f t="shared" ref="Q20:R29" si="91">H20</f>
        <v>3.2014400000000003</v>
      </c>
      <c r="R20" s="5">
        <f t="shared" si="91"/>
        <v>0.54941000000000006</v>
      </c>
      <c r="S20" s="5">
        <f t="shared" ref="S20:S29" si="92">Q20/10^6*$Z$4*$Z$3/P20*10^12</f>
        <v>3.5567998400000009</v>
      </c>
      <c r="T20" s="5">
        <f t="shared" ref="T20:T29" si="93">S20*0.06</f>
        <v>0.21340799040000005</v>
      </c>
      <c r="U20" s="5">
        <f t="shared" ref="U20:U29" si="94">S20/$Z$1</f>
        <v>0.48723285479452066</v>
      </c>
      <c r="V20" s="5">
        <f t="shared" si="87"/>
        <v>2.9303192968309104</v>
      </c>
      <c r="W20" s="19"/>
      <c r="X20" s="34">
        <f t="shared" si="12"/>
        <v>0.83064213960254329</v>
      </c>
      <c r="Y20" s="35">
        <f t="shared" si="13"/>
        <v>11.251849702499999</v>
      </c>
      <c r="Z20" s="35">
        <f t="shared" si="14"/>
        <v>0.67511098214999998</v>
      </c>
      <c r="AA20" s="35">
        <f t="shared" si="15"/>
        <v>1.5413492743150685</v>
      </c>
      <c r="AB20" s="42">
        <f t="shared" si="61"/>
        <v>3.8135100569701201E-2</v>
      </c>
      <c r="AC20" s="36">
        <f t="shared" si="16"/>
        <v>0.51496000000000008</v>
      </c>
      <c r="AD20" s="34">
        <f t="shared" si="17"/>
        <v>0.55376142640169557</v>
      </c>
      <c r="AE20" s="35">
        <f t="shared" si="18"/>
        <v>5.9159416800000004</v>
      </c>
      <c r="AF20" s="35">
        <f t="shared" si="19"/>
        <v>0.35495650080000002</v>
      </c>
      <c r="AG20" s="35">
        <f t="shared" si="20"/>
        <v>0.81040296986301374</v>
      </c>
      <c r="AH20" s="42">
        <f t="shared" si="62"/>
        <v>8.9106233379907154E-2</v>
      </c>
      <c r="AI20" s="36">
        <f t="shared" si="63"/>
        <v>0.63263999999999998</v>
      </c>
      <c r="AJ20" s="34">
        <f t="shared" si="21"/>
        <v>0.41532106980127165</v>
      </c>
      <c r="AK20" s="35">
        <f t="shared" si="22"/>
        <v>4.5646434900000008</v>
      </c>
      <c r="AL20" s="35">
        <f t="shared" si="23"/>
        <v>0.27387860940000003</v>
      </c>
      <c r="AM20" s="35">
        <f t="shared" si="24"/>
        <v>0.62529362876712347</v>
      </c>
      <c r="AN20" s="42">
        <f t="shared" si="64"/>
        <v>0.11838002818485172</v>
      </c>
      <c r="AO20" s="36">
        <f t="shared" si="65"/>
        <v>0.64849999999999997</v>
      </c>
      <c r="AP20" s="34">
        <f t="shared" si="25"/>
        <v>0.33225685584101733</v>
      </c>
      <c r="AQ20" s="35">
        <f t="shared" si="26"/>
        <v>4.4353980825000008</v>
      </c>
      <c r="AR20" s="35">
        <f t="shared" si="27"/>
        <v>0.26612388495000006</v>
      </c>
      <c r="AS20" s="35">
        <f t="shared" si="28"/>
        <v>0.60758877842465764</v>
      </c>
      <c r="AT20" s="42">
        <f t="shared" si="66"/>
        <v>0.13693568112778298</v>
      </c>
      <c r="AU20" s="36">
        <f t="shared" si="67"/>
        <v>0.72891000000000006</v>
      </c>
      <c r="AV20" s="34">
        <f t="shared" si="29"/>
        <v>0.27688071320084778</v>
      </c>
      <c r="AW20" s="35">
        <f t="shared" si="30"/>
        <v>3.9416141325000007</v>
      </c>
      <c r="AX20" s="35">
        <f t="shared" si="31"/>
        <v>0.23649684795000003</v>
      </c>
      <c r="AY20" s="35">
        <f t="shared" si="32"/>
        <v>0.53994714143835632</v>
      </c>
      <c r="AZ20" s="42">
        <f t="shared" si="68"/>
        <v>0.15246458552218517</v>
      </c>
      <c r="BA20" s="36">
        <f t="shared" si="69"/>
        <v>0.72121999999999997</v>
      </c>
      <c r="BB20" s="34">
        <f t="shared" si="33"/>
        <v>0.23732632560072667</v>
      </c>
      <c r="BC20" s="35">
        <f t="shared" si="34"/>
        <v>3.0837665925000004</v>
      </c>
      <c r="BD20" s="35">
        <f t="shared" si="35"/>
        <v>0.18502599555000002</v>
      </c>
      <c r="BE20" s="35">
        <f t="shared" si="36"/>
        <v>0.42243377979452063</v>
      </c>
      <c r="BF20" s="42">
        <f t="shared" si="70"/>
        <v>0.19004617808148852</v>
      </c>
      <c r="BG20" s="36">
        <f t="shared" si="71"/>
        <v>0.70333999999999997</v>
      </c>
      <c r="BH20" s="34">
        <f t="shared" si="37"/>
        <v>0.20766053490063582</v>
      </c>
      <c r="BI20" s="35">
        <f t="shared" si="38"/>
        <v>2.6803986000000006</v>
      </c>
      <c r="BJ20" s="35">
        <f t="shared" si="39"/>
        <v>0.16082391600000004</v>
      </c>
      <c r="BK20" s="35">
        <f t="shared" si="40"/>
        <v>0.367177890410959</v>
      </c>
      <c r="BL20" s="42">
        <f t="shared" si="72"/>
        <v>0.19462509326038299</v>
      </c>
      <c r="BM20" s="36">
        <f t="shared" si="73"/>
        <v>0.62607000000000002</v>
      </c>
      <c r="BN20" s="34">
        <f t="shared" si="41"/>
        <v>0.18458714213389851</v>
      </c>
      <c r="BO20" s="35">
        <f t="shared" si="42"/>
        <v>2.2374595650000004</v>
      </c>
      <c r="BP20" s="35">
        <f t="shared" si="43"/>
        <v>0.13424757390000003</v>
      </c>
      <c r="BQ20" s="35">
        <f t="shared" si="44"/>
        <v>0.30650131027397265</v>
      </c>
      <c r="BR20" s="42">
        <f t="shared" si="74"/>
        <v>0.23024556647127609</v>
      </c>
      <c r="BS20" s="36">
        <f t="shared" si="75"/>
        <v>0.61826000000000003</v>
      </c>
      <c r="BT20" s="34">
        <f t="shared" si="45"/>
        <v>0.16612842792050866</v>
      </c>
      <c r="BU20" s="35">
        <f t="shared" si="46"/>
        <v>2.3058027300000004</v>
      </c>
      <c r="BV20" s="35">
        <f t="shared" si="47"/>
        <v>0.13834816380000001</v>
      </c>
      <c r="BW20" s="35">
        <f t="shared" si="48"/>
        <v>0.31586338767123295</v>
      </c>
      <c r="BX20" s="42">
        <f t="shared" si="76"/>
        <v>0.20344820109567655</v>
      </c>
      <c r="BY20" s="36">
        <f t="shared" si="77"/>
        <v>0.56298999999999999</v>
      </c>
      <c r="BZ20" s="34">
        <f t="shared" si="49"/>
        <v>0.11075228528033911</v>
      </c>
      <c r="CA20" s="35">
        <f t="shared" si="50"/>
        <v>1.8407909025000002</v>
      </c>
      <c r="CB20" s="35">
        <f t="shared" si="51"/>
        <v>0.11044745415000001</v>
      </c>
      <c r="CC20" s="35">
        <f t="shared" si="52"/>
        <v>0.25216313732876716</v>
      </c>
      <c r="CD20" s="42">
        <f t="shared" si="78"/>
        <v>0.73001172386009228</v>
      </c>
      <c r="CE20" s="36">
        <f t="shared" si="79"/>
        <v>1.6127200000000002</v>
      </c>
      <c r="CF20" s="34">
        <f t="shared" si="53"/>
        <v>8.3064213960254332E-2</v>
      </c>
      <c r="CG20" s="35">
        <f t="shared" si="54"/>
        <v>1.0819584600000001</v>
      </c>
      <c r="CH20" s="35">
        <f t="shared" si="55"/>
        <v>6.4917507600000007E-2</v>
      </c>
      <c r="CI20" s="35">
        <f t="shared" si="56"/>
        <v>0.14821348767123288</v>
      </c>
      <c r="CJ20" s="42">
        <f t="shared" si="80"/>
        <v>1.6435447600271083</v>
      </c>
      <c r="CK20" s="36">
        <f t="shared" si="81"/>
        <v>2.1341099999999997</v>
      </c>
      <c r="CL20" s="34">
        <f t="shared" si="57"/>
        <v>6.645137116820346E-2</v>
      </c>
      <c r="CM20" s="35">
        <f t="shared" si="58"/>
        <v>1.7808552300000005</v>
      </c>
      <c r="CN20" s="35">
        <f t="shared" si="59"/>
        <v>0.10685131380000003</v>
      </c>
      <c r="CO20" s="35">
        <f t="shared" si="60"/>
        <v>0.24395277123287679</v>
      </c>
      <c r="CP20" s="42">
        <f t="shared" si="82"/>
        <v>0.52006325915666929</v>
      </c>
      <c r="CQ20" s="36">
        <f t="shared" si="83"/>
        <v>1.1114999999999999</v>
      </c>
    </row>
    <row r="21" spans="2:95" x14ac:dyDescent="0.3">
      <c r="B21">
        <v>3</v>
      </c>
      <c r="C21">
        <v>4543.8</v>
      </c>
      <c r="D21">
        <v>27842.400000000001</v>
      </c>
      <c r="E21">
        <v>5042.7</v>
      </c>
      <c r="F21">
        <f t="shared" si="84"/>
        <v>2.78424</v>
      </c>
      <c r="G21">
        <f t="shared" si="85"/>
        <v>0.45438000000000001</v>
      </c>
      <c r="H21">
        <f t="shared" si="86"/>
        <v>2.32986</v>
      </c>
      <c r="I21">
        <f t="shared" si="88"/>
        <v>0.50427</v>
      </c>
      <c r="K21" s="67"/>
      <c r="L21" s="3">
        <v>-97.8</v>
      </c>
      <c r="M21" s="5">
        <f t="shared" ref="M21:M29" si="95">L21+98.2</f>
        <v>0.40000000000000568</v>
      </c>
      <c r="N21" s="5">
        <f t="shared" si="89"/>
        <v>24.754552179927092</v>
      </c>
      <c r="O21" s="5">
        <f t="shared" si="90"/>
        <v>2.5279680456911686</v>
      </c>
      <c r="P21" s="4">
        <v>3</v>
      </c>
      <c r="Q21" s="5">
        <f t="shared" si="91"/>
        <v>2.32986</v>
      </c>
      <c r="R21" s="5">
        <f t="shared" si="91"/>
        <v>0.50427</v>
      </c>
      <c r="S21" s="5">
        <f t="shared" si="92"/>
        <v>2.5884744600000005</v>
      </c>
      <c r="T21" s="5">
        <f t="shared" si="93"/>
        <v>0.15530846760000003</v>
      </c>
      <c r="U21" s="5">
        <f t="shared" si="94"/>
        <v>0.35458554246575352</v>
      </c>
      <c r="V21" s="5">
        <f t="shared" si="87"/>
        <v>2.5279680456911686</v>
      </c>
      <c r="W21" s="19"/>
      <c r="X21" s="34">
        <f t="shared" si="12"/>
        <v>0.6965894398220297</v>
      </c>
      <c r="Y21" s="35">
        <f t="shared" si="13"/>
        <v>11.034036486000002</v>
      </c>
      <c r="Z21" s="35">
        <f t="shared" si="14"/>
        <v>0.66204218916000002</v>
      </c>
      <c r="AA21" s="35">
        <f t="shared" si="15"/>
        <v>1.5115118473972604</v>
      </c>
      <c r="AB21" s="42">
        <f t="shared" si="61"/>
        <v>3.9413485767587297E-2</v>
      </c>
      <c r="AC21" s="36">
        <f t="shared" si="16"/>
        <v>0.65239999999999998</v>
      </c>
      <c r="AD21" s="34">
        <f t="shared" si="17"/>
        <v>0.46439295988135315</v>
      </c>
      <c r="AE21" s="35">
        <f t="shared" si="18"/>
        <v>5.9149084500000013</v>
      </c>
      <c r="AF21" s="35">
        <f t="shared" si="19"/>
        <v>0.35489450700000008</v>
      </c>
      <c r="AG21" s="35">
        <f t="shared" si="20"/>
        <v>0.81026143150684948</v>
      </c>
      <c r="AH21" s="42">
        <f t="shared" si="62"/>
        <v>6.2149719663032142E-2</v>
      </c>
      <c r="AI21" s="36">
        <f t="shared" si="63"/>
        <v>0.55147000000000002</v>
      </c>
      <c r="AJ21" s="34">
        <f t="shared" si="21"/>
        <v>0.34829471991101485</v>
      </c>
      <c r="AK21" s="35">
        <f t="shared" si="22"/>
        <v>4.8155117340000002</v>
      </c>
      <c r="AL21" s="35">
        <f t="shared" si="23"/>
        <v>0.28893070403999999</v>
      </c>
      <c r="AM21" s="35">
        <f t="shared" si="24"/>
        <v>0.65965914164383566</v>
      </c>
      <c r="AN21" s="42">
        <f t="shared" si="64"/>
        <v>0.11126399676632996</v>
      </c>
      <c r="AO21" s="36">
        <f t="shared" si="65"/>
        <v>0.80376999999999998</v>
      </c>
      <c r="AP21" s="34">
        <f t="shared" si="25"/>
        <v>0.27863577592881189</v>
      </c>
      <c r="AQ21" s="35">
        <f t="shared" si="26"/>
        <v>4.4498749679999996</v>
      </c>
      <c r="AR21" s="35">
        <f t="shared" si="27"/>
        <v>0.26699249807999997</v>
      </c>
      <c r="AS21" s="35">
        <f t="shared" si="28"/>
        <v>0.60957191342465744</v>
      </c>
      <c r="AT21" s="42">
        <f t="shared" si="66"/>
        <v>0.15312756535859595</v>
      </c>
      <c r="AU21" s="36">
        <f t="shared" si="67"/>
        <v>1.0222</v>
      </c>
      <c r="AV21" s="34">
        <f t="shared" si="29"/>
        <v>0.23219647994067658</v>
      </c>
      <c r="AW21" s="35">
        <f t="shared" si="30"/>
        <v>3.5959070400000006</v>
      </c>
      <c r="AX21" s="35">
        <f t="shared" si="31"/>
        <v>0.21575442240000003</v>
      </c>
      <c r="AY21" s="35">
        <f t="shared" si="32"/>
        <v>0.49259000547945214</v>
      </c>
      <c r="AZ21" s="42">
        <f t="shared" si="68"/>
        <v>0.17233612635325521</v>
      </c>
      <c r="BA21" s="36">
        <f t="shared" si="69"/>
        <v>0.92964999999999998</v>
      </c>
      <c r="BB21" s="34">
        <f t="shared" si="33"/>
        <v>0.19902555423486562</v>
      </c>
      <c r="BC21" s="35">
        <f t="shared" si="34"/>
        <v>3.2298903120000002</v>
      </c>
      <c r="BD21" s="35">
        <f t="shared" si="35"/>
        <v>0.19379341872</v>
      </c>
      <c r="BE21" s="35">
        <f t="shared" si="36"/>
        <v>0.44245072767123289</v>
      </c>
      <c r="BF21" s="42">
        <f t="shared" si="70"/>
        <v>0.15642723287625995</v>
      </c>
      <c r="BG21" s="36">
        <f t="shared" si="71"/>
        <v>0.75793999999999995</v>
      </c>
      <c r="BH21" s="34">
        <f t="shared" si="37"/>
        <v>0.17414735995550742</v>
      </c>
      <c r="BI21" s="35">
        <f t="shared" si="38"/>
        <v>2.867626542</v>
      </c>
      <c r="BJ21" s="35">
        <f t="shared" si="39"/>
        <v>0.17205759252</v>
      </c>
      <c r="BK21" s="35">
        <f t="shared" si="40"/>
        <v>0.39282555369863015</v>
      </c>
      <c r="BL21" s="42">
        <f t="shared" si="72"/>
        <v>0.15514880737911652</v>
      </c>
      <c r="BM21" s="36">
        <f t="shared" si="73"/>
        <v>0.66742999999999997</v>
      </c>
      <c r="BN21" s="34">
        <f t="shared" si="41"/>
        <v>0.15479765329378437</v>
      </c>
      <c r="BO21" s="35">
        <f t="shared" si="42"/>
        <v>2.5684497959999999</v>
      </c>
      <c r="BP21" s="35">
        <f t="shared" si="43"/>
        <v>0.15410698775999998</v>
      </c>
      <c r="BQ21" s="35">
        <f t="shared" si="44"/>
        <v>0.35184243780821917</v>
      </c>
      <c r="BR21" s="42">
        <f t="shared" si="74"/>
        <v>0.14820947506657048</v>
      </c>
      <c r="BS21" s="36">
        <f t="shared" si="75"/>
        <v>0.57106000000000001</v>
      </c>
      <c r="BT21" s="34">
        <f t="shared" si="45"/>
        <v>0.13931788796440595</v>
      </c>
      <c r="BU21" s="35">
        <f t="shared" si="46"/>
        <v>2.2524014040000004</v>
      </c>
      <c r="BV21" s="35">
        <f t="shared" si="47"/>
        <v>0.13514408424000002</v>
      </c>
      <c r="BW21" s="35">
        <f t="shared" si="48"/>
        <v>0.30854813753424665</v>
      </c>
      <c r="BX21" s="42">
        <f t="shared" si="76"/>
        <v>0.18982284385043829</v>
      </c>
      <c r="BY21" s="36">
        <f t="shared" si="77"/>
        <v>0.64139999999999997</v>
      </c>
      <c r="BZ21" s="34">
        <f t="shared" si="49"/>
        <v>9.287859197627063E-2</v>
      </c>
      <c r="CA21" s="35">
        <f t="shared" si="50"/>
        <v>0.8466086639999999</v>
      </c>
      <c r="CB21" s="35">
        <f t="shared" si="51"/>
        <v>5.0796519839999991E-2</v>
      </c>
      <c r="CC21" s="35">
        <f t="shared" si="52"/>
        <v>0.11597378958904109</v>
      </c>
      <c r="CD21" s="42">
        <f t="shared" si="78"/>
        <v>2.2398270920600929</v>
      </c>
      <c r="CE21" s="36">
        <f t="shared" si="79"/>
        <v>2.8446700000000003</v>
      </c>
      <c r="CF21" s="34">
        <f t="shared" si="53"/>
        <v>6.9658943982202973E-2</v>
      </c>
      <c r="CG21" s="35">
        <f t="shared" si="54"/>
        <v>1.522621056</v>
      </c>
      <c r="CH21" s="35">
        <f t="shared" si="55"/>
        <v>9.1357263359999996E-2</v>
      </c>
      <c r="CI21" s="35">
        <f t="shared" si="56"/>
        <v>0.20857822684931507</v>
      </c>
      <c r="CJ21" s="42">
        <f t="shared" si="80"/>
        <v>0.50894420706080135</v>
      </c>
      <c r="CK21" s="36">
        <f t="shared" si="81"/>
        <v>1.1625099999999999</v>
      </c>
      <c r="CL21" s="34">
        <f t="shared" si="57"/>
        <v>5.5727155185762378E-2</v>
      </c>
      <c r="CM21" s="35">
        <f t="shared" si="58"/>
        <v>1.124680854</v>
      </c>
      <c r="CN21" s="35">
        <f t="shared" si="59"/>
        <v>6.748085124E-2</v>
      </c>
      <c r="CO21" s="35">
        <f t="shared" si="60"/>
        <v>0.1540658704109589</v>
      </c>
      <c r="CP21" s="42">
        <f t="shared" si="82"/>
        <v>0.69846905209253252</v>
      </c>
      <c r="CQ21" s="36">
        <f t="shared" si="83"/>
        <v>1.17845</v>
      </c>
    </row>
    <row r="22" spans="2:95" x14ac:dyDescent="0.3">
      <c r="B22">
        <v>4</v>
      </c>
      <c r="C22">
        <v>6495.8</v>
      </c>
      <c r="D22">
        <v>37759.5</v>
      </c>
      <c r="E22">
        <v>5237.3999999999996</v>
      </c>
      <c r="F22">
        <f t="shared" si="84"/>
        <v>3.7759499999999999</v>
      </c>
      <c r="G22">
        <f t="shared" si="85"/>
        <v>0.64958000000000005</v>
      </c>
      <c r="H22">
        <f t="shared" si="86"/>
        <v>3.1263699999999996</v>
      </c>
      <c r="I22">
        <f t="shared" si="88"/>
        <v>0.52373999999999998</v>
      </c>
      <c r="K22" s="67"/>
      <c r="L22" s="3">
        <v>-97.2</v>
      </c>
      <c r="M22" s="5">
        <f t="shared" si="95"/>
        <v>1</v>
      </c>
      <c r="N22" s="5">
        <f t="shared" si="89"/>
        <v>31.807899949628325</v>
      </c>
      <c r="O22" s="5">
        <f t="shared" si="90"/>
        <v>1.5311288336483795</v>
      </c>
      <c r="P22" s="4">
        <v>3</v>
      </c>
      <c r="Q22" s="5">
        <f t="shared" si="91"/>
        <v>3.1263699999999996</v>
      </c>
      <c r="R22" s="5">
        <f t="shared" si="91"/>
        <v>0.52373999999999998</v>
      </c>
      <c r="S22" s="5">
        <f t="shared" si="92"/>
        <v>3.4733970699999999</v>
      </c>
      <c r="T22" s="5">
        <f t="shared" si="93"/>
        <v>0.20840382419999998</v>
      </c>
      <c r="U22" s="5">
        <f t="shared" si="94"/>
        <v>0.47580781780821918</v>
      </c>
      <c r="V22" s="5">
        <f t="shared" si="87"/>
        <v>1.5311288336483795</v>
      </c>
      <c r="W22" s="19"/>
      <c r="X22" s="34">
        <f t="shared" si="12"/>
        <v>0.56140155606467401</v>
      </c>
      <c r="Y22" s="35">
        <f t="shared" si="13"/>
        <v>10.884103147499999</v>
      </c>
      <c r="Z22" s="35">
        <f t="shared" si="14"/>
        <v>0.65304618884999999</v>
      </c>
      <c r="AA22" s="35">
        <f t="shared" si="15"/>
        <v>1.4909730339041096</v>
      </c>
      <c r="AB22" s="42">
        <f t="shared" si="61"/>
        <v>2.4769507197469343E-2</v>
      </c>
      <c r="AC22" s="36">
        <f t="shared" si="16"/>
        <v>0.64708999999999994</v>
      </c>
      <c r="AD22" s="34">
        <f t="shared" si="17"/>
        <v>0.37426770404311599</v>
      </c>
      <c r="AE22" s="35">
        <f t="shared" si="18"/>
        <v>6.14059837875</v>
      </c>
      <c r="AF22" s="35">
        <f t="shared" si="19"/>
        <v>0.36843590272499999</v>
      </c>
      <c r="AG22" s="35">
        <f t="shared" si="20"/>
        <v>0.84117786010273976</v>
      </c>
      <c r="AH22" s="42">
        <f t="shared" si="62"/>
        <v>4.0540311325600056E-2</v>
      </c>
      <c r="AI22" s="36">
        <f t="shared" si="63"/>
        <v>0.59751999999999994</v>
      </c>
      <c r="AJ22" s="34">
        <f t="shared" si="21"/>
        <v>0.28070077803233701</v>
      </c>
      <c r="AK22" s="35">
        <f t="shared" si="22"/>
        <v>4.8578366677500009</v>
      </c>
      <c r="AL22" s="35">
        <f t="shared" si="23"/>
        <v>0.29147020006500002</v>
      </c>
      <c r="AM22" s="35">
        <f t="shared" si="24"/>
        <v>0.66545707777397278</v>
      </c>
      <c r="AN22" s="42">
        <f t="shared" si="64"/>
        <v>7.3632239660225654E-2</v>
      </c>
      <c r="AO22" s="36">
        <f t="shared" si="65"/>
        <v>0.85855000000000004</v>
      </c>
      <c r="AP22" s="34">
        <f t="shared" si="25"/>
        <v>0.2245606224258696</v>
      </c>
      <c r="AQ22" s="35">
        <f t="shared" si="26"/>
        <v>4.1749782937499997</v>
      </c>
      <c r="AR22" s="35">
        <f t="shared" si="27"/>
        <v>0.25049869762499999</v>
      </c>
      <c r="AS22" s="35">
        <f t="shared" si="28"/>
        <v>0.57191483476027394</v>
      </c>
      <c r="AT22" s="42">
        <f t="shared" si="66"/>
        <v>0.14325687684301389</v>
      </c>
      <c r="AU22" s="36">
        <f t="shared" si="67"/>
        <v>1.43557</v>
      </c>
      <c r="AV22" s="34">
        <f t="shared" si="29"/>
        <v>0.18713385202155799</v>
      </c>
      <c r="AW22" s="35">
        <f t="shared" si="30"/>
        <v>3.4975710412500005</v>
      </c>
      <c r="AX22" s="35">
        <f t="shared" si="31"/>
        <v>0.20985426247500003</v>
      </c>
      <c r="AY22" s="35">
        <f t="shared" si="32"/>
        <v>0.47911932071917818</v>
      </c>
      <c r="AZ22" s="42">
        <f t="shared" si="68"/>
        <v>0.16345305127688947</v>
      </c>
      <c r="BA22" s="36">
        <f t="shared" si="69"/>
        <v>1.37219</v>
      </c>
      <c r="BB22" s="34">
        <f t="shared" si="33"/>
        <v>0.16040044458990685</v>
      </c>
      <c r="BC22" s="35">
        <f t="shared" si="34"/>
        <v>2.7221110949999998</v>
      </c>
      <c r="BD22" s="35">
        <f t="shared" si="35"/>
        <v>0.16332666569999998</v>
      </c>
      <c r="BE22" s="35">
        <f t="shared" si="36"/>
        <v>0.37289193082191779</v>
      </c>
      <c r="BF22" s="42">
        <f t="shared" si="70"/>
        <v>0.13471651677757845</v>
      </c>
      <c r="BG22" s="36">
        <f t="shared" si="71"/>
        <v>0.88019999999999998</v>
      </c>
      <c r="BH22" s="34">
        <f t="shared" si="37"/>
        <v>0.1403503890161685</v>
      </c>
      <c r="BI22" s="35">
        <f t="shared" si="38"/>
        <v>2.1748949887500002</v>
      </c>
      <c r="BJ22" s="35">
        <f t="shared" si="39"/>
        <v>0.13049369932500002</v>
      </c>
      <c r="BK22" s="35">
        <f t="shared" si="40"/>
        <v>0.29793082037671237</v>
      </c>
      <c r="BL22" s="42">
        <f t="shared" si="72"/>
        <v>0.15216837443274009</v>
      </c>
      <c r="BM22" s="36">
        <f t="shared" si="73"/>
        <v>0.79436000000000007</v>
      </c>
      <c r="BN22" s="34">
        <f t="shared" si="41"/>
        <v>0.12475590134770534</v>
      </c>
      <c r="BO22" s="35">
        <f t="shared" si="42"/>
        <v>1.8639885824999998</v>
      </c>
      <c r="BP22" s="35">
        <f t="shared" si="43"/>
        <v>0.11183931494999998</v>
      </c>
      <c r="BQ22" s="35">
        <f t="shared" si="44"/>
        <v>0.25534090171232876</v>
      </c>
      <c r="BR22" s="42">
        <f t="shared" si="74"/>
        <v>0.16468857984541868</v>
      </c>
      <c r="BS22" s="36">
        <f t="shared" si="75"/>
        <v>0.73682000000000003</v>
      </c>
      <c r="BT22" s="34">
        <f t="shared" si="45"/>
        <v>0.1122803112129348</v>
      </c>
      <c r="BU22" s="35">
        <f t="shared" si="46"/>
        <v>1.7523664124999998</v>
      </c>
      <c r="BV22" s="35">
        <f t="shared" si="47"/>
        <v>0.10514198474999999</v>
      </c>
      <c r="BW22" s="35">
        <f t="shared" si="48"/>
        <v>0.24005019349315065</v>
      </c>
      <c r="BX22" s="42">
        <f t="shared" si="76"/>
        <v>0.17395211716316783</v>
      </c>
      <c r="BY22" s="36">
        <f t="shared" si="77"/>
        <v>0.73166000000000009</v>
      </c>
      <c r="BZ22" s="34">
        <f t="shared" si="49"/>
        <v>7.4853540808623206E-2</v>
      </c>
      <c r="CA22" s="35">
        <f t="shared" si="50"/>
        <v>0.75709928250000014</v>
      </c>
      <c r="CB22" s="35">
        <f t="shared" si="51"/>
        <v>4.5425956950000006E-2</v>
      </c>
      <c r="CC22" s="35">
        <f t="shared" si="52"/>
        <v>0.10371223047945208</v>
      </c>
      <c r="CD22" s="42">
        <f t="shared" si="78"/>
        <v>0.83876470652975421</v>
      </c>
      <c r="CE22" s="36">
        <f t="shared" si="79"/>
        <v>1.5242200000000001</v>
      </c>
      <c r="CF22" s="34">
        <f t="shared" si="53"/>
        <v>5.6140155606467401E-2</v>
      </c>
      <c r="CG22" s="35">
        <f t="shared" si="54"/>
        <v>0.40905909000000007</v>
      </c>
      <c r="CH22" s="35">
        <f t="shared" si="55"/>
        <v>2.4543545400000002E-2</v>
      </c>
      <c r="CI22" s="35">
        <f t="shared" si="56"/>
        <v>5.6035491780821928E-2</v>
      </c>
      <c r="CJ22" s="42">
        <f t="shared" si="80"/>
        <v>1.2757577609386457</v>
      </c>
      <c r="CK22" s="36">
        <f t="shared" si="81"/>
        <v>1.2525899999999999</v>
      </c>
      <c r="CL22" s="34">
        <f t="shared" si="57"/>
        <v>4.491212448517392E-2</v>
      </c>
      <c r="CM22" s="35">
        <f t="shared" si="58"/>
        <v>0.62257523625000022</v>
      </c>
      <c r="CN22" s="35">
        <f t="shared" si="59"/>
        <v>3.7354514175000013E-2</v>
      </c>
      <c r="CO22" s="35">
        <f t="shared" si="60"/>
        <v>8.5284278938356203E-2</v>
      </c>
      <c r="CP22" s="42">
        <f t="shared" si="82"/>
        <v>0.71046555981610493</v>
      </c>
      <c r="CQ22" s="36">
        <f t="shared" si="83"/>
        <v>1.0616700000000001</v>
      </c>
    </row>
    <row r="23" spans="2:95" x14ac:dyDescent="0.3">
      <c r="B23">
        <v>5</v>
      </c>
      <c r="C23">
        <v>2694.7</v>
      </c>
      <c r="D23">
        <v>42564.800000000003</v>
      </c>
      <c r="E23">
        <v>5973.5</v>
      </c>
      <c r="F23">
        <f t="shared" si="84"/>
        <v>4.2564800000000007</v>
      </c>
      <c r="G23">
        <f t="shared" si="85"/>
        <v>0.26946999999999999</v>
      </c>
      <c r="H23">
        <f t="shared" si="86"/>
        <v>3.9870100000000006</v>
      </c>
      <c r="I23">
        <f t="shared" si="88"/>
        <v>0.59735000000000005</v>
      </c>
      <c r="K23" s="67"/>
      <c r="L23" s="3">
        <v>-96.8</v>
      </c>
      <c r="M23" s="5">
        <f t="shared" si="95"/>
        <v>1.4000000000000057</v>
      </c>
      <c r="N23" s="5">
        <f t="shared" si="89"/>
        <v>37.414240753916886</v>
      </c>
      <c r="O23" s="5">
        <f t="shared" si="90"/>
        <v>1.1066438002735886</v>
      </c>
      <c r="P23" s="4">
        <v>3</v>
      </c>
      <c r="Q23" s="5">
        <f t="shared" si="91"/>
        <v>3.9870100000000006</v>
      </c>
      <c r="R23" s="5">
        <f t="shared" si="91"/>
        <v>0.59735000000000005</v>
      </c>
      <c r="S23" s="5">
        <f t="shared" si="92"/>
        <v>4.4295681100000008</v>
      </c>
      <c r="T23" s="5">
        <f t="shared" si="93"/>
        <v>0.26577408660000001</v>
      </c>
      <c r="U23" s="5">
        <f t="shared" si="94"/>
        <v>0.6067901520547947</v>
      </c>
      <c r="V23" s="5">
        <f t="shared" si="87"/>
        <v>1.1066438002735886</v>
      </c>
      <c r="W23" s="19"/>
      <c r="X23" s="34">
        <f t="shared" si="12"/>
        <v>0.40202993378190233</v>
      </c>
      <c r="Y23" s="35">
        <f t="shared" si="13"/>
        <v>10.264971019285717</v>
      </c>
      <c r="Z23" s="35">
        <f t="shared" si="14"/>
        <v>0.61589826115714297</v>
      </c>
      <c r="AA23" s="35">
        <f t="shared" si="15"/>
        <v>1.4061604136007833</v>
      </c>
      <c r="AB23" s="42">
        <f t="shared" si="61"/>
        <v>1.6786112453061063E-2</v>
      </c>
      <c r="AC23" s="36">
        <f t="shared" si="16"/>
        <v>0.72377000000000002</v>
      </c>
      <c r="AD23" s="34">
        <f t="shared" si="17"/>
        <v>0.26801995585460153</v>
      </c>
      <c r="AE23" s="35">
        <f t="shared" si="18"/>
        <v>5.6359911064285706</v>
      </c>
      <c r="AF23" s="35">
        <f t="shared" si="19"/>
        <v>0.3381594663857142</v>
      </c>
      <c r="AG23" s="35">
        <f t="shared" si="20"/>
        <v>0.7720535762230919</v>
      </c>
      <c r="AH23" s="42">
        <f t="shared" si="62"/>
        <v>3.2728536893315029E-2</v>
      </c>
      <c r="AI23" s="36">
        <f t="shared" si="63"/>
        <v>0.77480000000000004</v>
      </c>
      <c r="AJ23" s="34">
        <f t="shared" si="21"/>
        <v>0.20101496689095116</v>
      </c>
      <c r="AK23" s="35">
        <f t="shared" si="22"/>
        <v>3.9894438728571422</v>
      </c>
      <c r="AL23" s="35">
        <f t="shared" si="23"/>
        <v>0.23936663237142852</v>
      </c>
      <c r="AM23" s="35">
        <f t="shared" si="24"/>
        <v>0.54649916066536197</v>
      </c>
      <c r="AN23" s="42">
        <f t="shared" si="64"/>
        <v>9.1719807558956284E-2</v>
      </c>
      <c r="AO23" s="36">
        <f t="shared" si="65"/>
        <v>1.53698</v>
      </c>
      <c r="AP23" s="34">
        <f t="shared" si="25"/>
        <v>0.16081197351276094</v>
      </c>
      <c r="AQ23" s="35">
        <f t="shared" si="26"/>
        <v>3.3971769150000002</v>
      </c>
      <c r="AR23" s="35">
        <f t="shared" si="27"/>
        <v>0.20383061490000001</v>
      </c>
      <c r="AS23" s="35">
        <f t="shared" si="28"/>
        <v>0.46536670068493152</v>
      </c>
      <c r="AT23" s="42">
        <f t="shared" si="66"/>
        <v>9.4587293099932232E-2</v>
      </c>
      <c r="AU23" s="36">
        <f t="shared" si="67"/>
        <v>1.34972</v>
      </c>
      <c r="AV23" s="34">
        <f t="shared" si="29"/>
        <v>0.13400997792730077</v>
      </c>
      <c r="AW23" s="35">
        <f t="shared" si="30"/>
        <v>2.3065264671428576</v>
      </c>
      <c r="AX23" s="35">
        <f t="shared" si="31"/>
        <v>0.13839158802857146</v>
      </c>
      <c r="AY23" s="35">
        <f t="shared" si="32"/>
        <v>0.31596252974559691</v>
      </c>
      <c r="AZ23" s="42">
        <f t="shared" si="68"/>
        <v>0.16311808578936829</v>
      </c>
      <c r="BA23" s="36">
        <f t="shared" si="69"/>
        <v>1.5803499999999999</v>
      </c>
      <c r="BB23" s="34">
        <f t="shared" si="33"/>
        <v>0.11486569536625781</v>
      </c>
      <c r="BC23" s="35">
        <f t="shared" si="34"/>
        <v>1.9391965371428568</v>
      </c>
      <c r="BD23" s="35">
        <f t="shared" si="35"/>
        <v>0.11635179222857141</v>
      </c>
      <c r="BE23" s="35">
        <f t="shared" si="36"/>
        <v>0.26564336125244614</v>
      </c>
      <c r="BF23" s="42">
        <f t="shared" si="70"/>
        <v>0.18091717574495669</v>
      </c>
      <c r="BG23" s="36">
        <f t="shared" si="71"/>
        <v>1.4736499999999999</v>
      </c>
      <c r="BH23" s="34">
        <f t="shared" si="37"/>
        <v>0.10050748344547558</v>
      </c>
      <c r="BI23" s="35">
        <f t="shared" si="38"/>
        <v>1.5581465507142855</v>
      </c>
      <c r="BJ23" s="35">
        <f t="shared" si="39"/>
        <v>9.3488793042857135E-2</v>
      </c>
      <c r="BK23" s="35">
        <f t="shared" si="40"/>
        <v>0.21344473297455968</v>
      </c>
      <c r="BL23" s="42">
        <f t="shared" si="72"/>
        <v>0.25392559363287576</v>
      </c>
      <c r="BM23" s="36">
        <f t="shared" si="73"/>
        <v>1.6619099999999998</v>
      </c>
      <c r="BN23" s="34">
        <f t="shared" si="41"/>
        <v>8.9339985284867182E-2</v>
      </c>
      <c r="BO23" s="35">
        <f t="shared" si="42"/>
        <v>1.3226891464285715</v>
      </c>
      <c r="BP23" s="35">
        <f t="shared" si="43"/>
        <v>7.9361348785714284E-2</v>
      </c>
      <c r="BQ23" s="35">
        <f t="shared" si="44"/>
        <v>0.18119029403131118</v>
      </c>
      <c r="BR23" s="42">
        <f t="shared" si="74"/>
        <v>0.28552786702304772</v>
      </c>
      <c r="BS23" s="36">
        <f t="shared" si="75"/>
        <v>1.5863499999999999</v>
      </c>
      <c r="BT23" s="34">
        <f t="shared" si="45"/>
        <v>8.0405986756380471E-2</v>
      </c>
      <c r="BU23" s="35">
        <f t="shared" si="46"/>
        <v>1.1518395664285717</v>
      </c>
      <c r="BV23" s="35">
        <f t="shared" si="47"/>
        <v>6.9110373985714291E-2</v>
      </c>
      <c r="BW23" s="35">
        <f t="shared" si="48"/>
        <v>0.15778624197651667</v>
      </c>
      <c r="BX23" s="42">
        <f t="shared" si="76"/>
        <v>0.32476060361166631</v>
      </c>
      <c r="BY23" s="36">
        <f t="shared" si="77"/>
        <v>1.5712600000000001</v>
      </c>
      <c r="BZ23" s="34">
        <f t="shared" si="49"/>
        <v>5.3603991170920309E-2</v>
      </c>
      <c r="CA23" s="35">
        <f t="shared" si="50"/>
        <v>1.2641664278571429</v>
      </c>
      <c r="CB23" s="35">
        <f t="shared" si="51"/>
        <v>7.5849985671428574E-2</v>
      </c>
      <c r="CC23" s="35">
        <f t="shared" si="52"/>
        <v>0.17317348326810178</v>
      </c>
      <c r="CD23" s="42">
        <f t="shared" si="78"/>
        <v>0.29818663924685923</v>
      </c>
      <c r="CE23" s="36">
        <f t="shared" si="79"/>
        <v>1.58338</v>
      </c>
      <c r="CF23" s="34">
        <f t="shared" si="53"/>
        <v>4.0202993378190235E-2</v>
      </c>
      <c r="CG23" s="35">
        <f t="shared" si="54"/>
        <v>0.88324976142857159</v>
      </c>
      <c r="CH23" s="35">
        <f t="shared" si="55"/>
        <v>5.2994985685714292E-2</v>
      </c>
      <c r="CI23" s="35">
        <f t="shared" si="56"/>
        <v>0.12099311800391392</v>
      </c>
      <c r="CJ23" s="42">
        <f t="shared" si="80"/>
        <v>0.33556422876426539</v>
      </c>
      <c r="CK23" s="36">
        <f t="shared" si="81"/>
        <v>1.24495</v>
      </c>
      <c r="CL23" s="34">
        <f t="shared" si="57"/>
        <v>3.2162394702552187E-2</v>
      </c>
      <c r="CM23" s="35">
        <f t="shared" si="58"/>
        <v>0.96530822142857164</v>
      </c>
      <c r="CN23" s="35">
        <f t="shared" si="59"/>
        <v>5.7918493285714294E-2</v>
      </c>
      <c r="CO23" s="35">
        <f t="shared" si="60"/>
        <v>0.13223400293542079</v>
      </c>
      <c r="CP23" s="42">
        <f t="shared" si="82"/>
        <v>0.30479690236022389</v>
      </c>
      <c r="CQ23" s="36">
        <f t="shared" si="83"/>
        <v>1.23586</v>
      </c>
    </row>
    <row r="24" spans="2:95" ht="15" thickBot="1" x14ac:dyDescent="0.35">
      <c r="B24">
        <v>6</v>
      </c>
      <c r="C24">
        <v>1260.5999999999999</v>
      </c>
      <c r="D24">
        <v>63876.800000000003</v>
      </c>
      <c r="E24">
        <v>7143.6</v>
      </c>
      <c r="F24">
        <f t="shared" si="84"/>
        <v>6.3876800000000005</v>
      </c>
      <c r="G24">
        <f t="shared" si="85"/>
        <v>0.12605999999999998</v>
      </c>
      <c r="H24">
        <f t="shared" si="86"/>
        <v>6.2616200000000006</v>
      </c>
      <c r="I24">
        <f t="shared" si="88"/>
        <v>0.71435999999999999</v>
      </c>
      <c r="K24" s="67"/>
      <c r="L24" s="3">
        <v>-96.3</v>
      </c>
      <c r="M24" s="5">
        <f t="shared" si="95"/>
        <v>1.9000000000000057</v>
      </c>
      <c r="N24" s="5">
        <f t="shared" si="89"/>
        <v>44.970060517830404</v>
      </c>
      <c r="O24" s="5">
        <f t="shared" si="90"/>
        <v>0.76601060869959436</v>
      </c>
      <c r="P24" s="4">
        <v>4</v>
      </c>
      <c r="Q24" s="5">
        <f t="shared" si="91"/>
        <v>6.2616200000000006</v>
      </c>
      <c r="R24" s="5">
        <f t="shared" si="91"/>
        <v>0.71435999999999999</v>
      </c>
      <c r="S24" s="5">
        <f t="shared" si="92"/>
        <v>5.2174948650000008</v>
      </c>
      <c r="T24" s="5">
        <f t="shared" si="93"/>
        <v>0.31304969190000004</v>
      </c>
      <c r="U24" s="5">
        <f t="shared" si="94"/>
        <v>0.71472532397260291</v>
      </c>
      <c r="V24" s="5">
        <f t="shared" si="87"/>
        <v>0.76601060869959436</v>
      </c>
      <c r="W24" s="19"/>
      <c r="X24" s="37">
        <f t="shared" si="12"/>
        <v>0.25926026770901511</v>
      </c>
      <c r="Y24" s="38">
        <f t="shared" si="13"/>
        <v>8.0767652585714274</v>
      </c>
      <c r="Z24" s="38">
        <f t="shared" si="14"/>
        <v>0.48460591551428561</v>
      </c>
      <c r="AA24" s="38">
        <f t="shared" si="15"/>
        <v>1.1064061998043051</v>
      </c>
      <c r="AB24" s="43">
        <f t="shared" si="61"/>
        <v>6.4158042127615333E-2</v>
      </c>
      <c r="AC24" s="39">
        <f t="shared" si="16"/>
        <v>3.26492</v>
      </c>
      <c r="AD24" s="37">
        <f t="shared" si="17"/>
        <v>0.17284017847267674</v>
      </c>
      <c r="AE24" s="38">
        <f t="shared" si="18"/>
        <v>3.7657424357142855</v>
      </c>
      <c r="AF24" s="38">
        <f t="shared" si="19"/>
        <v>0.22594454614285711</v>
      </c>
      <c r="AG24" s="38">
        <f t="shared" si="20"/>
        <v>0.51585512818003909</v>
      </c>
      <c r="AH24" s="43">
        <f t="shared" si="62"/>
        <v>8.9124630424566573E-2</v>
      </c>
      <c r="AI24" s="39">
        <f t="shared" si="63"/>
        <v>2.1146199999999999</v>
      </c>
      <c r="AJ24" s="37">
        <f t="shared" si="21"/>
        <v>0.12963013385450756</v>
      </c>
      <c r="AK24" s="38">
        <f t="shared" si="22"/>
        <v>2.1680276200000002</v>
      </c>
      <c r="AL24" s="38">
        <f t="shared" si="23"/>
        <v>0.13008165720000001</v>
      </c>
      <c r="AM24" s="38">
        <f t="shared" si="24"/>
        <v>0.29699008493150686</v>
      </c>
      <c r="AN24" s="43">
        <f t="shared" si="64"/>
        <v>0.10728817256883996</v>
      </c>
      <c r="AO24" s="39">
        <f t="shared" si="65"/>
        <v>1.4655499999999999</v>
      </c>
      <c r="AP24" s="37">
        <f t="shared" si="25"/>
        <v>0.10370410708360604</v>
      </c>
      <c r="AQ24" s="38">
        <f t="shared" si="26"/>
        <v>0.93851407571428569</v>
      </c>
      <c r="AR24" s="38">
        <f t="shared" si="27"/>
        <v>5.631084454285714E-2</v>
      </c>
      <c r="AS24" s="38">
        <f t="shared" si="28"/>
        <v>0.12856357201565558</v>
      </c>
      <c r="AT24" s="43">
        <f t="shared" si="66"/>
        <v>0.23596748308454094</v>
      </c>
      <c r="AU24" s="39">
        <f t="shared" si="67"/>
        <v>1.39533</v>
      </c>
      <c r="AV24" s="37">
        <f t="shared" si="29"/>
        <v>8.6420089236338371E-2</v>
      </c>
      <c r="AW24" s="38">
        <f t="shared" si="30"/>
        <v>0.15549714714285717</v>
      </c>
      <c r="AX24" s="38">
        <f t="shared" si="31"/>
        <v>9.3298288285714303E-3</v>
      </c>
      <c r="AY24" s="38">
        <f t="shared" si="32"/>
        <v>2.1300979060665366E-2</v>
      </c>
      <c r="AZ24" s="43">
        <f t="shared" si="68"/>
        <v>1.4475314627499412</v>
      </c>
      <c r="BA24" s="39">
        <f t="shared" si="69"/>
        <v>1.4181900000000001</v>
      </c>
      <c r="BB24" s="37">
        <f t="shared" si="33"/>
        <v>7.4074362202575753E-2</v>
      </c>
      <c r="BC24" s="38">
        <f t="shared" si="34"/>
        <v>3.1930140000000003E-2</v>
      </c>
      <c r="BD24" s="38">
        <f t="shared" si="35"/>
        <v>1.9158084000000001E-3</v>
      </c>
      <c r="BE24" s="38">
        <f t="shared" si="36"/>
        <v>4.3739917808219182E-3</v>
      </c>
      <c r="BF24" s="43">
        <f t="shared" si="70"/>
        <v>6.4563077840739629</v>
      </c>
      <c r="BG24" s="39">
        <f t="shared" si="71"/>
        <v>1.29888</v>
      </c>
      <c r="BH24" s="37">
        <f t="shared" si="37"/>
        <v>6.4815066927253778E-2</v>
      </c>
      <c r="BI24" s="38">
        <f t="shared" si="38"/>
        <v>7.7627157142857131E-2</v>
      </c>
      <c r="BJ24" s="38">
        <f t="shared" si="39"/>
        <v>4.6576294285714274E-3</v>
      </c>
      <c r="BK24" s="38">
        <f t="shared" si="40"/>
        <v>1.0633857142857141E-2</v>
      </c>
      <c r="BL24" s="43">
        <f t="shared" si="72"/>
        <v>2.5036597832754039</v>
      </c>
      <c r="BM24" s="39">
        <f t="shared" si="73"/>
        <v>1.22454</v>
      </c>
      <c r="BN24" s="37">
        <f t="shared" si="41"/>
        <v>5.7613392824225583E-2</v>
      </c>
      <c r="BO24" s="38">
        <f t="shared" si="42"/>
        <v>6.2709601428571432E-2</v>
      </c>
      <c r="BP24" s="38">
        <f t="shared" si="43"/>
        <v>3.7625760857142856E-3</v>
      </c>
      <c r="BQ24" s="38">
        <f t="shared" si="44"/>
        <v>8.5903563600782783E-3</v>
      </c>
      <c r="BR24" s="43">
        <f t="shared" si="74"/>
        <v>2.859077219002303</v>
      </c>
      <c r="BS24" s="39">
        <f t="shared" si="75"/>
        <v>1.12965</v>
      </c>
      <c r="BT24" s="37">
        <f t="shared" si="45"/>
        <v>5.1852053541803021E-2</v>
      </c>
      <c r="BU24" s="38">
        <f t="shared" si="46"/>
        <v>5.8106887142857132E-2</v>
      </c>
      <c r="BV24" s="38">
        <f t="shared" si="47"/>
        <v>3.4864132285714277E-3</v>
      </c>
      <c r="BW24" s="38">
        <f t="shared" si="48"/>
        <v>7.9598475538160459E-3</v>
      </c>
      <c r="BX24" s="43">
        <f t="shared" si="76"/>
        <v>2.4527874136188577</v>
      </c>
      <c r="BY24" s="39">
        <f t="shared" si="77"/>
        <v>0.89798999999999995</v>
      </c>
      <c r="BZ24" s="37">
        <f t="shared" si="49"/>
        <v>3.456803569453535E-2</v>
      </c>
      <c r="CA24" s="38">
        <f t="shared" si="50"/>
        <v>0.26823349142857139</v>
      </c>
      <c r="CB24" s="38">
        <f t="shared" si="51"/>
        <v>1.6094009485714284E-2</v>
      </c>
      <c r="CC24" s="38">
        <f t="shared" si="52"/>
        <v>3.6744313894324851E-2</v>
      </c>
      <c r="CD24" s="43">
        <f t="shared" si="78"/>
        <v>0.93448675770987677</v>
      </c>
      <c r="CE24" s="39">
        <f t="shared" si="79"/>
        <v>1.5793200000000001</v>
      </c>
      <c r="CF24" s="37">
        <f t="shared" si="53"/>
        <v>2.5926026770901511E-2</v>
      </c>
      <c r="CG24" s="38">
        <f t="shared" si="54"/>
        <v>2.6210077142857134E-2</v>
      </c>
      <c r="CH24" s="38">
        <f t="shared" si="55"/>
        <v>1.572604628571428E-3</v>
      </c>
      <c r="CI24" s="38">
        <f t="shared" si="56"/>
        <v>3.5904215264187856E-3</v>
      </c>
      <c r="CJ24" s="43">
        <f t="shared" si="80"/>
        <v>6.7184207339227342</v>
      </c>
      <c r="CK24" s="39">
        <f t="shared" si="81"/>
        <v>1.10948</v>
      </c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-1163.7</v>
      </c>
      <c r="D25">
        <v>69834.7</v>
      </c>
      <c r="E25">
        <v>6326.4</v>
      </c>
      <c r="F25">
        <f t="shared" si="84"/>
        <v>6.9834699999999996</v>
      </c>
      <c r="G25">
        <f t="shared" si="85"/>
        <v>-0.11637</v>
      </c>
      <c r="H25">
        <f t="shared" si="86"/>
        <v>7.0998399999999995</v>
      </c>
      <c r="I25">
        <f t="shared" si="88"/>
        <v>0.63263999999999998</v>
      </c>
      <c r="K25" s="67"/>
      <c r="L25" s="3">
        <v>-95.8</v>
      </c>
      <c r="M25" s="5">
        <f t="shared" si="95"/>
        <v>2.4000000000000057</v>
      </c>
      <c r="N25" s="5">
        <f t="shared" si="89"/>
        <v>52.890724234957723</v>
      </c>
      <c r="O25" s="5">
        <f t="shared" si="90"/>
        <v>0.55376142640169557</v>
      </c>
      <c r="P25" s="4">
        <v>4</v>
      </c>
      <c r="Q25" s="5">
        <f t="shared" si="91"/>
        <v>7.0998399999999995</v>
      </c>
      <c r="R25" s="5">
        <f t="shared" si="91"/>
        <v>0.63263999999999998</v>
      </c>
      <c r="S25" s="5">
        <f t="shared" si="92"/>
        <v>5.9159416800000004</v>
      </c>
      <c r="T25" s="5">
        <f t="shared" si="93"/>
        <v>0.35495650080000002</v>
      </c>
      <c r="U25" s="5">
        <f t="shared" si="94"/>
        <v>0.81040296986301374</v>
      </c>
      <c r="V25" s="5">
        <f t="shared" si="87"/>
        <v>0.55376142640169557</v>
      </c>
      <c r="W25" s="19"/>
      <c r="X25" s="60"/>
      <c r="Y25" s="61"/>
      <c r="Z25" s="61"/>
      <c r="AA25" s="62">
        <f>MAX(AA14:AA24)</f>
        <v>1.5413492743150685</v>
      </c>
      <c r="AB25" s="61"/>
      <c r="AC25" s="63">
        <f>MIN(AC14:AC24)</f>
        <v>0.49946000000000002</v>
      </c>
      <c r="AD25" s="63"/>
      <c r="AE25" s="63"/>
      <c r="AF25" s="63"/>
      <c r="AG25" s="62">
        <f>MAX(AG14:AG24)</f>
        <v>0.84117786010273976</v>
      </c>
      <c r="AH25" s="63"/>
      <c r="AI25" s="63">
        <f>MIN(AI14:AI24)</f>
        <v>0.50427</v>
      </c>
      <c r="AJ25" s="63"/>
      <c r="AK25" s="63"/>
      <c r="AL25" s="63"/>
      <c r="AM25" s="62">
        <f>MAX(AM14:AM24)</f>
        <v>0.66545707777397278</v>
      </c>
      <c r="AN25" s="63"/>
      <c r="AO25" s="63">
        <f>MIN(AO14:AO24)</f>
        <v>0.50744999999999996</v>
      </c>
      <c r="AP25" s="63"/>
      <c r="AQ25" s="63"/>
      <c r="AR25" s="63"/>
      <c r="AS25" s="62">
        <f>MAX(AS14:AS24)</f>
        <v>0.60957191342465744</v>
      </c>
      <c r="AT25" s="63"/>
      <c r="AU25" s="63">
        <f>MIN(AU14:AU24)</f>
        <v>0.53323999999999994</v>
      </c>
      <c r="AV25" s="63"/>
      <c r="AW25" s="63"/>
      <c r="AX25" s="63"/>
      <c r="AY25" s="62">
        <f>MAX(AY14:AY24)</f>
        <v>0.53994714143835632</v>
      </c>
      <c r="AZ25" s="63"/>
      <c r="BA25" s="63">
        <f>MIN(BA14:BA24)</f>
        <v>0.55567</v>
      </c>
      <c r="BB25" s="63"/>
      <c r="BC25" s="63"/>
      <c r="BD25" s="63"/>
      <c r="BE25" s="62">
        <f>MAX(BE14:BE24)</f>
        <v>0.4711674904109589</v>
      </c>
      <c r="BF25" s="63"/>
      <c r="BG25" s="63">
        <f>MIN(BG14:BG24)</f>
        <v>0.56573000000000007</v>
      </c>
      <c r="BH25" s="63"/>
      <c r="BI25" s="63"/>
      <c r="BJ25" s="63"/>
      <c r="BK25" s="62">
        <f>MAX(BK14:BK24)</f>
        <v>0.46935184246575345</v>
      </c>
      <c r="BL25" s="63"/>
      <c r="BM25" s="63">
        <f>MIN(BM14:BM24)</f>
        <v>0.49708999999999998</v>
      </c>
      <c r="BN25" s="63"/>
      <c r="BO25" s="63"/>
      <c r="BP25" s="63"/>
      <c r="BQ25" s="62">
        <f>MAX(BQ14:BQ24)</f>
        <v>0.4436618698630137</v>
      </c>
      <c r="BR25" s="63"/>
      <c r="BS25" s="63">
        <f>MIN(BS14:BS24)</f>
        <v>0.48698000000000002</v>
      </c>
      <c r="BT25" s="63"/>
      <c r="BU25" s="63"/>
      <c r="BV25" s="63"/>
      <c r="BW25" s="62">
        <f>MAX(BW14:BW24)</f>
        <v>0.43748897123287672</v>
      </c>
      <c r="BX25" s="63"/>
      <c r="BY25" s="63">
        <f>MIN(BY14:BY24)</f>
        <v>0.44336999999999999</v>
      </c>
      <c r="BZ25" s="63"/>
      <c r="CA25" s="63"/>
      <c r="CB25" s="63"/>
      <c r="CC25" s="62">
        <f>MAX(CC14:CC24)</f>
        <v>0.44635262054794528</v>
      </c>
      <c r="CD25" s="63"/>
      <c r="CE25" s="63">
        <f>MIN(CE14:CE24)</f>
        <v>0.63181999999999994</v>
      </c>
      <c r="CF25" s="63"/>
      <c r="CG25" s="63"/>
      <c r="CH25" s="63"/>
      <c r="CI25" s="62">
        <f>MAX(CI14:CI24)</f>
        <v>0.51363356301369867</v>
      </c>
      <c r="CJ25" s="63"/>
      <c r="CK25" s="63">
        <f>MIN(CK14:CK24)</f>
        <v>0.62696000000000007</v>
      </c>
      <c r="CL25" s="63"/>
      <c r="CM25" s="63"/>
      <c r="CN25" s="63"/>
      <c r="CO25" s="62">
        <f>MAX(CO14:CO24)</f>
        <v>0.51562423150684944</v>
      </c>
      <c r="CP25" s="63"/>
      <c r="CQ25" s="63">
        <f>MIN(CQ14:CQ24)</f>
        <v>0.62436000000000003</v>
      </c>
    </row>
    <row r="26" spans="2:95" x14ac:dyDescent="0.3">
      <c r="B26">
        <v>8</v>
      </c>
      <c r="C26">
        <v>1875.2</v>
      </c>
      <c r="D26">
        <v>90607.7</v>
      </c>
      <c r="E26">
        <v>5514.7</v>
      </c>
      <c r="F26">
        <f t="shared" si="84"/>
        <v>9.0607699999999998</v>
      </c>
      <c r="G26">
        <f t="shared" si="85"/>
        <v>0.18751999999999999</v>
      </c>
      <c r="H26">
        <f t="shared" si="86"/>
        <v>8.8732500000000005</v>
      </c>
      <c r="I26">
        <f t="shared" si="88"/>
        <v>0.55147000000000002</v>
      </c>
      <c r="K26" s="67"/>
      <c r="L26" s="3">
        <v>-95.5</v>
      </c>
      <c r="M26" s="5">
        <f t="shared" si="95"/>
        <v>2.7000000000000028</v>
      </c>
      <c r="N26" s="5">
        <f t="shared" si="89"/>
        <v>57.756125383651771</v>
      </c>
      <c r="O26" s="5">
        <f t="shared" si="90"/>
        <v>0.46439295988135315</v>
      </c>
      <c r="P26" s="4">
        <v>5</v>
      </c>
      <c r="Q26" s="5">
        <f t="shared" si="91"/>
        <v>8.8732500000000005</v>
      </c>
      <c r="R26" s="5">
        <f t="shared" si="91"/>
        <v>0.55147000000000002</v>
      </c>
      <c r="S26" s="5">
        <f t="shared" si="92"/>
        <v>5.9149084500000013</v>
      </c>
      <c r="T26" s="5">
        <f t="shared" si="93"/>
        <v>0.35489450700000008</v>
      </c>
      <c r="U26" s="5">
        <f t="shared" si="94"/>
        <v>0.81026143150684948</v>
      </c>
      <c r="V26" s="5">
        <f t="shared" si="87"/>
        <v>0.46439295988135315</v>
      </c>
      <c r="W26" s="19"/>
      <c r="X26" s="20"/>
      <c r="Y26" s="21"/>
      <c r="Z26" s="18"/>
      <c r="AA26" s="22"/>
      <c r="AB26" s="17"/>
      <c r="AC26" s="17"/>
    </row>
    <row r="27" spans="2:95" x14ac:dyDescent="0.3">
      <c r="B27">
        <v>9</v>
      </c>
      <c r="C27">
        <v>2573.5</v>
      </c>
      <c r="D27">
        <v>149962.6</v>
      </c>
      <c r="E27">
        <v>5975.2</v>
      </c>
      <c r="F27">
        <f t="shared" si="84"/>
        <v>14.996260000000001</v>
      </c>
      <c r="G27">
        <f t="shared" si="85"/>
        <v>0.25735000000000002</v>
      </c>
      <c r="H27">
        <f t="shared" si="86"/>
        <v>14.738910000000001</v>
      </c>
      <c r="I27">
        <f t="shared" si="88"/>
        <v>0.59751999999999994</v>
      </c>
      <c r="K27" s="67"/>
      <c r="L27" s="5">
        <v>-95.1</v>
      </c>
      <c r="M27" s="5">
        <f t="shared" si="95"/>
        <v>3.1000000000000085</v>
      </c>
      <c r="N27" s="5">
        <f t="shared" si="89"/>
        <v>64.335352920706185</v>
      </c>
      <c r="O27" s="5">
        <f t="shared" si="90"/>
        <v>0.37426770404311599</v>
      </c>
      <c r="P27" s="4">
        <v>8</v>
      </c>
      <c r="Q27" s="5">
        <f t="shared" si="91"/>
        <v>14.738910000000001</v>
      </c>
      <c r="R27" s="5">
        <f t="shared" si="91"/>
        <v>0.59751999999999994</v>
      </c>
      <c r="S27" s="5">
        <f t="shared" si="92"/>
        <v>6.14059837875</v>
      </c>
      <c r="T27" s="5">
        <f t="shared" si="93"/>
        <v>0.36843590272499999</v>
      </c>
      <c r="U27" s="5">
        <f t="shared" si="94"/>
        <v>0.84117786010273976</v>
      </c>
      <c r="V27" s="5">
        <f t="shared" si="87"/>
        <v>0.37426770404311599</v>
      </c>
      <c r="W27" s="19"/>
      <c r="X27" s="20"/>
      <c r="Y27" s="21"/>
      <c r="Z27" s="17"/>
      <c r="AA27" s="17"/>
      <c r="AB27" s="17"/>
      <c r="AC27" s="17"/>
    </row>
    <row r="28" spans="2:95" x14ac:dyDescent="0.3">
      <c r="B28">
        <v>10</v>
      </c>
      <c r="C28">
        <v>1577.4</v>
      </c>
      <c r="D28">
        <v>238312.7</v>
      </c>
      <c r="E28">
        <v>7748</v>
      </c>
      <c r="F28">
        <f t="shared" si="84"/>
        <v>23.83127</v>
      </c>
      <c r="G28">
        <f t="shared" si="85"/>
        <v>0.15774000000000002</v>
      </c>
      <c r="H28">
        <f t="shared" si="86"/>
        <v>23.67353</v>
      </c>
      <c r="I28">
        <f t="shared" si="88"/>
        <v>0.77480000000000004</v>
      </c>
      <c r="K28" s="67"/>
      <c r="L28" s="5">
        <v>-94.399999999999991</v>
      </c>
      <c r="M28" s="5">
        <f t="shared" si="95"/>
        <v>3.8000000000000114</v>
      </c>
      <c r="N28" s="5">
        <f t="shared" si="89"/>
        <v>76.025152245972833</v>
      </c>
      <c r="O28" s="5">
        <f t="shared" si="90"/>
        <v>0.26801995585460153</v>
      </c>
      <c r="P28" s="4">
        <v>14</v>
      </c>
      <c r="Q28" s="5">
        <f t="shared" si="91"/>
        <v>23.67353</v>
      </c>
      <c r="R28" s="5">
        <f t="shared" si="91"/>
        <v>0.77480000000000004</v>
      </c>
      <c r="S28" s="5">
        <f t="shared" si="92"/>
        <v>5.6359911064285706</v>
      </c>
      <c r="T28" s="5">
        <f t="shared" si="93"/>
        <v>0.3381594663857142</v>
      </c>
      <c r="U28" s="5">
        <f t="shared" si="94"/>
        <v>0.7720535762230919</v>
      </c>
      <c r="V28" s="5">
        <f t="shared" si="87"/>
        <v>0.26801995585460153</v>
      </c>
      <c r="W28" s="19"/>
      <c r="X28" s="20"/>
      <c r="Y28" s="21"/>
      <c r="Z28" s="17"/>
      <c r="AA28" s="17"/>
      <c r="AB28" s="17"/>
      <c r="AC28" s="17"/>
    </row>
    <row r="29" spans="2:95" ht="15" thickBot="1" x14ac:dyDescent="0.35">
      <c r="B29">
        <v>11</v>
      </c>
      <c r="C29">
        <v>4363.7</v>
      </c>
      <c r="D29">
        <v>241629.2</v>
      </c>
      <c r="E29">
        <v>21146.2</v>
      </c>
      <c r="F29">
        <f t="shared" si="84"/>
        <v>24.16292</v>
      </c>
      <c r="G29">
        <f t="shared" si="85"/>
        <v>0.43636999999999998</v>
      </c>
      <c r="H29">
        <f t="shared" si="86"/>
        <v>23.72655</v>
      </c>
      <c r="I29">
        <f t="shared" si="88"/>
        <v>2.1146199999999999</v>
      </c>
      <c r="K29" s="68"/>
      <c r="L29" s="6">
        <v>-93.3</v>
      </c>
      <c r="M29" s="6">
        <f t="shared" si="95"/>
        <v>4.9000000000000057</v>
      </c>
      <c r="N29" s="6">
        <f t="shared" si="89"/>
        <v>94.671337139281746</v>
      </c>
      <c r="O29" s="6">
        <f t="shared" si="90"/>
        <v>0.17284017847267674</v>
      </c>
      <c r="P29" s="7">
        <v>21</v>
      </c>
      <c r="Q29" s="6">
        <f t="shared" si="91"/>
        <v>23.72655</v>
      </c>
      <c r="R29" s="6">
        <f t="shared" si="91"/>
        <v>2.1146199999999999</v>
      </c>
      <c r="S29" s="6">
        <f t="shared" si="92"/>
        <v>3.7657424357142855</v>
      </c>
      <c r="T29" s="6">
        <f t="shared" si="93"/>
        <v>0.22594454614285711</v>
      </c>
      <c r="U29" s="6">
        <f t="shared" si="94"/>
        <v>0.51585512818003909</v>
      </c>
      <c r="V29" s="6">
        <f t="shared" si="87"/>
        <v>0.17284017847267674</v>
      </c>
      <c r="W29" s="19"/>
      <c r="X29" s="15"/>
      <c r="Y29" s="17"/>
      <c r="Z29" s="17"/>
      <c r="AA29" s="17"/>
      <c r="AB29" s="17"/>
      <c r="AC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-6509.4</v>
      </c>
      <c r="D33">
        <v>21858.2</v>
      </c>
      <c r="E33">
        <v>5523.2</v>
      </c>
      <c r="F33">
        <f t="shared" ref="F33:F43" si="96">D33/10000</f>
        <v>2.1858200000000001</v>
      </c>
      <c r="G33">
        <f t="shared" ref="G33:G43" si="97">C33/10000</f>
        <v>-0.65093999999999996</v>
      </c>
      <c r="H33">
        <f t="shared" ref="H33:H43" si="98">F33-G33</f>
        <v>2.8367599999999999</v>
      </c>
      <c r="I33">
        <f>E33/10000</f>
        <v>0.55232000000000003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2.477615031750708</v>
      </c>
      <c r="P33" s="2">
        <v>3</v>
      </c>
      <c r="Q33" s="8">
        <f>H33</f>
        <v>2.8367599999999999</v>
      </c>
      <c r="R33" s="8">
        <f>I33</f>
        <v>0.55232000000000003</v>
      </c>
      <c r="S33" s="8">
        <f>Q33/10^6*$Z$4*$Z$3/P33*10^12</f>
        <v>3.15164036</v>
      </c>
      <c r="T33" s="8">
        <f>S33*0.06</f>
        <v>0.18909842159999998</v>
      </c>
      <c r="U33" s="8">
        <f>S33/$Z$1</f>
        <v>0.43173155616438358</v>
      </c>
      <c r="V33" s="12">
        <f t="shared" ref="V33:V43" si="99">O33</f>
        <v>2.477615031750708</v>
      </c>
    </row>
    <row r="34" spans="2:22" x14ac:dyDescent="0.3">
      <c r="B34">
        <v>2</v>
      </c>
      <c r="C34">
        <v>-7495.1</v>
      </c>
      <c r="D34">
        <v>22531.4</v>
      </c>
      <c r="E34">
        <v>5296.2</v>
      </c>
      <c r="F34">
        <f t="shared" si="96"/>
        <v>2.2531400000000001</v>
      </c>
      <c r="G34">
        <f t="shared" si="97"/>
        <v>-0.74951000000000001</v>
      </c>
      <c r="H34">
        <f t="shared" si="98"/>
        <v>3.00265</v>
      </c>
      <c r="I34">
        <f t="shared" ref="I34:I43" si="100">E34/10000</f>
        <v>0.52961999999999998</v>
      </c>
      <c r="K34" s="67"/>
      <c r="L34" s="3">
        <v>-98</v>
      </c>
      <c r="M34" s="5">
        <f>L34+98.2</f>
        <v>0.20000000000000284</v>
      </c>
      <c r="N34" s="5">
        <f t="shared" ref="N34:N43" si="101">20.56036*SQRT(1+((L34-(-98.58903))*1.03*1095.70644/(3.14159*20.56036^2))^2)</f>
        <v>22.992351577801337</v>
      </c>
      <c r="O34" s="5">
        <f t="shared" ref="O34:O43" si="102">2*$Z$1/$Z$2/PI()/(N34*10^-4)^2/$K$33/$Z$7</f>
        <v>2.1977394726231827</v>
      </c>
      <c r="P34" s="4">
        <v>3</v>
      </c>
      <c r="Q34" s="5">
        <f t="shared" ref="Q34:R43" si="103">H34</f>
        <v>3.00265</v>
      </c>
      <c r="R34" s="5">
        <f t="shared" si="103"/>
        <v>0.52961999999999998</v>
      </c>
      <c r="S34" s="5">
        <f t="shared" ref="S34:S43" si="104">Q34/10^6*$Z$4*$Z$3/P34*10^12</f>
        <v>3.33594415</v>
      </c>
      <c r="T34" s="5">
        <f t="shared" ref="T34:T43" si="105">S34*0.06</f>
        <v>0.20015664899999999</v>
      </c>
      <c r="U34" s="5">
        <f t="shared" ref="U34:U43" si="106">S34/$Z$1</f>
        <v>0.45697865068493154</v>
      </c>
      <c r="V34" s="5">
        <f t="shared" si="99"/>
        <v>2.1977394726231827</v>
      </c>
    </row>
    <row r="35" spans="2:22" x14ac:dyDescent="0.3">
      <c r="B35">
        <v>3</v>
      </c>
      <c r="C35">
        <v>-6644.9</v>
      </c>
      <c r="D35">
        <v>24228.6</v>
      </c>
      <c r="E35">
        <v>5074.5</v>
      </c>
      <c r="F35">
        <f t="shared" si="96"/>
        <v>2.42286</v>
      </c>
      <c r="G35">
        <f t="shared" si="97"/>
        <v>-0.66448999999999991</v>
      </c>
      <c r="H35">
        <f t="shared" si="98"/>
        <v>3.0873499999999998</v>
      </c>
      <c r="I35">
        <f t="shared" si="100"/>
        <v>0.50744999999999996</v>
      </c>
      <c r="K35" s="67"/>
      <c r="L35" s="3">
        <v>-97.8</v>
      </c>
      <c r="M35" s="5">
        <f t="shared" ref="M35:M43" si="107">L35+98.2</f>
        <v>0.40000000000000568</v>
      </c>
      <c r="N35" s="5">
        <f t="shared" si="101"/>
        <v>24.754552179927092</v>
      </c>
      <c r="O35" s="5">
        <f t="shared" si="102"/>
        <v>1.8959760342683765</v>
      </c>
      <c r="P35" s="4">
        <v>3</v>
      </c>
      <c r="Q35" s="5">
        <f t="shared" si="103"/>
        <v>3.0873499999999998</v>
      </c>
      <c r="R35" s="5">
        <f t="shared" si="103"/>
        <v>0.50744999999999996</v>
      </c>
      <c r="S35" s="5">
        <f t="shared" si="104"/>
        <v>3.4300458500000004</v>
      </c>
      <c r="T35" s="5">
        <f t="shared" si="105"/>
        <v>0.20580275100000001</v>
      </c>
      <c r="U35" s="5">
        <f t="shared" si="106"/>
        <v>0.46986929452054799</v>
      </c>
      <c r="V35" s="5">
        <f t="shared" si="99"/>
        <v>1.8959760342683765</v>
      </c>
    </row>
    <row r="36" spans="2:22" x14ac:dyDescent="0.3">
      <c r="B36">
        <v>4</v>
      </c>
      <c r="C36">
        <v>-8453.6</v>
      </c>
      <c r="D36">
        <v>27599.7</v>
      </c>
      <c r="E36">
        <v>5450.2</v>
      </c>
      <c r="F36">
        <f t="shared" si="96"/>
        <v>2.75997</v>
      </c>
      <c r="G36">
        <f t="shared" si="97"/>
        <v>-0.84536</v>
      </c>
      <c r="H36">
        <f t="shared" si="98"/>
        <v>3.6053299999999999</v>
      </c>
      <c r="I36">
        <f t="shared" si="100"/>
        <v>0.54501999999999995</v>
      </c>
      <c r="K36" s="67"/>
      <c r="L36" s="3">
        <v>-97.2</v>
      </c>
      <c r="M36" s="5">
        <f t="shared" si="107"/>
        <v>1</v>
      </c>
      <c r="N36" s="5">
        <f t="shared" si="101"/>
        <v>31.807899949628325</v>
      </c>
      <c r="O36" s="5">
        <f t="shared" si="102"/>
        <v>1.1483466252362846</v>
      </c>
      <c r="P36" s="4">
        <v>3</v>
      </c>
      <c r="Q36" s="5">
        <f t="shared" si="103"/>
        <v>3.6053299999999999</v>
      </c>
      <c r="R36" s="5">
        <f t="shared" si="103"/>
        <v>0.54501999999999995</v>
      </c>
      <c r="S36" s="5">
        <f t="shared" si="104"/>
        <v>4.0055216300000005</v>
      </c>
      <c r="T36" s="5">
        <f t="shared" si="105"/>
        <v>0.24033129780000001</v>
      </c>
      <c r="U36" s="5">
        <f t="shared" si="106"/>
        <v>0.54870159315068501</v>
      </c>
      <c r="V36" s="5">
        <f t="shared" si="99"/>
        <v>1.1483466252362846</v>
      </c>
    </row>
    <row r="37" spans="2:22" x14ac:dyDescent="0.3">
      <c r="B37">
        <v>5</v>
      </c>
      <c r="C37">
        <v>-7251.6</v>
      </c>
      <c r="D37">
        <v>31976.5</v>
      </c>
      <c r="E37">
        <v>6209.1</v>
      </c>
      <c r="F37">
        <f t="shared" si="96"/>
        <v>3.1976499999999999</v>
      </c>
      <c r="G37">
        <f t="shared" si="97"/>
        <v>-0.72516000000000003</v>
      </c>
      <c r="H37">
        <f t="shared" si="98"/>
        <v>3.9228100000000001</v>
      </c>
      <c r="I37">
        <f t="shared" si="100"/>
        <v>0.62091000000000007</v>
      </c>
      <c r="K37" s="67"/>
      <c r="L37" s="3">
        <v>-96.8</v>
      </c>
      <c r="M37" s="5">
        <f t="shared" si="107"/>
        <v>1.4000000000000057</v>
      </c>
      <c r="N37" s="5">
        <f t="shared" si="101"/>
        <v>37.414240753916886</v>
      </c>
      <c r="O37" s="5">
        <f t="shared" si="102"/>
        <v>0.82998285020519136</v>
      </c>
      <c r="P37" s="4">
        <v>3</v>
      </c>
      <c r="Q37" s="5">
        <f t="shared" si="103"/>
        <v>3.9228100000000001</v>
      </c>
      <c r="R37" s="5">
        <f t="shared" si="103"/>
        <v>0.62091000000000007</v>
      </c>
      <c r="S37" s="5">
        <f t="shared" si="104"/>
        <v>4.3582419099999994</v>
      </c>
      <c r="T37" s="5">
        <f t="shared" si="105"/>
        <v>0.26149451459999995</v>
      </c>
      <c r="U37" s="5">
        <f t="shared" si="106"/>
        <v>0.59701943972602733</v>
      </c>
      <c r="V37" s="5">
        <f t="shared" si="99"/>
        <v>0.82998285020519136</v>
      </c>
    </row>
    <row r="38" spans="2:22" x14ac:dyDescent="0.3">
      <c r="B38">
        <v>6</v>
      </c>
      <c r="C38">
        <v>-6252.1</v>
      </c>
      <c r="D38">
        <v>50800.2</v>
      </c>
      <c r="E38">
        <v>7149</v>
      </c>
      <c r="F38">
        <f t="shared" si="96"/>
        <v>5.0800199999999993</v>
      </c>
      <c r="G38">
        <f t="shared" si="97"/>
        <v>-0.62521000000000004</v>
      </c>
      <c r="H38">
        <f t="shared" si="98"/>
        <v>5.7052299999999994</v>
      </c>
      <c r="I38">
        <f t="shared" si="100"/>
        <v>0.71489999999999998</v>
      </c>
      <c r="K38" s="67"/>
      <c r="L38" s="3">
        <v>-96.3</v>
      </c>
      <c r="M38" s="5">
        <f t="shared" si="107"/>
        <v>1.9000000000000057</v>
      </c>
      <c r="N38" s="5">
        <f t="shared" si="101"/>
        <v>44.970060517830404</v>
      </c>
      <c r="O38" s="5">
        <f t="shared" si="102"/>
        <v>0.57450795652469577</v>
      </c>
      <c r="P38" s="4">
        <v>4</v>
      </c>
      <c r="Q38" s="5">
        <f t="shared" si="103"/>
        <v>5.7052299999999994</v>
      </c>
      <c r="R38" s="5">
        <f t="shared" si="103"/>
        <v>0.71489999999999998</v>
      </c>
      <c r="S38" s="5">
        <f t="shared" si="104"/>
        <v>4.7538828974999996</v>
      </c>
      <c r="T38" s="5">
        <f t="shared" si="105"/>
        <v>0.28523297384999996</v>
      </c>
      <c r="U38" s="5">
        <f t="shared" si="106"/>
        <v>0.65121683527397256</v>
      </c>
      <c r="V38" s="5">
        <f t="shared" si="99"/>
        <v>0.57450795652469577</v>
      </c>
    </row>
    <row r="39" spans="2:22" x14ac:dyDescent="0.3">
      <c r="B39">
        <v>7</v>
      </c>
      <c r="C39">
        <v>-2360.1</v>
      </c>
      <c r="D39">
        <v>52421.1</v>
      </c>
      <c r="E39">
        <v>6485</v>
      </c>
      <c r="F39">
        <f t="shared" si="96"/>
        <v>5.2421100000000003</v>
      </c>
      <c r="G39">
        <f t="shared" si="97"/>
        <v>-0.23601</v>
      </c>
      <c r="H39">
        <f t="shared" si="98"/>
        <v>5.4781200000000005</v>
      </c>
      <c r="I39">
        <f t="shared" si="100"/>
        <v>0.64849999999999997</v>
      </c>
      <c r="K39" s="67"/>
      <c r="L39" s="3">
        <v>-95.8</v>
      </c>
      <c r="M39" s="5">
        <f t="shared" si="107"/>
        <v>2.4000000000000057</v>
      </c>
      <c r="N39" s="5">
        <f t="shared" si="101"/>
        <v>52.890724234957723</v>
      </c>
      <c r="O39" s="5">
        <f t="shared" si="102"/>
        <v>0.41532106980127165</v>
      </c>
      <c r="P39" s="4">
        <v>4</v>
      </c>
      <c r="Q39" s="5">
        <f t="shared" si="103"/>
        <v>5.4781200000000005</v>
      </c>
      <c r="R39" s="5">
        <f t="shared" si="103"/>
        <v>0.64849999999999997</v>
      </c>
      <c r="S39" s="5">
        <f t="shared" si="104"/>
        <v>4.5646434900000008</v>
      </c>
      <c r="T39" s="5">
        <f t="shared" si="105"/>
        <v>0.27387860940000003</v>
      </c>
      <c r="U39" s="5">
        <f t="shared" si="106"/>
        <v>0.62529362876712347</v>
      </c>
      <c r="V39" s="5">
        <f t="shared" si="99"/>
        <v>0.41532106980127165</v>
      </c>
    </row>
    <row r="40" spans="2:22" x14ac:dyDescent="0.3">
      <c r="B40">
        <v>8</v>
      </c>
      <c r="C40">
        <v>-2978.5</v>
      </c>
      <c r="D40">
        <v>69261.399999999994</v>
      </c>
      <c r="E40">
        <v>8037.7</v>
      </c>
      <c r="F40">
        <f t="shared" si="96"/>
        <v>6.9261399999999993</v>
      </c>
      <c r="G40">
        <f t="shared" si="97"/>
        <v>-0.29785</v>
      </c>
      <c r="H40">
        <f t="shared" si="98"/>
        <v>7.2239899999999997</v>
      </c>
      <c r="I40">
        <f t="shared" si="100"/>
        <v>0.80376999999999998</v>
      </c>
      <c r="K40" s="67"/>
      <c r="L40" s="3">
        <v>-95.5</v>
      </c>
      <c r="M40" s="5">
        <f t="shared" si="107"/>
        <v>2.7000000000000028</v>
      </c>
      <c r="N40" s="5">
        <f t="shared" si="101"/>
        <v>57.756125383651771</v>
      </c>
      <c r="O40" s="5">
        <f t="shared" si="102"/>
        <v>0.34829471991101485</v>
      </c>
      <c r="P40" s="4">
        <v>5</v>
      </c>
      <c r="Q40" s="5">
        <f t="shared" si="103"/>
        <v>7.2239899999999997</v>
      </c>
      <c r="R40" s="5">
        <f t="shared" si="103"/>
        <v>0.80376999999999998</v>
      </c>
      <c r="S40" s="5">
        <f t="shared" si="104"/>
        <v>4.8155117340000002</v>
      </c>
      <c r="T40" s="5">
        <f t="shared" si="105"/>
        <v>0.28893070403999999</v>
      </c>
      <c r="U40" s="5">
        <f t="shared" si="106"/>
        <v>0.65965914164383566</v>
      </c>
      <c r="V40" s="5">
        <f t="shared" si="99"/>
        <v>0.34829471991101485</v>
      </c>
    </row>
    <row r="41" spans="2:22" x14ac:dyDescent="0.3">
      <c r="B41">
        <v>9</v>
      </c>
      <c r="C41">
        <v>-2608.7399999999998</v>
      </c>
      <c r="D41">
        <v>113991</v>
      </c>
      <c r="E41">
        <v>8585.5</v>
      </c>
      <c r="F41">
        <f t="shared" si="96"/>
        <v>11.399100000000001</v>
      </c>
      <c r="G41">
        <f t="shared" si="97"/>
        <v>-0.26087399999999999</v>
      </c>
      <c r="H41">
        <f t="shared" si="98"/>
        <v>11.659974</v>
      </c>
      <c r="I41">
        <f t="shared" si="100"/>
        <v>0.85855000000000004</v>
      </c>
      <c r="K41" s="67"/>
      <c r="L41" s="5">
        <v>-95.1</v>
      </c>
      <c r="M41" s="5">
        <f t="shared" si="107"/>
        <v>3.1000000000000085</v>
      </c>
      <c r="N41" s="5">
        <f t="shared" si="101"/>
        <v>64.335352920706185</v>
      </c>
      <c r="O41" s="5">
        <f t="shared" si="102"/>
        <v>0.28070077803233701</v>
      </c>
      <c r="P41" s="4">
        <v>8</v>
      </c>
      <c r="Q41" s="5">
        <f t="shared" si="103"/>
        <v>11.659974</v>
      </c>
      <c r="R41" s="5">
        <f t="shared" si="103"/>
        <v>0.85855000000000004</v>
      </c>
      <c r="S41" s="5">
        <f t="shared" si="104"/>
        <v>4.8578366677500009</v>
      </c>
      <c r="T41" s="5">
        <f t="shared" si="105"/>
        <v>0.29147020006500002</v>
      </c>
      <c r="U41" s="5">
        <f t="shared" si="106"/>
        <v>0.66545707777397278</v>
      </c>
      <c r="V41" s="5">
        <f t="shared" si="99"/>
        <v>0.28070077803233701</v>
      </c>
    </row>
    <row r="42" spans="2:22" x14ac:dyDescent="0.3">
      <c r="B42">
        <v>10</v>
      </c>
      <c r="C42">
        <v>2334.4</v>
      </c>
      <c r="D42">
        <v>169907.8</v>
      </c>
      <c r="E42">
        <v>15369.8</v>
      </c>
      <c r="F42">
        <f t="shared" si="96"/>
        <v>16.990779999999997</v>
      </c>
      <c r="G42">
        <f t="shared" si="97"/>
        <v>0.23344000000000001</v>
      </c>
      <c r="H42">
        <f t="shared" si="98"/>
        <v>16.757339999999996</v>
      </c>
      <c r="I42">
        <f t="shared" si="100"/>
        <v>1.53698</v>
      </c>
      <c r="K42" s="67"/>
      <c r="L42" s="5">
        <v>-94.399999999999991</v>
      </c>
      <c r="M42" s="5">
        <f t="shared" si="107"/>
        <v>3.8000000000000114</v>
      </c>
      <c r="N42" s="5">
        <f t="shared" si="101"/>
        <v>76.025152245972833</v>
      </c>
      <c r="O42" s="5">
        <f t="shared" si="102"/>
        <v>0.20101496689095116</v>
      </c>
      <c r="P42" s="4">
        <v>14</v>
      </c>
      <c r="Q42" s="5">
        <f t="shared" si="103"/>
        <v>16.757339999999996</v>
      </c>
      <c r="R42" s="5">
        <f t="shared" si="103"/>
        <v>1.53698</v>
      </c>
      <c r="S42" s="5">
        <f t="shared" si="104"/>
        <v>3.9894438728571422</v>
      </c>
      <c r="T42" s="5">
        <f t="shared" si="105"/>
        <v>0.23936663237142852</v>
      </c>
      <c r="U42" s="5">
        <f t="shared" si="106"/>
        <v>0.54649916066536197</v>
      </c>
      <c r="V42" s="5">
        <f t="shared" si="99"/>
        <v>0.20101496689095116</v>
      </c>
    </row>
    <row r="43" spans="2:22" ht="15" thickBot="1" x14ac:dyDescent="0.35">
      <c r="B43">
        <v>11</v>
      </c>
      <c r="C43">
        <v>-2779.8</v>
      </c>
      <c r="D43">
        <v>133819.6</v>
      </c>
      <c r="E43">
        <v>14655.5</v>
      </c>
      <c r="F43">
        <f t="shared" si="96"/>
        <v>13.381960000000001</v>
      </c>
      <c r="G43">
        <f t="shared" si="97"/>
        <v>-0.27798</v>
      </c>
      <c r="H43">
        <f t="shared" si="98"/>
        <v>13.659940000000001</v>
      </c>
      <c r="I43">
        <f t="shared" si="100"/>
        <v>1.4655499999999999</v>
      </c>
      <c r="K43" s="68"/>
      <c r="L43" s="6">
        <v>-93.3</v>
      </c>
      <c r="M43" s="6">
        <f t="shared" si="107"/>
        <v>4.9000000000000057</v>
      </c>
      <c r="N43" s="6">
        <f t="shared" si="101"/>
        <v>94.671337139281746</v>
      </c>
      <c r="O43" s="6">
        <f t="shared" si="102"/>
        <v>0.12963013385450756</v>
      </c>
      <c r="P43" s="7">
        <v>21</v>
      </c>
      <c r="Q43" s="6">
        <f t="shared" si="103"/>
        <v>13.659940000000001</v>
      </c>
      <c r="R43" s="6">
        <f t="shared" si="103"/>
        <v>1.4655499999999999</v>
      </c>
      <c r="S43" s="6">
        <f t="shared" si="104"/>
        <v>2.1680276200000002</v>
      </c>
      <c r="T43" s="6">
        <f t="shared" si="105"/>
        <v>0.13008165720000001</v>
      </c>
      <c r="U43" s="6">
        <f t="shared" si="106"/>
        <v>0.29699008493150686</v>
      </c>
      <c r="V43" s="6">
        <f t="shared" si="99"/>
        <v>0.12963013385450756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-2015.9</v>
      </c>
      <c r="D47">
        <v>22534</v>
      </c>
      <c r="E47">
        <v>5890.4</v>
      </c>
      <c r="F47">
        <f t="shared" ref="F47:F57" si="108">D47/10000</f>
        <v>2.2534000000000001</v>
      </c>
      <c r="G47">
        <f t="shared" ref="G47:G57" si="109">C47/10000</f>
        <v>-0.20159000000000002</v>
      </c>
      <c r="H47">
        <f t="shared" ref="H47:H57" si="110">F47-G47</f>
        <v>2.45499</v>
      </c>
      <c r="I47">
        <f>E47/10000</f>
        <v>0.58904000000000001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1.9820920254005663</v>
      </c>
      <c r="P47" s="2">
        <v>3</v>
      </c>
      <c r="Q47" s="8">
        <f>H47</f>
        <v>2.45499</v>
      </c>
      <c r="R47" s="8">
        <f>I47</f>
        <v>0.58904000000000001</v>
      </c>
      <c r="S47" s="8">
        <f>Q47/10^6*$Z$4*$Z$3/P47*10^12</f>
        <v>2.7274938899999999</v>
      </c>
      <c r="T47" s="8">
        <f>S47*0.06</f>
        <v>0.16364963339999999</v>
      </c>
      <c r="U47" s="8">
        <f>S47/$Z$1</f>
        <v>0.3736293</v>
      </c>
      <c r="V47" s="12">
        <f t="shared" ref="V47:V57" si="111">O47</f>
        <v>1.9820920254005663</v>
      </c>
    </row>
    <row r="48" spans="2:22" x14ac:dyDescent="0.3">
      <c r="B48">
        <v>2</v>
      </c>
      <c r="C48">
        <v>-3073.3</v>
      </c>
      <c r="D48">
        <v>26314.400000000001</v>
      </c>
      <c r="E48">
        <v>5535.6</v>
      </c>
      <c r="F48">
        <f t="shared" si="108"/>
        <v>2.63144</v>
      </c>
      <c r="G48">
        <f t="shared" si="109"/>
        <v>-0.30732999999999999</v>
      </c>
      <c r="H48">
        <f t="shared" si="110"/>
        <v>2.9387699999999999</v>
      </c>
      <c r="I48">
        <f t="shared" ref="I48:I57" si="112">E48/10000</f>
        <v>0.55356000000000005</v>
      </c>
      <c r="K48" s="67"/>
      <c r="L48" s="3">
        <v>-98</v>
      </c>
      <c r="M48" s="5">
        <f>L48+98.2</f>
        <v>0.20000000000000284</v>
      </c>
      <c r="N48" s="5">
        <f t="shared" ref="N48:N57" si="113">20.56036*SQRT(1+((L48-(-98.58903))*1.03*1095.70644/(3.14159*20.56036^2))^2)</f>
        <v>22.992351577801337</v>
      </c>
      <c r="O48" s="5">
        <f t="shared" ref="O48:O57" si="114">2*$Z$1/$Z$2/PI()/(N48*10^-4)^2/$K$47/$Z$7</f>
        <v>1.7581915780985462</v>
      </c>
      <c r="P48" s="4">
        <v>3</v>
      </c>
      <c r="Q48" s="5">
        <f t="shared" ref="Q48:R57" si="115">H48</f>
        <v>2.9387699999999999</v>
      </c>
      <c r="R48" s="5">
        <f t="shared" si="115"/>
        <v>0.55356000000000005</v>
      </c>
      <c r="S48" s="5">
        <f t="shared" ref="S48:S57" si="116">Q48/10^6*$Z$4*$Z$3/P48*10^12</f>
        <v>3.2649734699999997</v>
      </c>
      <c r="T48" s="5">
        <f t="shared" ref="T48:T57" si="117">S48*0.06</f>
        <v>0.19589840819999998</v>
      </c>
      <c r="U48" s="5">
        <f t="shared" ref="U48:U57" si="118">S48/$Z$1</f>
        <v>0.44725663972602736</v>
      </c>
      <c r="V48" s="5">
        <f t="shared" si="111"/>
        <v>1.7581915780985462</v>
      </c>
    </row>
    <row r="49" spans="2:22" x14ac:dyDescent="0.3">
      <c r="B49">
        <v>3</v>
      </c>
      <c r="C49">
        <v>-6866.5</v>
      </c>
      <c r="D49">
        <v>26399.4</v>
      </c>
      <c r="E49">
        <v>5332.4</v>
      </c>
      <c r="F49">
        <f t="shared" si="108"/>
        <v>2.6399400000000002</v>
      </c>
      <c r="G49">
        <f t="shared" si="109"/>
        <v>-0.68664999999999998</v>
      </c>
      <c r="H49">
        <f t="shared" si="110"/>
        <v>3.3265900000000004</v>
      </c>
      <c r="I49">
        <f t="shared" si="112"/>
        <v>0.53323999999999994</v>
      </c>
      <c r="K49" s="67"/>
      <c r="L49" s="3">
        <v>-97.8</v>
      </c>
      <c r="M49" s="5">
        <f t="shared" ref="M49:M57" si="119">L49+98.2</f>
        <v>0.40000000000000568</v>
      </c>
      <c r="N49" s="5">
        <f t="shared" si="113"/>
        <v>24.754552179927092</v>
      </c>
      <c r="O49" s="5">
        <f t="shared" si="114"/>
        <v>1.5167808274147012</v>
      </c>
      <c r="P49" s="4">
        <v>3</v>
      </c>
      <c r="Q49" s="5">
        <f t="shared" si="115"/>
        <v>3.3265900000000004</v>
      </c>
      <c r="R49" s="5">
        <f t="shared" si="115"/>
        <v>0.53323999999999994</v>
      </c>
      <c r="S49" s="5">
        <f t="shared" si="116"/>
        <v>3.6958414900000007</v>
      </c>
      <c r="T49" s="5">
        <f t="shared" si="117"/>
        <v>0.22175048940000003</v>
      </c>
      <c r="U49" s="5">
        <f t="shared" si="118"/>
        <v>0.50627965616438364</v>
      </c>
      <c r="V49" s="5">
        <f t="shared" si="111"/>
        <v>1.5167808274147012</v>
      </c>
    </row>
    <row r="50" spans="2:22" x14ac:dyDescent="0.3">
      <c r="B50">
        <v>4</v>
      </c>
      <c r="C50">
        <v>1117.8</v>
      </c>
      <c r="D50">
        <v>29993.7</v>
      </c>
      <c r="E50">
        <v>6252</v>
      </c>
      <c r="F50">
        <f t="shared" si="108"/>
        <v>2.9993699999999999</v>
      </c>
      <c r="G50">
        <f t="shared" si="109"/>
        <v>0.11177999999999999</v>
      </c>
      <c r="H50">
        <f t="shared" si="110"/>
        <v>2.8875899999999999</v>
      </c>
      <c r="I50">
        <f t="shared" si="112"/>
        <v>0.62519999999999998</v>
      </c>
      <c r="K50" s="67"/>
      <c r="L50" s="3">
        <v>-97.2</v>
      </c>
      <c r="M50" s="5">
        <f t="shared" si="119"/>
        <v>1</v>
      </c>
      <c r="N50" s="5">
        <f t="shared" si="113"/>
        <v>31.807899949628325</v>
      </c>
      <c r="O50" s="5">
        <f t="shared" si="114"/>
        <v>0.91867730018902771</v>
      </c>
      <c r="P50" s="4">
        <v>3</v>
      </c>
      <c r="Q50" s="5">
        <f t="shared" si="115"/>
        <v>2.8875899999999999</v>
      </c>
      <c r="R50" s="5">
        <f t="shared" si="115"/>
        <v>0.62519999999999998</v>
      </c>
      <c r="S50" s="5">
        <f t="shared" si="116"/>
        <v>3.2081124899999995</v>
      </c>
      <c r="T50" s="5">
        <f t="shared" si="117"/>
        <v>0.19248674939999996</v>
      </c>
      <c r="U50" s="5">
        <f t="shared" si="118"/>
        <v>0.4394674643835616</v>
      </c>
      <c r="V50" s="5">
        <f t="shared" si="111"/>
        <v>0.91867730018902771</v>
      </c>
    </row>
    <row r="51" spans="2:22" x14ac:dyDescent="0.3">
      <c r="B51">
        <v>5</v>
      </c>
      <c r="C51">
        <v>-1363.9</v>
      </c>
      <c r="D51">
        <v>35969.1</v>
      </c>
      <c r="E51">
        <v>7012.6</v>
      </c>
      <c r="F51">
        <f t="shared" si="108"/>
        <v>3.5969099999999998</v>
      </c>
      <c r="G51">
        <f t="shared" si="109"/>
        <v>-0.13639000000000001</v>
      </c>
      <c r="H51">
        <f t="shared" si="110"/>
        <v>3.7332999999999998</v>
      </c>
      <c r="I51">
        <f t="shared" si="112"/>
        <v>0.70125999999999999</v>
      </c>
      <c r="K51" s="67"/>
      <c r="L51" s="3">
        <v>-96.8</v>
      </c>
      <c r="M51" s="5">
        <f t="shared" si="119"/>
        <v>1.4000000000000057</v>
      </c>
      <c r="N51" s="5">
        <f t="shared" si="113"/>
        <v>37.414240753916886</v>
      </c>
      <c r="O51" s="5">
        <f t="shared" si="114"/>
        <v>0.66398628016415306</v>
      </c>
      <c r="P51" s="4">
        <v>3</v>
      </c>
      <c r="Q51" s="5">
        <f t="shared" si="115"/>
        <v>3.7332999999999998</v>
      </c>
      <c r="R51" s="5">
        <f t="shared" si="115"/>
        <v>0.70125999999999999</v>
      </c>
      <c r="S51" s="5">
        <f t="shared" si="116"/>
        <v>4.1476963000000007</v>
      </c>
      <c r="T51" s="5">
        <f t="shared" si="117"/>
        <v>0.24886177800000003</v>
      </c>
      <c r="U51" s="5">
        <f t="shared" si="118"/>
        <v>0.56817757534246582</v>
      </c>
      <c r="V51" s="5">
        <f t="shared" si="111"/>
        <v>0.66398628016415306</v>
      </c>
    </row>
    <row r="52" spans="2:22" x14ac:dyDescent="0.3">
      <c r="B52">
        <v>6</v>
      </c>
      <c r="C52">
        <v>2480</v>
      </c>
      <c r="D52">
        <v>52123.3</v>
      </c>
      <c r="E52">
        <v>8236.2999999999993</v>
      </c>
      <c r="F52">
        <f t="shared" si="108"/>
        <v>5.2123300000000006</v>
      </c>
      <c r="G52">
        <f t="shared" si="109"/>
        <v>0.248</v>
      </c>
      <c r="H52">
        <f t="shared" si="110"/>
        <v>4.9643300000000004</v>
      </c>
      <c r="I52">
        <f t="shared" si="112"/>
        <v>0.82362999999999997</v>
      </c>
      <c r="K52" s="67"/>
      <c r="L52" s="3">
        <v>-96.3</v>
      </c>
      <c r="M52" s="5">
        <f t="shared" si="119"/>
        <v>1.9000000000000057</v>
      </c>
      <c r="N52" s="5">
        <f t="shared" si="113"/>
        <v>44.970060517830404</v>
      </c>
      <c r="O52" s="5">
        <f t="shared" si="114"/>
        <v>0.45960636521975662</v>
      </c>
      <c r="P52" s="4">
        <v>4</v>
      </c>
      <c r="Q52" s="5">
        <f t="shared" si="115"/>
        <v>4.9643300000000004</v>
      </c>
      <c r="R52" s="5">
        <f t="shared" si="115"/>
        <v>0.82362999999999997</v>
      </c>
      <c r="S52" s="5">
        <f t="shared" si="116"/>
        <v>4.1365279725000006</v>
      </c>
      <c r="T52" s="5">
        <f t="shared" si="117"/>
        <v>0.24819167835000003</v>
      </c>
      <c r="U52" s="5">
        <f t="shared" si="118"/>
        <v>0.56664766746575357</v>
      </c>
      <c r="V52" s="5">
        <f t="shared" si="111"/>
        <v>0.45960636521975662</v>
      </c>
    </row>
    <row r="53" spans="2:22" x14ac:dyDescent="0.3">
      <c r="B53">
        <v>7</v>
      </c>
      <c r="C53">
        <v>2977.4</v>
      </c>
      <c r="D53">
        <v>56207.5</v>
      </c>
      <c r="E53">
        <v>7289.1</v>
      </c>
      <c r="F53">
        <f t="shared" si="108"/>
        <v>5.6207500000000001</v>
      </c>
      <c r="G53">
        <f t="shared" si="109"/>
        <v>0.29774</v>
      </c>
      <c r="H53">
        <f t="shared" si="110"/>
        <v>5.32301</v>
      </c>
      <c r="I53">
        <f t="shared" si="112"/>
        <v>0.72891000000000006</v>
      </c>
      <c r="K53" s="67"/>
      <c r="L53" s="3">
        <v>-95.8</v>
      </c>
      <c r="M53" s="5">
        <f t="shared" si="119"/>
        <v>2.4000000000000057</v>
      </c>
      <c r="N53" s="5">
        <f t="shared" si="113"/>
        <v>52.890724234957723</v>
      </c>
      <c r="O53" s="5">
        <f t="shared" si="114"/>
        <v>0.33225685584101733</v>
      </c>
      <c r="P53" s="4">
        <v>4</v>
      </c>
      <c r="Q53" s="5">
        <f t="shared" si="115"/>
        <v>5.32301</v>
      </c>
      <c r="R53" s="5">
        <f t="shared" si="115"/>
        <v>0.72891000000000006</v>
      </c>
      <c r="S53" s="5">
        <f t="shared" si="116"/>
        <v>4.4353980825000008</v>
      </c>
      <c r="T53" s="5">
        <f t="shared" si="117"/>
        <v>0.26612388495000006</v>
      </c>
      <c r="U53" s="5">
        <f t="shared" si="118"/>
        <v>0.60758877842465764</v>
      </c>
      <c r="V53" s="5">
        <f t="shared" si="111"/>
        <v>0.33225685584101733</v>
      </c>
    </row>
    <row r="54" spans="2:22" x14ac:dyDescent="0.3">
      <c r="B54">
        <v>8</v>
      </c>
      <c r="C54">
        <v>3522.6</v>
      </c>
      <c r="D54">
        <v>70277.399999999994</v>
      </c>
      <c r="E54">
        <v>10222</v>
      </c>
      <c r="F54">
        <f t="shared" si="108"/>
        <v>7.0277399999999997</v>
      </c>
      <c r="G54">
        <f t="shared" si="109"/>
        <v>0.35226000000000002</v>
      </c>
      <c r="H54">
        <f t="shared" si="110"/>
        <v>6.6754799999999994</v>
      </c>
      <c r="I54">
        <f t="shared" si="112"/>
        <v>1.0222</v>
      </c>
      <c r="K54" s="67"/>
      <c r="L54" s="3">
        <v>-95.5</v>
      </c>
      <c r="M54" s="5">
        <f t="shared" si="119"/>
        <v>2.7000000000000028</v>
      </c>
      <c r="N54" s="5">
        <f t="shared" si="113"/>
        <v>57.756125383651771</v>
      </c>
      <c r="O54" s="5">
        <f t="shared" si="114"/>
        <v>0.27863577592881189</v>
      </c>
      <c r="P54" s="4">
        <v>5</v>
      </c>
      <c r="Q54" s="5">
        <f t="shared" si="115"/>
        <v>6.6754799999999994</v>
      </c>
      <c r="R54" s="5">
        <f t="shared" si="115"/>
        <v>1.0222</v>
      </c>
      <c r="S54" s="5">
        <f t="shared" si="116"/>
        <v>4.4498749679999996</v>
      </c>
      <c r="T54" s="5">
        <f t="shared" si="117"/>
        <v>0.26699249807999997</v>
      </c>
      <c r="U54" s="5">
        <f t="shared" si="118"/>
        <v>0.60957191342465744</v>
      </c>
      <c r="V54" s="5">
        <f t="shared" si="111"/>
        <v>0.27863577592881189</v>
      </c>
    </row>
    <row r="55" spans="2:22" x14ac:dyDescent="0.3">
      <c r="B55">
        <v>9</v>
      </c>
      <c r="C55">
        <v>5317.9</v>
      </c>
      <c r="D55">
        <v>105527.4</v>
      </c>
      <c r="E55">
        <v>14355.7</v>
      </c>
      <c r="F55">
        <f t="shared" si="108"/>
        <v>10.55274</v>
      </c>
      <c r="G55">
        <f t="shared" si="109"/>
        <v>0.53178999999999998</v>
      </c>
      <c r="H55">
        <f t="shared" si="110"/>
        <v>10.020949999999999</v>
      </c>
      <c r="I55">
        <f t="shared" si="112"/>
        <v>1.43557</v>
      </c>
      <c r="K55" s="67"/>
      <c r="L55" s="5">
        <v>-95.1</v>
      </c>
      <c r="M55" s="5">
        <f t="shared" si="119"/>
        <v>3.1000000000000085</v>
      </c>
      <c r="N55" s="5">
        <f t="shared" si="113"/>
        <v>64.335352920706185</v>
      </c>
      <c r="O55" s="5">
        <f t="shared" si="114"/>
        <v>0.2245606224258696</v>
      </c>
      <c r="P55" s="4">
        <v>8</v>
      </c>
      <c r="Q55" s="5">
        <f t="shared" si="115"/>
        <v>10.020949999999999</v>
      </c>
      <c r="R55" s="5">
        <f t="shared" si="115"/>
        <v>1.43557</v>
      </c>
      <c r="S55" s="5">
        <f t="shared" si="116"/>
        <v>4.1749782937499997</v>
      </c>
      <c r="T55" s="5">
        <f t="shared" si="117"/>
        <v>0.25049869762499999</v>
      </c>
      <c r="U55" s="5">
        <f t="shared" si="118"/>
        <v>0.57191483476027394</v>
      </c>
      <c r="V55" s="5">
        <f t="shared" si="111"/>
        <v>0.2245606224258696</v>
      </c>
    </row>
    <row r="56" spans="2:22" x14ac:dyDescent="0.3">
      <c r="B56">
        <v>10</v>
      </c>
      <c r="C56">
        <v>6227.9</v>
      </c>
      <c r="D56">
        <v>148923.6</v>
      </c>
      <c r="E56">
        <v>13497.2</v>
      </c>
      <c r="F56">
        <f t="shared" si="108"/>
        <v>14.89236</v>
      </c>
      <c r="G56">
        <f t="shared" si="109"/>
        <v>0.62278999999999995</v>
      </c>
      <c r="H56">
        <f t="shared" si="110"/>
        <v>14.26957</v>
      </c>
      <c r="I56">
        <f t="shared" si="112"/>
        <v>1.34972</v>
      </c>
      <c r="K56" s="67"/>
      <c r="L56" s="5">
        <v>-94.399999999999991</v>
      </c>
      <c r="M56" s="5">
        <f t="shared" si="119"/>
        <v>3.8000000000000114</v>
      </c>
      <c r="N56" s="5">
        <f t="shared" si="113"/>
        <v>76.025152245972833</v>
      </c>
      <c r="O56" s="5">
        <f t="shared" si="114"/>
        <v>0.16081197351276094</v>
      </c>
      <c r="P56" s="4">
        <v>14</v>
      </c>
      <c r="Q56" s="5">
        <f t="shared" si="115"/>
        <v>14.26957</v>
      </c>
      <c r="R56" s="5">
        <f t="shared" si="115"/>
        <v>1.34972</v>
      </c>
      <c r="S56" s="5">
        <f t="shared" si="116"/>
        <v>3.3971769150000002</v>
      </c>
      <c r="T56" s="5">
        <f t="shared" si="117"/>
        <v>0.20383061490000001</v>
      </c>
      <c r="U56" s="5">
        <f t="shared" si="118"/>
        <v>0.46536670068493152</v>
      </c>
      <c r="V56" s="5">
        <f t="shared" si="111"/>
        <v>0.16081197351276094</v>
      </c>
    </row>
    <row r="57" spans="2:22" ht="15" thickBot="1" x14ac:dyDescent="0.35">
      <c r="B57">
        <v>11</v>
      </c>
      <c r="C57">
        <v>10692.6</v>
      </c>
      <c r="D57">
        <v>69824.899999999994</v>
      </c>
      <c r="E57">
        <v>13953.3</v>
      </c>
      <c r="F57">
        <f t="shared" si="108"/>
        <v>6.9824899999999994</v>
      </c>
      <c r="G57">
        <f t="shared" si="109"/>
        <v>1.0692600000000001</v>
      </c>
      <c r="H57">
        <f t="shared" si="110"/>
        <v>5.9132299999999995</v>
      </c>
      <c r="I57">
        <f t="shared" si="112"/>
        <v>1.39533</v>
      </c>
      <c r="K57" s="68"/>
      <c r="L57" s="6">
        <v>-93.3</v>
      </c>
      <c r="M57" s="6">
        <f t="shared" si="119"/>
        <v>4.9000000000000057</v>
      </c>
      <c r="N57" s="6">
        <f t="shared" si="113"/>
        <v>94.671337139281746</v>
      </c>
      <c r="O57" s="6">
        <f t="shared" si="114"/>
        <v>0.10370410708360604</v>
      </c>
      <c r="P57" s="7">
        <v>21</v>
      </c>
      <c r="Q57" s="6">
        <f t="shared" si="115"/>
        <v>5.9132299999999995</v>
      </c>
      <c r="R57" s="6">
        <f t="shared" si="115"/>
        <v>1.39533</v>
      </c>
      <c r="S57" s="6">
        <f t="shared" si="116"/>
        <v>0.93851407571428569</v>
      </c>
      <c r="T57" s="6">
        <f t="shared" si="117"/>
        <v>5.631084454285714E-2</v>
      </c>
      <c r="U57" s="6">
        <f t="shared" si="118"/>
        <v>0.12856357201565558</v>
      </c>
      <c r="V57" s="6">
        <f t="shared" si="111"/>
        <v>0.10370410708360604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314.89999999999998</v>
      </c>
      <c r="D61">
        <v>24066.5</v>
      </c>
      <c r="E61">
        <v>5556.7</v>
      </c>
      <c r="F61">
        <f t="shared" ref="F61:F71" si="120">D61/10000</f>
        <v>2.40665</v>
      </c>
      <c r="G61">
        <f t="shared" ref="G61:G71" si="121">C61/10000</f>
        <v>3.1489999999999997E-2</v>
      </c>
      <c r="H61">
        <f t="shared" ref="H61:H71" si="122">F61-G61</f>
        <v>2.3751600000000002</v>
      </c>
      <c r="I61">
        <f>E61/10000</f>
        <v>0.55567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1.651743354500472</v>
      </c>
      <c r="P61" s="2">
        <v>3</v>
      </c>
      <c r="Q61" s="8">
        <f>H61</f>
        <v>2.3751600000000002</v>
      </c>
      <c r="R61" s="8">
        <f>I61</f>
        <v>0.55567</v>
      </c>
      <c r="S61" s="8">
        <f>Q61/10^6*$Z$4*$Z$3/P61*10^12</f>
        <v>2.6388027600000004</v>
      </c>
      <c r="T61" s="8">
        <f>S61*0.06</f>
        <v>0.15832816560000001</v>
      </c>
      <c r="U61" s="8">
        <f>S61/$Z$1</f>
        <v>0.36147983013698637</v>
      </c>
      <c r="V61" s="12">
        <f t="shared" ref="V61:V71" si="123">O61</f>
        <v>1.651743354500472</v>
      </c>
    </row>
    <row r="62" spans="2:22" x14ac:dyDescent="0.3">
      <c r="B62">
        <v>2</v>
      </c>
      <c r="C62">
        <v>-5559</v>
      </c>
      <c r="D62">
        <v>25333.7</v>
      </c>
      <c r="E62">
        <v>5960.8</v>
      </c>
      <c r="F62">
        <f t="shared" si="120"/>
        <v>2.5333700000000001</v>
      </c>
      <c r="G62">
        <f t="shared" si="121"/>
        <v>-0.55589999999999995</v>
      </c>
      <c r="H62">
        <f t="shared" si="122"/>
        <v>3.08927</v>
      </c>
      <c r="I62">
        <f t="shared" ref="I62:I71" si="124">E62/10000</f>
        <v>0.59608000000000005</v>
      </c>
      <c r="K62" s="67"/>
      <c r="L62" s="3">
        <v>-98</v>
      </c>
      <c r="M62" s="5">
        <f>L62+98.2</f>
        <v>0.20000000000000284</v>
      </c>
      <c r="N62" s="5">
        <f t="shared" ref="N62:N71" si="125">20.56036*SQRT(1+((L62-(-98.58903))*1.03*1095.70644/(3.14159*20.56036^2))^2)</f>
        <v>22.992351577801337</v>
      </c>
      <c r="O62" s="5">
        <f t="shared" ref="O62:O71" si="126">2*$Z$1/$Z$2/PI()/(N62*10^-4)^2/$K$61/$Z$7</f>
        <v>1.4651596484154552</v>
      </c>
      <c r="P62" s="4">
        <v>3</v>
      </c>
      <c r="Q62" s="5">
        <f t="shared" ref="Q62:R71" si="127">H62</f>
        <v>3.08927</v>
      </c>
      <c r="R62" s="5">
        <f t="shared" si="127"/>
        <v>0.59608000000000005</v>
      </c>
      <c r="S62" s="5">
        <f t="shared" ref="S62:S71" si="128">Q62/10^6*$Z$4*$Z$3/P62*10^12</f>
        <v>3.4321789700000003</v>
      </c>
      <c r="T62" s="5">
        <f t="shared" ref="T62:T71" si="129">S62*0.06</f>
        <v>0.20593073820000002</v>
      </c>
      <c r="U62" s="5">
        <f t="shared" ref="U62:U71" si="130">S62/$Z$1</f>
        <v>0.47016150273972607</v>
      </c>
      <c r="V62" s="5">
        <f t="shared" si="123"/>
        <v>1.4651596484154552</v>
      </c>
    </row>
    <row r="63" spans="2:22" x14ac:dyDescent="0.3">
      <c r="B63">
        <v>3</v>
      </c>
      <c r="C63">
        <v>-5015.5</v>
      </c>
      <c r="D63">
        <v>24458.400000000001</v>
      </c>
      <c r="E63">
        <v>6252.8</v>
      </c>
      <c r="F63">
        <f t="shared" si="120"/>
        <v>2.44584</v>
      </c>
      <c r="G63">
        <f t="shared" si="121"/>
        <v>-0.50155000000000005</v>
      </c>
      <c r="H63">
        <f t="shared" si="122"/>
        <v>2.94739</v>
      </c>
      <c r="I63">
        <f t="shared" si="124"/>
        <v>0.62528000000000006</v>
      </c>
      <c r="K63" s="67"/>
      <c r="L63" s="3">
        <v>-97.8</v>
      </c>
      <c r="M63" s="5">
        <f t="shared" ref="M63:M71" si="131">L63+98.2</f>
        <v>0.40000000000000568</v>
      </c>
      <c r="N63" s="5">
        <f t="shared" si="125"/>
        <v>24.754552179927092</v>
      </c>
      <c r="O63" s="5">
        <f t="shared" si="126"/>
        <v>1.2639840228455843</v>
      </c>
      <c r="P63" s="4">
        <v>3</v>
      </c>
      <c r="Q63" s="5">
        <f t="shared" si="127"/>
        <v>2.94739</v>
      </c>
      <c r="R63" s="5">
        <f t="shared" si="127"/>
        <v>0.62528000000000006</v>
      </c>
      <c r="S63" s="5">
        <f t="shared" si="128"/>
        <v>3.2745502900000005</v>
      </c>
      <c r="T63" s="5">
        <f t="shared" si="129"/>
        <v>0.19647301740000003</v>
      </c>
      <c r="U63" s="5">
        <f t="shared" si="130"/>
        <v>0.44856853287671239</v>
      </c>
      <c r="V63" s="5">
        <f t="shared" si="123"/>
        <v>1.2639840228455843</v>
      </c>
    </row>
    <row r="64" spans="2:22" x14ac:dyDescent="0.3">
      <c r="B64">
        <v>4</v>
      </c>
      <c r="C64">
        <v>-2414.9</v>
      </c>
      <c r="D64">
        <v>29157.599999999999</v>
      </c>
      <c r="E64">
        <v>6199.5</v>
      </c>
      <c r="F64">
        <f t="shared" si="120"/>
        <v>2.9157599999999997</v>
      </c>
      <c r="G64">
        <f t="shared" si="121"/>
        <v>-0.24149000000000001</v>
      </c>
      <c r="H64">
        <f t="shared" si="122"/>
        <v>3.1572499999999999</v>
      </c>
      <c r="I64">
        <f t="shared" si="124"/>
        <v>0.61995</v>
      </c>
      <c r="K64" s="67"/>
      <c r="L64" s="3">
        <v>-97.2</v>
      </c>
      <c r="M64" s="5">
        <f t="shared" si="131"/>
        <v>1</v>
      </c>
      <c r="N64" s="5">
        <f t="shared" si="125"/>
        <v>31.807899949628325</v>
      </c>
      <c r="O64" s="5">
        <f t="shared" si="126"/>
        <v>0.76556441682418974</v>
      </c>
      <c r="P64" s="4">
        <v>3</v>
      </c>
      <c r="Q64" s="5">
        <f t="shared" si="127"/>
        <v>3.1572499999999999</v>
      </c>
      <c r="R64" s="5">
        <f t="shared" si="127"/>
        <v>0.61995</v>
      </c>
      <c r="S64" s="5">
        <f t="shared" si="128"/>
        <v>3.5077047500000003</v>
      </c>
      <c r="T64" s="5">
        <f t="shared" si="129"/>
        <v>0.210462285</v>
      </c>
      <c r="U64" s="5">
        <f t="shared" si="130"/>
        <v>0.48050750000000003</v>
      </c>
      <c r="V64" s="5">
        <f t="shared" si="123"/>
        <v>0.76556441682418974</v>
      </c>
    </row>
    <row r="65" spans="2:22" x14ac:dyDescent="0.3">
      <c r="B65">
        <v>5</v>
      </c>
      <c r="C65">
        <v>-3287.2</v>
      </c>
      <c r="D65">
        <v>30617.9</v>
      </c>
      <c r="E65">
        <v>6421.1</v>
      </c>
      <c r="F65">
        <f t="shared" si="120"/>
        <v>3.0617900000000002</v>
      </c>
      <c r="G65">
        <f t="shared" si="121"/>
        <v>-0.32871999999999996</v>
      </c>
      <c r="H65">
        <f t="shared" si="122"/>
        <v>3.3905100000000004</v>
      </c>
      <c r="I65">
        <f t="shared" si="124"/>
        <v>0.64211000000000007</v>
      </c>
      <c r="K65" s="67"/>
      <c r="L65" s="3">
        <v>-96.8</v>
      </c>
      <c r="M65" s="5">
        <f t="shared" si="131"/>
        <v>1.4000000000000057</v>
      </c>
      <c r="N65" s="5">
        <f t="shared" si="125"/>
        <v>37.414240753916886</v>
      </c>
      <c r="O65" s="5">
        <f t="shared" si="126"/>
        <v>0.55332190013679428</v>
      </c>
      <c r="P65" s="4">
        <v>3</v>
      </c>
      <c r="Q65" s="5">
        <f t="shared" si="127"/>
        <v>3.3905100000000004</v>
      </c>
      <c r="R65" s="5">
        <f t="shared" si="127"/>
        <v>0.64211000000000007</v>
      </c>
      <c r="S65" s="5">
        <f t="shared" si="128"/>
        <v>3.7668566100000005</v>
      </c>
      <c r="T65" s="5">
        <f t="shared" si="129"/>
        <v>0.22601139660000003</v>
      </c>
      <c r="U65" s="5">
        <f t="shared" si="130"/>
        <v>0.51600775479452066</v>
      </c>
      <c r="V65" s="5">
        <f t="shared" si="123"/>
        <v>0.55332190013679428</v>
      </c>
    </row>
    <row r="66" spans="2:22" x14ac:dyDescent="0.3">
      <c r="B66">
        <v>6</v>
      </c>
      <c r="C66">
        <v>1693.8</v>
      </c>
      <c r="D66">
        <v>45244.1</v>
      </c>
      <c r="E66">
        <v>7279.5</v>
      </c>
      <c r="F66">
        <f t="shared" si="120"/>
        <v>4.5244099999999996</v>
      </c>
      <c r="G66">
        <f t="shared" si="121"/>
        <v>0.16938</v>
      </c>
      <c r="H66">
        <f t="shared" si="122"/>
        <v>4.3550299999999993</v>
      </c>
      <c r="I66">
        <f t="shared" si="124"/>
        <v>0.72794999999999999</v>
      </c>
      <c r="K66" s="67"/>
      <c r="L66" s="3">
        <v>-96.3</v>
      </c>
      <c r="M66" s="5">
        <f t="shared" si="131"/>
        <v>1.9000000000000057</v>
      </c>
      <c r="N66" s="5">
        <f t="shared" si="125"/>
        <v>44.970060517830404</v>
      </c>
      <c r="O66" s="5">
        <f t="shared" si="126"/>
        <v>0.38300530434979718</v>
      </c>
      <c r="P66" s="4">
        <v>4</v>
      </c>
      <c r="Q66" s="5">
        <f t="shared" si="127"/>
        <v>4.3550299999999993</v>
      </c>
      <c r="R66" s="5">
        <f t="shared" si="127"/>
        <v>0.72794999999999999</v>
      </c>
      <c r="S66" s="5">
        <f t="shared" si="128"/>
        <v>3.6288287474999996</v>
      </c>
      <c r="T66" s="5">
        <f t="shared" si="129"/>
        <v>0.21772972484999997</v>
      </c>
      <c r="U66" s="5">
        <f t="shared" si="130"/>
        <v>0.4970998284246575</v>
      </c>
      <c r="V66" s="5">
        <f t="shared" si="123"/>
        <v>0.38300530434979718</v>
      </c>
    </row>
    <row r="67" spans="2:22" x14ac:dyDescent="0.3">
      <c r="B67">
        <v>7</v>
      </c>
      <c r="C67">
        <v>-716.5</v>
      </c>
      <c r="D67">
        <v>46587.6</v>
      </c>
      <c r="E67">
        <v>7212.2</v>
      </c>
      <c r="F67">
        <f t="shared" si="120"/>
        <v>4.65876</v>
      </c>
      <c r="G67">
        <f t="shared" si="121"/>
        <v>-7.1650000000000005E-2</v>
      </c>
      <c r="H67">
        <f t="shared" si="122"/>
        <v>4.73041</v>
      </c>
      <c r="I67">
        <f t="shared" si="124"/>
        <v>0.72121999999999997</v>
      </c>
      <c r="K67" s="67"/>
      <c r="L67" s="3">
        <v>-95.8</v>
      </c>
      <c r="M67" s="5">
        <f t="shared" si="131"/>
        <v>2.4000000000000057</v>
      </c>
      <c r="N67" s="5">
        <f t="shared" si="125"/>
        <v>52.890724234957723</v>
      </c>
      <c r="O67" s="5">
        <f t="shared" si="126"/>
        <v>0.27688071320084778</v>
      </c>
      <c r="P67" s="4">
        <v>4</v>
      </c>
      <c r="Q67" s="5">
        <f t="shared" si="127"/>
        <v>4.73041</v>
      </c>
      <c r="R67" s="5">
        <f t="shared" si="127"/>
        <v>0.72121999999999997</v>
      </c>
      <c r="S67" s="5">
        <f t="shared" si="128"/>
        <v>3.9416141325000007</v>
      </c>
      <c r="T67" s="5">
        <f t="shared" si="129"/>
        <v>0.23649684795000003</v>
      </c>
      <c r="U67" s="5">
        <f t="shared" si="130"/>
        <v>0.53994714143835632</v>
      </c>
      <c r="V67" s="5">
        <f t="shared" si="123"/>
        <v>0.27688071320084778</v>
      </c>
    </row>
    <row r="68" spans="2:22" x14ac:dyDescent="0.3">
      <c r="B68">
        <v>8</v>
      </c>
      <c r="C68">
        <v>3596.2</v>
      </c>
      <c r="D68">
        <v>57540.2</v>
      </c>
      <c r="E68">
        <v>9296.5</v>
      </c>
      <c r="F68">
        <f t="shared" si="120"/>
        <v>5.7540199999999997</v>
      </c>
      <c r="G68">
        <f t="shared" si="121"/>
        <v>0.35962</v>
      </c>
      <c r="H68">
        <f t="shared" si="122"/>
        <v>5.3944000000000001</v>
      </c>
      <c r="I68">
        <f t="shared" si="124"/>
        <v>0.92964999999999998</v>
      </c>
      <c r="K68" s="67"/>
      <c r="L68" s="3">
        <v>-95.5</v>
      </c>
      <c r="M68" s="5">
        <f t="shared" si="131"/>
        <v>2.7000000000000028</v>
      </c>
      <c r="N68" s="5">
        <f t="shared" si="125"/>
        <v>57.756125383651771</v>
      </c>
      <c r="O68" s="5">
        <f t="shared" si="126"/>
        <v>0.23219647994067658</v>
      </c>
      <c r="P68" s="4">
        <v>5</v>
      </c>
      <c r="Q68" s="5">
        <f t="shared" si="127"/>
        <v>5.3944000000000001</v>
      </c>
      <c r="R68" s="5">
        <f t="shared" si="127"/>
        <v>0.92964999999999998</v>
      </c>
      <c r="S68" s="5">
        <f t="shared" si="128"/>
        <v>3.5959070400000006</v>
      </c>
      <c r="T68" s="5">
        <f t="shared" si="129"/>
        <v>0.21575442240000003</v>
      </c>
      <c r="U68" s="5">
        <f t="shared" si="130"/>
        <v>0.49259000547945214</v>
      </c>
      <c r="V68" s="5">
        <f t="shared" si="123"/>
        <v>0.23219647994067658</v>
      </c>
    </row>
    <row r="69" spans="2:22" x14ac:dyDescent="0.3">
      <c r="B69">
        <v>9</v>
      </c>
      <c r="C69">
        <v>1112</v>
      </c>
      <c r="D69">
        <v>85062.1</v>
      </c>
      <c r="E69">
        <v>13721.9</v>
      </c>
      <c r="F69">
        <f t="shared" si="120"/>
        <v>8.5062100000000012</v>
      </c>
      <c r="G69">
        <f t="shared" si="121"/>
        <v>0.11119999999999999</v>
      </c>
      <c r="H69">
        <f t="shared" si="122"/>
        <v>8.395010000000001</v>
      </c>
      <c r="I69">
        <f t="shared" si="124"/>
        <v>1.37219</v>
      </c>
      <c r="K69" s="67"/>
      <c r="L69" s="5">
        <v>-95.1</v>
      </c>
      <c r="M69" s="5">
        <f t="shared" si="131"/>
        <v>3.1000000000000085</v>
      </c>
      <c r="N69" s="5">
        <f t="shared" si="125"/>
        <v>64.335352920706185</v>
      </c>
      <c r="O69" s="5">
        <f t="shared" si="126"/>
        <v>0.18713385202155799</v>
      </c>
      <c r="P69" s="4">
        <v>8</v>
      </c>
      <c r="Q69" s="5">
        <f t="shared" si="127"/>
        <v>8.395010000000001</v>
      </c>
      <c r="R69" s="5">
        <f t="shared" si="127"/>
        <v>1.37219</v>
      </c>
      <c r="S69" s="5">
        <f t="shared" si="128"/>
        <v>3.4975710412500005</v>
      </c>
      <c r="T69" s="5">
        <f t="shared" si="129"/>
        <v>0.20985426247500003</v>
      </c>
      <c r="U69" s="5">
        <f t="shared" si="130"/>
        <v>0.47911932071917818</v>
      </c>
      <c r="V69" s="5">
        <f t="shared" si="123"/>
        <v>0.18713385202155799</v>
      </c>
    </row>
    <row r="70" spans="2:22" x14ac:dyDescent="0.3">
      <c r="B70">
        <v>10</v>
      </c>
      <c r="C70">
        <v>6448.6</v>
      </c>
      <c r="D70">
        <v>103332.4</v>
      </c>
      <c r="E70">
        <v>15803.5</v>
      </c>
      <c r="F70">
        <f t="shared" si="120"/>
        <v>10.33324</v>
      </c>
      <c r="G70">
        <f t="shared" si="121"/>
        <v>0.64485999999999999</v>
      </c>
      <c r="H70">
        <f t="shared" si="122"/>
        <v>9.6883800000000004</v>
      </c>
      <c r="I70">
        <f t="shared" si="124"/>
        <v>1.5803499999999999</v>
      </c>
      <c r="K70" s="67"/>
      <c r="L70" s="5">
        <v>-94.399999999999991</v>
      </c>
      <c r="M70" s="5">
        <f t="shared" si="131"/>
        <v>3.8000000000000114</v>
      </c>
      <c r="N70" s="5">
        <f t="shared" si="125"/>
        <v>76.025152245972833</v>
      </c>
      <c r="O70" s="5">
        <f t="shared" si="126"/>
        <v>0.13400997792730077</v>
      </c>
      <c r="P70" s="4">
        <v>14</v>
      </c>
      <c r="Q70" s="5">
        <f t="shared" si="127"/>
        <v>9.6883800000000004</v>
      </c>
      <c r="R70" s="5">
        <f t="shared" si="127"/>
        <v>1.5803499999999999</v>
      </c>
      <c r="S70" s="5">
        <f t="shared" si="128"/>
        <v>2.3065264671428576</v>
      </c>
      <c r="T70" s="5">
        <f t="shared" si="129"/>
        <v>0.13839158802857146</v>
      </c>
      <c r="U70" s="5">
        <f t="shared" si="130"/>
        <v>0.31596252974559691</v>
      </c>
      <c r="V70" s="5">
        <f t="shared" si="123"/>
        <v>0.13400997792730077</v>
      </c>
    </row>
    <row r="71" spans="2:22" ht="15" thickBot="1" x14ac:dyDescent="0.35">
      <c r="B71">
        <v>11</v>
      </c>
      <c r="C71">
        <v>7826.6</v>
      </c>
      <c r="D71">
        <v>17623.900000000001</v>
      </c>
      <c r="E71">
        <v>14181.9</v>
      </c>
      <c r="F71">
        <f t="shared" si="120"/>
        <v>1.7623900000000001</v>
      </c>
      <c r="G71">
        <f t="shared" si="121"/>
        <v>0.78266000000000002</v>
      </c>
      <c r="H71">
        <f t="shared" si="122"/>
        <v>0.9797300000000001</v>
      </c>
      <c r="I71">
        <f t="shared" si="124"/>
        <v>1.4181900000000001</v>
      </c>
      <c r="K71" s="68"/>
      <c r="L71" s="6">
        <v>-93.3</v>
      </c>
      <c r="M71" s="6">
        <f t="shared" si="131"/>
        <v>4.9000000000000057</v>
      </c>
      <c r="N71" s="6">
        <f t="shared" si="125"/>
        <v>94.671337139281746</v>
      </c>
      <c r="O71" s="6">
        <f t="shared" si="126"/>
        <v>8.6420089236338371E-2</v>
      </c>
      <c r="P71" s="7">
        <v>21</v>
      </c>
      <c r="Q71" s="6">
        <f t="shared" si="127"/>
        <v>0.9797300000000001</v>
      </c>
      <c r="R71" s="6">
        <f t="shared" si="127"/>
        <v>1.4181900000000001</v>
      </c>
      <c r="S71" s="6">
        <f t="shared" si="128"/>
        <v>0.15549714714285717</v>
      </c>
      <c r="T71" s="6">
        <f t="shared" si="129"/>
        <v>9.3298288285714303E-3</v>
      </c>
      <c r="U71" s="6">
        <f t="shared" si="130"/>
        <v>2.1300979060665366E-2</v>
      </c>
      <c r="V71" s="6">
        <f t="shared" si="123"/>
        <v>8.6420089236338371E-2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4054.2</v>
      </c>
      <c r="D75">
        <v>29855.599999999999</v>
      </c>
      <c r="E75">
        <v>5754.3</v>
      </c>
      <c r="F75">
        <f t="shared" ref="F75:F85" si="132">D75/10000</f>
        <v>2.98556</v>
      </c>
      <c r="G75">
        <f t="shared" ref="G75:G85" si="133">C75/10000</f>
        <v>0.40542</v>
      </c>
      <c r="H75">
        <f t="shared" ref="H75:H85" si="134">F75-G75</f>
        <v>2.5801400000000001</v>
      </c>
      <c r="I75">
        <f>E75/10000</f>
        <v>0.57543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1.4157800181432616</v>
      </c>
      <c r="P75" s="2">
        <v>3</v>
      </c>
      <c r="Q75" s="8">
        <f>H75</f>
        <v>2.5801400000000001</v>
      </c>
      <c r="R75" s="8">
        <f>I75</f>
        <v>0.57543</v>
      </c>
      <c r="S75" s="8">
        <f>Q75/10^6*$Z$4*$Z$3/P75*10^12</f>
        <v>2.8665355399999997</v>
      </c>
      <c r="T75" s="8">
        <f>S75*0.06</f>
        <v>0.17199213239999997</v>
      </c>
      <c r="U75" s="8">
        <f>S75/$Z$1</f>
        <v>0.39267610136986297</v>
      </c>
      <c r="V75" s="12">
        <f t="shared" ref="V75:V85" si="135">O75</f>
        <v>1.4157800181432616</v>
      </c>
    </row>
    <row r="76" spans="2:22" x14ac:dyDescent="0.3">
      <c r="B76">
        <v>2</v>
      </c>
      <c r="C76">
        <v>-1042.8</v>
      </c>
      <c r="D76">
        <v>24004.1</v>
      </c>
      <c r="E76">
        <v>6220.4</v>
      </c>
      <c r="F76">
        <f t="shared" si="132"/>
        <v>2.4004099999999999</v>
      </c>
      <c r="G76">
        <f t="shared" si="133"/>
        <v>-0.10428</v>
      </c>
      <c r="H76">
        <f t="shared" si="134"/>
        <v>2.5046900000000001</v>
      </c>
      <c r="I76">
        <f t="shared" ref="I76:I85" si="136">E76/10000</f>
        <v>0.62203999999999993</v>
      </c>
      <c r="K76" s="67"/>
      <c r="L76" s="3">
        <v>-98</v>
      </c>
      <c r="M76" s="5">
        <f>L76+98.2</f>
        <v>0.20000000000000284</v>
      </c>
      <c r="N76" s="5">
        <f t="shared" ref="N76:N85" si="137">20.56036*SQRT(1+((L76-(-98.58903))*1.03*1095.70644/(3.14159*20.56036^2))^2)</f>
        <v>22.992351577801337</v>
      </c>
      <c r="O76" s="5">
        <f t="shared" ref="O76:O85" si="138">2*$Z$1/$Z$2/PI()/(N76*10^-4)^2/$K$75/$Z$7</f>
        <v>1.2558511272132473</v>
      </c>
      <c r="P76" s="4">
        <v>3</v>
      </c>
      <c r="Q76" s="5">
        <f t="shared" ref="Q76:R85" si="139">H76</f>
        <v>2.5046900000000001</v>
      </c>
      <c r="R76" s="5">
        <f t="shared" si="139"/>
        <v>0.62203999999999993</v>
      </c>
      <c r="S76" s="5">
        <f t="shared" ref="S76:S85" si="140">Q76/10^6*$Z$4*$Z$3/P76*10^12</f>
        <v>2.7827105900000002</v>
      </c>
      <c r="T76" s="5">
        <f t="shared" ref="T76:T85" si="141">S76*0.06</f>
        <v>0.1669626354</v>
      </c>
      <c r="U76" s="5">
        <f t="shared" ref="U76:U85" si="142">S76/$Z$1</f>
        <v>0.38119323150684936</v>
      </c>
      <c r="V76" s="5">
        <f t="shared" si="135"/>
        <v>1.2558511272132473</v>
      </c>
    </row>
    <row r="77" spans="2:22" x14ac:dyDescent="0.3">
      <c r="B77">
        <v>3</v>
      </c>
      <c r="C77">
        <v>-593.1</v>
      </c>
      <c r="D77">
        <v>26323.200000000001</v>
      </c>
      <c r="E77">
        <v>5657.3</v>
      </c>
      <c r="F77">
        <f t="shared" si="132"/>
        <v>2.63232</v>
      </c>
      <c r="G77">
        <f t="shared" si="133"/>
        <v>-5.9310000000000002E-2</v>
      </c>
      <c r="H77">
        <f t="shared" si="134"/>
        <v>2.69163</v>
      </c>
      <c r="I77">
        <f t="shared" si="136"/>
        <v>0.56573000000000007</v>
      </c>
      <c r="K77" s="67"/>
      <c r="L77" s="3">
        <v>-97.8</v>
      </c>
      <c r="M77" s="5">
        <f t="shared" ref="M77:M85" si="143">L77+98.2</f>
        <v>0.40000000000000568</v>
      </c>
      <c r="N77" s="5">
        <f t="shared" si="137"/>
        <v>24.754552179927092</v>
      </c>
      <c r="O77" s="5">
        <f t="shared" si="138"/>
        <v>1.0834148767247866</v>
      </c>
      <c r="P77" s="4">
        <v>3</v>
      </c>
      <c r="Q77" s="5">
        <f t="shared" si="139"/>
        <v>2.69163</v>
      </c>
      <c r="R77" s="5">
        <f t="shared" si="139"/>
        <v>0.56573000000000007</v>
      </c>
      <c r="S77" s="5">
        <f t="shared" si="140"/>
        <v>2.9904009299999998</v>
      </c>
      <c r="T77" s="5">
        <f t="shared" si="141"/>
        <v>0.17942405579999998</v>
      </c>
      <c r="U77" s="5">
        <f t="shared" si="142"/>
        <v>0.4096439630136986</v>
      </c>
      <c r="V77" s="5">
        <f t="shared" si="135"/>
        <v>1.0834148767247866</v>
      </c>
    </row>
    <row r="78" spans="2:22" x14ac:dyDescent="0.3">
      <c r="B78">
        <v>4</v>
      </c>
      <c r="C78">
        <v>-4295.3999999999996</v>
      </c>
      <c r="D78">
        <v>26663.4</v>
      </c>
      <c r="E78">
        <v>6115.1</v>
      </c>
      <c r="F78">
        <f t="shared" si="132"/>
        <v>2.6663399999999999</v>
      </c>
      <c r="G78">
        <f t="shared" si="133"/>
        <v>-0.42953999999999998</v>
      </c>
      <c r="H78">
        <f t="shared" si="134"/>
        <v>3.0958799999999997</v>
      </c>
      <c r="I78">
        <f t="shared" si="136"/>
        <v>0.61151</v>
      </c>
      <c r="K78" s="67"/>
      <c r="L78" s="3">
        <v>-97.2</v>
      </c>
      <c r="M78" s="5">
        <f t="shared" si="143"/>
        <v>1</v>
      </c>
      <c r="N78" s="5">
        <f t="shared" si="137"/>
        <v>31.807899949628325</v>
      </c>
      <c r="O78" s="5">
        <f t="shared" si="138"/>
        <v>0.65619807156359122</v>
      </c>
      <c r="P78" s="4">
        <v>3</v>
      </c>
      <c r="Q78" s="5">
        <f t="shared" si="139"/>
        <v>3.0958799999999997</v>
      </c>
      <c r="R78" s="5">
        <f t="shared" si="139"/>
        <v>0.61151</v>
      </c>
      <c r="S78" s="5">
        <f t="shared" si="140"/>
        <v>3.4395226800000001</v>
      </c>
      <c r="T78" s="5">
        <f t="shared" si="141"/>
        <v>0.20637136079999999</v>
      </c>
      <c r="U78" s="5">
        <f t="shared" si="142"/>
        <v>0.4711674904109589</v>
      </c>
      <c r="V78" s="5">
        <f t="shared" si="135"/>
        <v>0.65619807156359122</v>
      </c>
    </row>
    <row r="79" spans="2:22" x14ac:dyDescent="0.3">
      <c r="B79">
        <v>5</v>
      </c>
      <c r="C79">
        <v>-2757.9</v>
      </c>
      <c r="D79">
        <v>24715.7</v>
      </c>
      <c r="E79">
        <v>7478.2</v>
      </c>
      <c r="F79">
        <f t="shared" si="132"/>
        <v>2.4715700000000003</v>
      </c>
      <c r="G79">
        <f t="shared" si="133"/>
        <v>-0.27579000000000004</v>
      </c>
      <c r="H79">
        <f t="shared" si="134"/>
        <v>2.7473600000000005</v>
      </c>
      <c r="I79">
        <f t="shared" si="136"/>
        <v>0.74781999999999993</v>
      </c>
      <c r="K79" s="67"/>
      <c r="L79" s="3">
        <v>-96.8</v>
      </c>
      <c r="M79" s="5">
        <f t="shared" si="143"/>
        <v>1.4000000000000057</v>
      </c>
      <c r="N79" s="5">
        <f t="shared" si="137"/>
        <v>37.414240753916886</v>
      </c>
      <c r="O79" s="5">
        <f t="shared" si="138"/>
        <v>0.47427591440296651</v>
      </c>
      <c r="P79" s="4">
        <v>3</v>
      </c>
      <c r="Q79" s="5">
        <f t="shared" si="139"/>
        <v>2.7473600000000005</v>
      </c>
      <c r="R79" s="5">
        <f t="shared" si="139"/>
        <v>0.74781999999999993</v>
      </c>
      <c r="S79" s="5">
        <f t="shared" si="140"/>
        <v>3.0523169600000006</v>
      </c>
      <c r="T79" s="5">
        <f t="shared" si="141"/>
        <v>0.18313901760000004</v>
      </c>
      <c r="U79" s="5">
        <f t="shared" si="142"/>
        <v>0.41812561095890421</v>
      </c>
      <c r="V79" s="5">
        <f t="shared" si="135"/>
        <v>0.47427591440296651</v>
      </c>
    </row>
    <row r="80" spans="2:22" x14ac:dyDescent="0.3">
      <c r="B80">
        <v>6</v>
      </c>
      <c r="C80">
        <v>-5515.9</v>
      </c>
      <c r="D80">
        <v>35415.9</v>
      </c>
      <c r="E80">
        <v>7517.5</v>
      </c>
      <c r="F80">
        <f t="shared" si="132"/>
        <v>3.5415900000000002</v>
      </c>
      <c r="G80">
        <f t="shared" si="133"/>
        <v>-0.55158999999999991</v>
      </c>
      <c r="H80">
        <f t="shared" si="134"/>
        <v>4.0931800000000003</v>
      </c>
      <c r="I80">
        <f t="shared" si="136"/>
        <v>0.75175000000000003</v>
      </c>
      <c r="K80" s="67"/>
      <c r="L80" s="3">
        <v>-96.3</v>
      </c>
      <c r="M80" s="5">
        <f t="shared" si="143"/>
        <v>1.9000000000000057</v>
      </c>
      <c r="N80" s="5">
        <f t="shared" si="137"/>
        <v>44.970060517830404</v>
      </c>
      <c r="O80" s="5">
        <f t="shared" si="138"/>
        <v>0.32829026087125474</v>
      </c>
      <c r="P80" s="4">
        <v>4</v>
      </c>
      <c r="Q80" s="5">
        <f t="shared" si="139"/>
        <v>4.0931800000000003</v>
      </c>
      <c r="R80" s="5">
        <f t="shared" si="139"/>
        <v>0.75175000000000003</v>
      </c>
      <c r="S80" s="5">
        <f t="shared" si="140"/>
        <v>3.4106422350000001</v>
      </c>
      <c r="T80" s="5">
        <f t="shared" si="141"/>
        <v>0.20463853409999999</v>
      </c>
      <c r="U80" s="5">
        <f t="shared" si="142"/>
        <v>0.4672112650684932</v>
      </c>
      <c r="V80" s="5">
        <f t="shared" si="135"/>
        <v>0.32829026087125474</v>
      </c>
    </row>
    <row r="81" spans="2:22" x14ac:dyDescent="0.3">
      <c r="B81">
        <v>7</v>
      </c>
      <c r="C81">
        <v>-2276.1999999999998</v>
      </c>
      <c r="D81">
        <v>34732.699999999997</v>
      </c>
      <c r="E81">
        <v>7033.4</v>
      </c>
      <c r="F81">
        <f t="shared" si="132"/>
        <v>3.4732699999999999</v>
      </c>
      <c r="G81">
        <f t="shared" si="133"/>
        <v>-0.22761999999999999</v>
      </c>
      <c r="H81">
        <f t="shared" si="134"/>
        <v>3.7008899999999998</v>
      </c>
      <c r="I81">
        <f t="shared" si="136"/>
        <v>0.70333999999999997</v>
      </c>
      <c r="K81" s="67"/>
      <c r="L81" s="3">
        <v>-95.8</v>
      </c>
      <c r="M81" s="5">
        <f t="shared" si="143"/>
        <v>2.4000000000000057</v>
      </c>
      <c r="N81" s="5">
        <f t="shared" si="137"/>
        <v>52.890724234957723</v>
      </c>
      <c r="O81" s="5">
        <f t="shared" si="138"/>
        <v>0.23732632560072667</v>
      </c>
      <c r="P81" s="4">
        <v>4</v>
      </c>
      <c r="Q81" s="5">
        <f t="shared" si="139"/>
        <v>3.7008899999999998</v>
      </c>
      <c r="R81" s="5">
        <f t="shared" si="139"/>
        <v>0.70333999999999997</v>
      </c>
      <c r="S81" s="5">
        <f t="shared" si="140"/>
        <v>3.0837665925000004</v>
      </c>
      <c r="T81" s="5">
        <f t="shared" si="141"/>
        <v>0.18502599555000002</v>
      </c>
      <c r="U81" s="5">
        <f t="shared" si="142"/>
        <v>0.42243377979452063</v>
      </c>
      <c r="V81" s="5">
        <f t="shared" si="135"/>
        <v>0.23732632560072667</v>
      </c>
    </row>
    <row r="82" spans="2:22" x14ac:dyDescent="0.3">
      <c r="B82">
        <v>8</v>
      </c>
      <c r="C82">
        <v>-5017.1000000000004</v>
      </c>
      <c r="D82">
        <v>43436.1</v>
      </c>
      <c r="E82">
        <v>7579.4</v>
      </c>
      <c r="F82">
        <f t="shared" si="132"/>
        <v>4.34361</v>
      </c>
      <c r="G82">
        <f t="shared" si="133"/>
        <v>-0.50170999999999999</v>
      </c>
      <c r="H82">
        <f t="shared" si="134"/>
        <v>4.8453200000000001</v>
      </c>
      <c r="I82">
        <f t="shared" si="136"/>
        <v>0.75793999999999995</v>
      </c>
      <c r="K82" s="67"/>
      <c r="L82" s="3">
        <v>-95.5</v>
      </c>
      <c r="M82" s="5">
        <f t="shared" si="143"/>
        <v>2.7000000000000028</v>
      </c>
      <c r="N82" s="5">
        <f t="shared" si="137"/>
        <v>57.756125383651771</v>
      </c>
      <c r="O82" s="5">
        <f t="shared" si="138"/>
        <v>0.19902555423486562</v>
      </c>
      <c r="P82" s="4">
        <v>5</v>
      </c>
      <c r="Q82" s="5">
        <f t="shared" si="139"/>
        <v>4.8453200000000001</v>
      </c>
      <c r="R82" s="5">
        <f t="shared" si="139"/>
        <v>0.75793999999999995</v>
      </c>
      <c r="S82" s="5">
        <f t="shared" si="140"/>
        <v>3.2298903120000002</v>
      </c>
      <c r="T82" s="5">
        <f t="shared" si="141"/>
        <v>0.19379341872</v>
      </c>
      <c r="U82" s="5">
        <f t="shared" si="142"/>
        <v>0.44245072767123289</v>
      </c>
      <c r="V82" s="5">
        <f t="shared" si="135"/>
        <v>0.19902555423486562</v>
      </c>
    </row>
    <row r="83" spans="2:22" x14ac:dyDescent="0.3">
      <c r="B83">
        <v>9</v>
      </c>
      <c r="C83">
        <v>-3190.1</v>
      </c>
      <c r="D83">
        <v>62147.1</v>
      </c>
      <c r="E83">
        <v>8802</v>
      </c>
      <c r="F83">
        <f t="shared" si="132"/>
        <v>6.2147100000000002</v>
      </c>
      <c r="G83">
        <f t="shared" si="133"/>
        <v>-0.31901000000000002</v>
      </c>
      <c r="H83">
        <f t="shared" si="134"/>
        <v>6.5337200000000006</v>
      </c>
      <c r="I83">
        <f t="shared" si="136"/>
        <v>0.88019999999999998</v>
      </c>
      <c r="K83" s="67"/>
      <c r="L83" s="5">
        <v>-95.1</v>
      </c>
      <c r="M83" s="5">
        <f t="shared" si="143"/>
        <v>3.1000000000000085</v>
      </c>
      <c r="N83" s="5">
        <f t="shared" si="137"/>
        <v>64.335352920706185</v>
      </c>
      <c r="O83" s="5">
        <f t="shared" si="138"/>
        <v>0.16040044458990685</v>
      </c>
      <c r="P83" s="4">
        <v>8</v>
      </c>
      <c r="Q83" s="5">
        <f t="shared" si="139"/>
        <v>6.5337200000000006</v>
      </c>
      <c r="R83" s="5">
        <f t="shared" si="139"/>
        <v>0.88019999999999998</v>
      </c>
      <c r="S83" s="5">
        <f t="shared" si="140"/>
        <v>2.7221110949999998</v>
      </c>
      <c r="T83" s="5">
        <f t="shared" si="141"/>
        <v>0.16332666569999998</v>
      </c>
      <c r="U83" s="5">
        <f t="shared" si="142"/>
        <v>0.37289193082191779</v>
      </c>
      <c r="V83" s="5">
        <f t="shared" si="135"/>
        <v>0.16040044458990685</v>
      </c>
    </row>
    <row r="84" spans="2:22" x14ac:dyDescent="0.3">
      <c r="B84">
        <v>10</v>
      </c>
      <c r="C84">
        <v>-3689.9</v>
      </c>
      <c r="D84">
        <v>77764.5</v>
      </c>
      <c r="E84">
        <v>14736.5</v>
      </c>
      <c r="F84">
        <f t="shared" si="132"/>
        <v>7.7764499999999996</v>
      </c>
      <c r="G84">
        <f t="shared" si="133"/>
        <v>-0.36898999999999998</v>
      </c>
      <c r="H84">
        <f t="shared" si="134"/>
        <v>8.1454399999999989</v>
      </c>
      <c r="I84">
        <f t="shared" si="136"/>
        <v>1.4736499999999999</v>
      </c>
      <c r="K84" s="67"/>
      <c r="L84" s="5">
        <v>-94.399999999999991</v>
      </c>
      <c r="M84" s="5">
        <f t="shared" si="143"/>
        <v>3.8000000000000114</v>
      </c>
      <c r="N84" s="5">
        <f t="shared" si="137"/>
        <v>76.025152245972833</v>
      </c>
      <c r="O84" s="5">
        <f t="shared" si="138"/>
        <v>0.11486569536625781</v>
      </c>
      <c r="P84" s="4">
        <v>14</v>
      </c>
      <c r="Q84" s="5">
        <f t="shared" si="139"/>
        <v>8.1454399999999989</v>
      </c>
      <c r="R84" s="5">
        <f t="shared" si="139"/>
        <v>1.4736499999999999</v>
      </c>
      <c r="S84" s="5">
        <f t="shared" si="140"/>
        <v>1.9391965371428568</v>
      </c>
      <c r="T84" s="5">
        <f t="shared" si="141"/>
        <v>0.11635179222857141</v>
      </c>
      <c r="U84" s="5">
        <f t="shared" si="142"/>
        <v>0.26564336125244614</v>
      </c>
      <c r="V84" s="5">
        <f t="shared" si="135"/>
        <v>0.11486569536625781</v>
      </c>
    </row>
    <row r="85" spans="2:22" ht="15" thickBot="1" x14ac:dyDescent="0.35">
      <c r="B85">
        <v>11</v>
      </c>
      <c r="C85">
        <v>-547.1</v>
      </c>
      <c r="D85">
        <v>1464.7</v>
      </c>
      <c r="E85">
        <v>12988.8</v>
      </c>
      <c r="F85">
        <f t="shared" si="132"/>
        <v>0.14647000000000002</v>
      </c>
      <c r="G85">
        <f t="shared" si="133"/>
        <v>-5.4710000000000002E-2</v>
      </c>
      <c r="H85">
        <f t="shared" si="134"/>
        <v>0.20118000000000003</v>
      </c>
      <c r="I85">
        <f t="shared" si="136"/>
        <v>1.29888</v>
      </c>
      <c r="K85" s="68"/>
      <c r="L85" s="6">
        <v>-93.3</v>
      </c>
      <c r="M85" s="6">
        <f t="shared" si="143"/>
        <v>4.9000000000000057</v>
      </c>
      <c r="N85" s="6">
        <f t="shared" si="137"/>
        <v>94.671337139281746</v>
      </c>
      <c r="O85" s="6">
        <f t="shared" si="138"/>
        <v>7.4074362202575753E-2</v>
      </c>
      <c r="P85" s="7">
        <v>21</v>
      </c>
      <c r="Q85" s="6">
        <f t="shared" si="139"/>
        <v>0.20118000000000003</v>
      </c>
      <c r="R85" s="6">
        <f t="shared" si="139"/>
        <v>1.29888</v>
      </c>
      <c r="S85" s="6">
        <f t="shared" si="140"/>
        <v>3.1930140000000003E-2</v>
      </c>
      <c r="T85" s="6">
        <f t="shared" si="141"/>
        <v>1.9158084000000001E-3</v>
      </c>
      <c r="U85" s="6">
        <f t="shared" si="142"/>
        <v>4.3739917808219182E-3</v>
      </c>
      <c r="V85" s="6">
        <f t="shared" si="135"/>
        <v>7.4074362202575753E-2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-9416.5</v>
      </c>
      <c r="D89">
        <v>20389.400000000001</v>
      </c>
      <c r="E89">
        <v>5268</v>
      </c>
      <c r="F89">
        <f t="shared" ref="F89:F99" si="144">D89/10000</f>
        <v>2.0389400000000002</v>
      </c>
      <c r="G89">
        <f t="shared" ref="G89:G99" si="145">C89/10000</f>
        <v>-0.94164999999999999</v>
      </c>
      <c r="H89">
        <f t="shared" ref="H89:H99" si="146">F89-G89</f>
        <v>2.9805900000000003</v>
      </c>
      <c r="I89">
        <f>E89/10000</f>
        <v>0.52680000000000005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1.238807515875354</v>
      </c>
      <c r="P89" s="2">
        <v>3</v>
      </c>
      <c r="Q89" s="8">
        <f>H89</f>
        <v>2.9805900000000003</v>
      </c>
      <c r="R89" s="8">
        <f>I89</f>
        <v>0.52680000000000005</v>
      </c>
      <c r="S89" s="8">
        <f>Q89/10^6*$Z$4*$Z$3/P89*10^12</f>
        <v>3.3114354900000009</v>
      </c>
      <c r="T89" s="8">
        <f>S89*0.06</f>
        <v>0.19868612940000005</v>
      </c>
      <c r="U89" s="8">
        <f>S89/$Z$1</f>
        <v>0.45362130000000012</v>
      </c>
      <c r="V89" s="12">
        <f t="shared" ref="V89:V99" si="147">O89</f>
        <v>1.238807515875354</v>
      </c>
    </row>
    <row r="90" spans="2:22" x14ac:dyDescent="0.3">
      <c r="B90">
        <v>2</v>
      </c>
      <c r="C90">
        <v>-6208.7</v>
      </c>
      <c r="D90">
        <v>16457.900000000001</v>
      </c>
      <c r="E90">
        <v>4970.8999999999996</v>
      </c>
      <c r="F90">
        <f t="shared" si="144"/>
        <v>1.6457900000000001</v>
      </c>
      <c r="G90">
        <f t="shared" si="145"/>
        <v>-0.62087000000000003</v>
      </c>
      <c r="H90">
        <f t="shared" si="146"/>
        <v>2.2666599999999999</v>
      </c>
      <c r="I90">
        <f t="shared" ref="I90:I99" si="148">E90/10000</f>
        <v>0.49708999999999998</v>
      </c>
      <c r="K90" s="67"/>
      <c r="L90" s="3">
        <v>-98</v>
      </c>
      <c r="M90" s="5">
        <f>L90+98.2</f>
        <v>0.20000000000000284</v>
      </c>
      <c r="N90" s="5">
        <f t="shared" ref="N90:N99" si="149">20.56036*SQRT(1+((L90-(-98.58903))*1.03*1095.70644/(3.14159*20.56036^2))^2)</f>
        <v>22.992351577801337</v>
      </c>
      <c r="O90" s="5">
        <f t="shared" ref="O90:O99" si="150">2*$Z$1/$Z$2/PI()/(N90*10^-4)^2/$K$89/$Z$7</f>
        <v>1.0988697363115913</v>
      </c>
      <c r="P90" s="4">
        <v>3</v>
      </c>
      <c r="Q90" s="5">
        <f t="shared" ref="Q90:R99" si="151">H90</f>
        <v>2.2666599999999999</v>
      </c>
      <c r="R90" s="5">
        <f t="shared" si="151"/>
        <v>0.49708999999999998</v>
      </c>
      <c r="S90" s="5">
        <f t="shared" ref="S90:S99" si="152">Q90/10^6*$Z$4*$Z$3/P90*10^12</f>
        <v>2.5182592599999998</v>
      </c>
      <c r="T90" s="5">
        <f t="shared" ref="T90:T99" si="153">S90*0.06</f>
        <v>0.15109555559999999</v>
      </c>
      <c r="U90" s="5">
        <f t="shared" ref="U90:U99" si="154">S90/$Z$1</f>
        <v>0.3449670219178082</v>
      </c>
      <c r="V90" s="5">
        <f t="shared" si="147"/>
        <v>1.0988697363115913</v>
      </c>
    </row>
    <row r="91" spans="2:22" x14ac:dyDescent="0.3">
      <c r="B91">
        <v>3</v>
      </c>
      <c r="C91">
        <v>-10555.3</v>
      </c>
      <c r="D91">
        <v>19657.400000000001</v>
      </c>
      <c r="E91">
        <v>5398.8</v>
      </c>
      <c r="F91">
        <f t="shared" si="144"/>
        <v>1.96574</v>
      </c>
      <c r="G91">
        <f t="shared" si="145"/>
        <v>-1.0555299999999999</v>
      </c>
      <c r="H91">
        <f t="shared" si="146"/>
        <v>3.0212699999999999</v>
      </c>
      <c r="I91">
        <f t="shared" si="148"/>
        <v>0.53988000000000003</v>
      </c>
      <c r="K91" s="67"/>
      <c r="L91" s="3">
        <v>-97.8</v>
      </c>
      <c r="M91" s="5">
        <f t="shared" ref="M91:M99" si="155">L91+98.2</f>
        <v>0.40000000000000568</v>
      </c>
      <c r="N91" s="5">
        <f t="shared" si="149"/>
        <v>24.754552179927092</v>
      </c>
      <c r="O91" s="5">
        <f t="shared" si="150"/>
        <v>0.94798801713418823</v>
      </c>
      <c r="P91" s="4">
        <v>3</v>
      </c>
      <c r="Q91" s="5">
        <f t="shared" si="151"/>
        <v>3.0212699999999999</v>
      </c>
      <c r="R91" s="5">
        <f t="shared" si="151"/>
        <v>0.53988000000000003</v>
      </c>
      <c r="S91" s="5">
        <f t="shared" si="152"/>
        <v>3.3566309699999999</v>
      </c>
      <c r="T91" s="5">
        <f t="shared" si="153"/>
        <v>0.20139785819999997</v>
      </c>
      <c r="U91" s="5">
        <f t="shared" si="154"/>
        <v>0.4598124616438356</v>
      </c>
      <c r="V91" s="5">
        <f t="shared" si="147"/>
        <v>0.94798801713418823</v>
      </c>
    </row>
    <row r="92" spans="2:22" x14ac:dyDescent="0.3">
      <c r="B92">
        <v>4</v>
      </c>
      <c r="C92">
        <v>-10209.799999999999</v>
      </c>
      <c r="D92">
        <v>20629.7</v>
      </c>
      <c r="E92">
        <v>6271.5</v>
      </c>
      <c r="F92">
        <f t="shared" si="144"/>
        <v>2.06297</v>
      </c>
      <c r="G92">
        <f t="shared" si="145"/>
        <v>-1.02098</v>
      </c>
      <c r="H92">
        <f t="shared" si="146"/>
        <v>3.0839499999999997</v>
      </c>
      <c r="I92">
        <f t="shared" si="148"/>
        <v>0.62714999999999999</v>
      </c>
      <c r="K92" s="67"/>
      <c r="L92" s="3">
        <v>-97.2</v>
      </c>
      <c r="M92" s="5">
        <f t="shared" si="155"/>
        <v>1</v>
      </c>
      <c r="N92" s="5">
        <f t="shared" si="149"/>
        <v>31.807899949628325</v>
      </c>
      <c r="O92" s="5">
        <f t="shared" si="150"/>
        <v>0.57417331261814231</v>
      </c>
      <c r="P92" s="4">
        <v>3</v>
      </c>
      <c r="Q92" s="5">
        <f t="shared" si="151"/>
        <v>3.0839499999999997</v>
      </c>
      <c r="R92" s="5">
        <f t="shared" si="151"/>
        <v>0.62714999999999999</v>
      </c>
      <c r="S92" s="5">
        <f t="shared" si="152"/>
        <v>3.4262684500000002</v>
      </c>
      <c r="T92" s="5">
        <f t="shared" si="153"/>
        <v>0.20557610700000001</v>
      </c>
      <c r="U92" s="5">
        <f t="shared" si="154"/>
        <v>0.46935184246575345</v>
      </c>
      <c r="V92" s="5">
        <f t="shared" si="147"/>
        <v>0.57417331261814231</v>
      </c>
    </row>
    <row r="93" spans="2:22" x14ac:dyDescent="0.3">
      <c r="B93">
        <v>5</v>
      </c>
      <c r="C93">
        <v>-6211.2</v>
      </c>
      <c r="D93">
        <v>22184.9</v>
      </c>
      <c r="E93">
        <v>6273.3</v>
      </c>
      <c r="F93">
        <f t="shared" si="144"/>
        <v>2.2184900000000001</v>
      </c>
      <c r="G93">
        <f t="shared" si="145"/>
        <v>-0.62112000000000001</v>
      </c>
      <c r="H93">
        <f t="shared" si="146"/>
        <v>2.83961</v>
      </c>
      <c r="I93">
        <f t="shared" si="148"/>
        <v>0.62733000000000005</v>
      </c>
      <c r="K93" s="67"/>
      <c r="L93" s="3">
        <v>-96.8</v>
      </c>
      <c r="M93" s="5">
        <f t="shared" si="155"/>
        <v>1.4000000000000057</v>
      </c>
      <c r="N93" s="5">
        <f t="shared" si="149"/>
        <v>37.414240753916886</v>
      </c>
      <c r="O93" s="5">
        <f t="shared" si="150"/>
        <v>0.41499142510259568</v>
      </c>
      <c r="P93" s="4">
        <v>3</v>
      </c>
      <c r="Q93" s="5">
        <f t="shared" si="151"/>
        <v>2.83961</v>
      </c>
      <c r="R93" s="5">
        <f t="shared" si="151"/>
        <v>0.62733000000000005</v>
      </c>
      <c r="S93" s="5">
        <f t="shared" si="152"/>
        <v>3.1548067100000003</v>
      </c>
      <c r="T93" s="5">
        <f t="shared" si="153"/>
        <v>0.18928840260000002</v>
      </c>
      <c r="U93" s="5">
        <f t="shared" si="154"/>
        <v>0.43216530273972609</v>
      </c>
      <c r="V93" s="5">
        <f t="shared" si="147"/>
        <v>0.41499142510259568</v>
      </c>
    </row>
    <row r="94" spans="2:22" x14ac:dyDescent="0.3">
      <c r="B94">
        <v>6</v>
      </c>
      <c r="C94">
        <v>-9356.2000000000007</v>
      </c>
      <c r="D94">
        <v>31169.5</v>
      </c>
      <c r="E94">
        <v>6504.2</v>
      </c>
      <c r="F94">
        <f t="shared" si="144"/>
        <v>3.1169500000000001</v>
      </c>
      <c r="G94">
        <f t="shared" si="145"/>
        <v>-0.93562000000000012</v>
      </c>
      <c r="H94">
        <f t="shared" si="146"/>
        <v>4.0525700000000002</v>
      </c>
      <c r="I94">
        <f t="shared" si="148"/>
        <v>0.65042</v>
      </c>
      <c r="K94" s="67"/>
      <c r="L94" s="3">
        <v>-96.3</v>
      </c>
      <c r="M94" s="5">
        <f t="shared" si="155"/>
        <v>1.9000000000000057</v>
      </c>
      <c r="N94" s="5">
        <f t="shared" si="149"/>
        <v>44.970060517830404</v>
      </c>
      <c r="O94" s="5">
        <f t="shared" si="150"/>
        <v>0.28725397826234789</v>
      </c>
      <c r="P94" s="4">
        <v>4</v>
      </c>
      <c r="Q94" s="5">
        <f t="shared" si="151"/>
        <v>4.0525700000000002</v>
      </c>
      <c r="R94" s="5">
        <f t="shared" si="151"/>
        <v>0.65042</v>
      </c>
      <c r="S94" s="5">
        <f t="shared" si="152"/>
        <v>3.3768039525000004</v>
      </c>
      <c r="T94" s="5">
        <f t="shared" si="153"/>
        <v>0.20260823715000001</v>
      </c>
      <c r="U94" s="5">
        <f t="shared" si="154"/>
        <v>0.46257588390410964</v>
      </c>
      <c r="V94" s="5">
        <f t="shared" si="147"/>
        <v>0.28725397826234789</v>
      </c>
    </row>
    <row r="95" spans="2:22" x14ac:dyDescent="0.3">
      <c r="B95">
        <v>7</v>
      </c>
      <c r="C95">
        <v>-2665.6</v>
      </c>
      <c r="D95">
        <v>29502.400000000001</v>
      </c>
      <c r="E95">
        <v>6260.7</v>
      </c>
      <c r="F95">
        <f t="shared" si="144"/>
        <v>2.95024</v>
      </c>
      <c r="G95">
        <f t="shared" si="145"/>
        <v>-0.26655999999999996</v>
      </c>
      <c r="H95">
        <f t="shared" si="146"/>
        <v>3.2168000000000001</v>
      </c>
      <c r="I95">
        <f t="shared" si="148"/>
        <v>0.62607000000000002</v>
      </c>
      <c r="K95" s="67"/>
      <c r="L95" s="3">
        <v>-95.8</v>
      </c>
      <c r="M95" s="5">
        <f t="shared" si="155"/>
        <v>2.4000000000000057</v>
      </c>
      <c r="N95" s="5">
        <f t="shared" si="149"/>
        <v>52.890724234957723</v>
      </c>
      <c r="O95" s="5">
        <f t="shared" si="150"/>
        <v>0.20766053490063582</v>
      </c>
      <c r="P95" s="4">
        <v>4</v>
      </c>
      <c r="Q95" s="5">
        <f t="shared" si="151"/>
        <v>3.2168000000000001</v>
      </c>
      <c r="R95" s="5">
        <f t="shared" si="151"/>
        <v>0.62607000000000002</v>
      </c>
      <c r="S95" s="5">
        <f t="shared" si="152"/>
        <v>2.6803986000000006</v>
      </c>
      <c r="T95" s="5">
        <f t="shared" si="153"/>
        <v>0.16082391600000004</v>
      </c>
      <c r="U95" s="5">
        <f t="shared" si="154"/>
        <v>0.367177890410959</v>
      </c>
      <c r="V95" s="5">
        <f t="shared" si="147"/>
        <v>0.20766053490063582</v>
      </c>
    </row>
    <row r="96" spans="2:22" x14ac:dyDescent="0.3">
      <c r="B96">
        <v>8</v>
      </c>
      <c r="C96">
        <v>-4029.8</v>
      </c>
      <c r="D96">
        <v>38988.9</v>
      </c>
      <c r="E96">
        <v>6674.3</v>
      </c>
      <c r="F96">
        <f t="shared" si="144"/>
        <v>3.8988900000000002</v>
      </c>
      <c r="G96">
        <f t="shared" si="145"/>
        <v>-0.40298</v>
      </c>
      <c r="H96">
        <f t="shared" si="146"/>
        <v>4.3018700000000001</v>
      </c>
      <c r="I96">
        <f t="shared" si="148"/>
        <v>0.66742999999999997</v>
      </c>
      <c r="K96" s="67"/>
      <c r="L96" s="3">
        <v>-95.5</v>
      </c>
      <c r="M96" s="5">
        <f t="shared" si="155"/>
        <v>2.7000000000000028</v>
      </c>
      <c r="N96" s="5">
        <f t="shared" si="149"/>
        <v>57.756125383651771</v>
      </c>
      <c r="O96" s="5">
        <f t="shared" si="150"/>
        <v>0.17414735995550742</v>
      </c>
      <c r="P96" s="4">
        <v>5</v>
      </c>
      <c r="Q96" s="5">
        <f t="shared" si="151"/>
        <v>4.3018700000000001</v>
      </c>
      <c r="R96" s="5">
        <f t="shared" si="151"/>
        <v>0.66742999999999997</v>
      </c>
      <c r="S96" s="5">
        <f t="shared" si="152"/>
        <v>2.867626542</v>
      </c>
      <c r="T96" s="5">
        <f t="shared" si="153"/>
        <v>0.17205759252</v>
      </c>
      <c r="U96" s="5">
        <f t="shared" si="154"/>
        <v>0.39282555369863015</v>
      </c>
      <c r="V96" s="5">
        <f t="shared" si="147"/>
        <v>0.17414735995550742</v>
      </c>
    </row>
    <row r="97" spans="2:22" x14ac:dyDescent="0.3">
      <c r="B97">
        <v>9</v>
      </c>
      <c r="C97">
        <v>-956.3</v>
      </c>
      <c r="D97">
        <v>51246.400000000001</v>
      </c>
      <c r="E97">
        <v>7943.6</v>
      </c>
      <c r="F97">
        <f t="shared" si="144"/>
        <v>5.1246400000000003</v>
      </c>
      <c r="G97">
        <f t="shared" si="145"/>
        <v>-9.5629999999999993E-2</v>
      </c>
      <c r="H97">
        <f t="shared" si="146"/>
        <v>5.2202700000000002</v>
      </c>
      <c r="I97">
        <f t="shared" si="148"/>
        <v>0.79436000000000007</v>
      </c>
      <c r="K97" s="67"/>
      <c r="L97" s="5">
        <v>-95.1</v>
      </c>
      <c r="M97" s="5">
        <f t="shared" si="155"/>
        <v>3.1000000000000085</v>
      </c>
      <c r="N97" s="5">
        <f t="shared" si="149"/>
        <v>64.335352920706185</v>
      </c>
      <c r="O97" s="5">
        <f t="shared" si="150"/>
        <v>0.1403503890161685</v>
      </c>
      <c r="P97" s="4">
        <v>8</v>
      </c>
      <c r="Q97" s="5">
        <f t="shared" si="151"/>
        <v>5.2202700000000002</v>
      </c>
      <c r="R97" s="5">
        <f t="shared" si="151"/>
        <v>0.79436000000000007</v>
      </c>
      <c r="S97" s="5">
        <f t="shared" si="152"/>
        <v>2.1748949887500002</v>
      </c>
      <c r="T97" s="5">
        <f t="shared" si="153"/>
        <v>0.13049369932500002</v>
      </c>
      <c r="U97" s="5">
        <f t="shared" si="154"/>
        <v>0.29793082037671237</v>
      </c>
      <c r="V97" s="5">
        <f t="shared" si="147"/>
        <v>0.1403503890161685</v>
      </c>
    </row>
    <row r="98" spans="2:22" x14ac:dyDescent="0.3">
      <c r="B98">
        <v>10</v>
      </c>
      <c r="C98">
        <v>-2600.4</v>
      </c>
      <c r="D98">
        <v>62848.3</v>
      </c>
      <c r="E98">
        <v>16619.099999999999</v>
      </c>
      <c r="F98">
        <f t="shared" si="144"/>
        <v>6.2848300000000004</v>
      </c>
      <c r="G98">
        <f t="shared" si="145"/>
        <v>-0.26003999999999999</v>
      </c>
      <c r="H98">
        <f t="shared" si="146"/>
        <v>6.5448700000000004</v>
      </c>
      <c r="I98">
        <f t="shared" si="148"/>
        <v>1.6619099999999998</v>
      </c>
      <c r="K98" s="67"/>
      <c r="L98" s="5">
        <v>-94.399999999999991</v>
      </c>
      <c r="M98" s="5">
        <f t="shared" si="155"/>
        <v>3.8000000000000114</v>
      </c>
      <c r="N98" s="5">
        <f t="shared" si="149"/>
        <v>76.025152245972833</v>
      </c>
      <c r="O98" s="5">
        <f t="shared" si="150"/>
        <v>0.10050748344547558</v>
      </c>
      <c r="P98" s="4">
        <v>14</v>
      </c>
      <c r="Q98" s="5">
        <f t="shared" si="151"/>
        <v>6.5448700000000004</v>
      </c>
      <c r="R98" s="5">
        <f t="shared" si="151"/>
        <v>1.6619099999999998</v>
      </c>
      <c r="S98" s="5">
        <f t="shared" si="152"/>
        <v>1.5581465507142855</v>
      </c>
      <c r="T98" s="5">
        <f t="shared" si="153"/>
        <v>9.3488793042857135E-2</v>
      </c>
      <c r="U98" s="5">
        <f t="shared" si="154"/>
        <v>0.21344473297455968</v>
      </c>
      <c r="V98" s="5">
        <f t="shared" si="147"/>
        <v>0.10050748344547558</v>
      </c>
    </row>
    <row r="99" spans="2:22" ht="15" thickBot="1" x14ac:dyDescent="0.35">
      <c r="B99">
        <v>11</v>
      </c>
      <c r="C99">
        <v>1530.4</v>
      </c>
      <c r="D99">
        <v>6421.4</v>
      </c>
      <c r="E99">
        <v>12245.4</v>
      </c>
      <c r="F99">
        <f t="shared" si="144"/>
        <v>0.64213999999999993</v>
      </c>
      <c r="G99">
        <f t="shared" si="145"/>
        <v>0.15304000000000001</v>
      </c>
      <c r="H99">
        <f t="shared" si="146"/>
        <v>0.48909999999999992</v>
      </c>
      <c r="I99">
        <f t="shared" si="148"/>
        <v>1.22454</v>
      </c>
      <c r="K99" s="68"/>
      <c r="L99" s="6">
        <v>-93.3</v>
      </c>
      <c r="M99" s="6">
        <f t="shared" si="155"/>
        <v>4.9000000000000057</v>
      </c>
      <c r="N99" s="6">
        <f t="shared" si="149"/>
        <v>94.671337139281746</v>
      </c>
      <c r="O99" s="6">
        <f t="shared" si="150"/>
        <v>6.4815066927253778E-2</v>
      </c>
      <c r="P99" s="7">
        <v>21</v>
      </c>
      <c r="Q99" s="6">
        <f t="shared" si="151"/>
        <v>0.48909999999999992</v>
      </c>
      <c r="R99" s="6">
        <f t="shared" si="151"/>
        <v>1.22454</v>
      </c>
      <c r="S99" s="6">
        <f t="shared" si="152"/>
        <v>7.7627157142857131E-2</v>
      </c>
      <c r="T99" s="6">
        <f t="shared" si="153"/>
        <v>4.6576294285714274E-3</v>
      </c>
      <c r="U99" s="6">
        <f t="shared" si="154"/>
        <v>1.0633857142857141E-2</v>
      </c>
      <c r="V99" s="6">
        <f t="shared" si="147"/>
        <v>6.4815066927253778E-2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3857.9</v>
      </c>
      <c r="D103">
        <v>31225.3</v>
      </c>
      <c r="E103">
        <v>4869.8</v>
      </c>
      <c r="F103">
        <f t="shared" ref="F103:F113" si="156">D103/10000</f>
        <v>3.1225299999999998</v>
      </c>
      <c r="G103">
        <f t="shared" ref="G103:G113" si="157">C103/10000</f>
        <v>0.38579000000000002</v>
      </c>
      <c r="H103">
        <f t="shared" ref="H103:H113" si="158">F103-G103</f>
        <v>2.7367399999999997</v>
      </c>
      <c r="I103">
        <f>E103/10000</f>
        <v>0.48698000000000002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1.101162236333648</v>
      </c>
      <c r="P103" s="2">
        <v>3</v>
      </c>
      <c r="Q103" s="8">
        <f>H103</f>
        <v>2.7367399999999997</v>
      </c>
      <c r="R103" s="8">
        <f>I103</f>
        <v>0.48698000000000002</v>
      </c>
      <c r="S103" s="8">
        <f>Q103/10^6*$Z$4*$Z$3/P103*10^12</f>
        <v>3.0405181400000001</v>
      </c>
      <c r="T103" s="8">
        <f>S103*0.06</f>
        <v>0.1824310884</v>
      </c>
      <c r="U103" s="8">
        <f>S103/$Z$1</f>
        <v>0.41650933424657538</v>
      </c>
      <c r="V103" s="12">
        <f t="shared" ref="V103:V113" si="159">O103</f>
        <v>1.101162236333648</v>
      </c>
    </row>
    <row r="104" spans="2:22" x14ac:dyDescent="0.3">
      <c r="B104">
        <v>2</v>
      </c>
      <c r="C104">
        <v>2941.8</v>
      </c>
      <c r="D104">
        <v>25467.7</v>
      </c>
      <c r="E104">
        <v>4894</v>
      </c>
      <c r="F104">
        <f t="shared" si="156"/>
        <v>2.54677</v>
      </c>
      <c r="G104">
        <f t="shared" si="157"/>
        <v>0.29418</v>
      </c>
      <c r="H104">
        <f t="shared" si="158"/>
        <v>2.2525900000000001</v>
      </c>
      <c r="I104">
        <f t="shared" ref="I104:I113" si="160">E104/10000</f>
        <v>0.4894</v>
      </c>
      <c r="K104" s="67"/>
      <c r="L104" s="3">
        <v>-98</v>
      </c>
      <c r="M104" s="5">
        <f>L104+98.2</f>
        <v>0.20000000000000284</v>
      </c>
      <c r="N104" s="5">
        <f t="shared" ref="N104:N113" si="161">20.56036*SQRT(1+((L104-(-98.58903))*1.03*1095.70644/(3.14159*20.56036^2))^2)</f>
        <v>22.992351577801337</v>
      </c>
      <c r="O104" s="5">
        <f t="shared" ref="O104:O113" si="162">2*$Z$1/$Z$2/PI()/(N104*10^-4)^2/$K$103/$Z$7</f>
        <v>0.97677309894363673</v>
      </c>
      <c r="P104" s="4">
        <v>3</v>
      </c>
      <c r="Q104" s="5">
        <f t="shared" ref="Q104:R113" si="163">H104</f>
        <v>2.2525900000000001</v>
      </c>
      <c r="R104" s="5">
        <f t="shared" si="163"/>
        <v>0.4894</v>
      </c>
      <c r="S104" s="5">
        <f t="shared" ref="S104:S113" si="164">Q104/10^6*$Z$4*$Z$3/P104*10^12</f>
        <v>2.5026274900000001</v>
      </c>
      <c r="T104" s="5">
        <f t="shared" ref="T104:T113" si="165">S104*0.06</f>
        <v>0.15015764940000001</v>
      </c>
      <c r="U104" s="5">
        <f t="shared" ref="U104:U113" si="166">S104/$Z$1</f>
        <v>0.34282568356164383</v>
      </c>
      <c r="V104" s="5">
        <f t="shared" si="159"/>
        <v>0.97677309894363673</v>
      </c>
    </row>
    <row r="105" spans="2:22" x14ac:dyDescent="0.3">
      <c r="B105">
        <v>3</v>
      </c>
      <c r="C105">
        <v>-1961.1</v>
      </c>
      <c r="D105">
        <v>27190.400000000001</v>
      </c>
      <c r="E105">
        <v>4904.8</v>
      </c>
      <c r="F105">
        <f t="shared" si="156"/>
        <v>2.7190400000000001</v>
      </c>
      <c r="G105">
        <f t="shared" si="157"/>
        <v>-0.19610999999999998</v>
      </c>
      <c r="H105">
        <f t="shared" si="158"/>
        <v>2.9151500000000001</v>
      </c>
      <c r="I105">
        <f t="shared" si="160"/>
        <v>0.49048000000000003</v>
      </c>
      <c r="K105" s="67"/>
      <c r="L105" s="3">
        <v>-97.8</v>
      </c>
      <c r="M105" s="5">
        <f t="shared" ref="M105:M113" si="167">L105+98.2</f>
        <v>0.40000000000000568</v>
      </c>
      <c r="N105" s="5">
        <f t="shared" si="161"/>
        <v>24.754552179927092</v>
      </c>
      <c r="O105" s="5">
        <f t="shared" si="162"/>
        <v>0.84265601523038958</v>
      </c>
      <c r="P105" s="4">
        <v>3</v>
      </c>
      <c r="Q105" s="5">
        <f t="shared" si="163"/>
        <v>2.9151500000000001</v>
      </c>
      <c r="R105" s="5">
        <f t="shared" si="163"/>
        <v>0.49048000000000003</v>
      </c>
      <c r="S105" s="5">
        <f t="shared" si="164"/>
        <v>3.2387316500000001</v>
      </c>
      <c r="T105" s="5">
        <f t="shared" si="165"/>
        <v>0.19432389899999999</v>
      </c>
      <c r="U105" s="5">
        <f t="shared" si="166"/>
        <v>0.4436618698630137</v>
      </c>
      <c r="V105" s="5">
        <f t="shared" si="159"/>
        <v>0.84265601523038958</v>
      </c>
    </row>
    <row r="106" spans="2:22" x14ac:dyDescent="0.3">
      <c r="B106">
        <v>4</v>
      </c>
      <c r="C106">
        <v>-2368</v>
      </c>
      <c r="D106">
        <v>25226.9</v>
      </c>
      <c r="E106">
        <v>6814.9</v>
      </c>
      <c r="F106">
        <f t="shared" si="156"/>
        <v>2.5226900000000003</v>
      </c>
      <c r="G106">
        <f t="shared" si="157"/>
        <v>-0.23680000000000001</v>
      </c>
      <c r="H106">
        <f t="shared" si="158"/>
        <v>2.7594900000000004</v>
      </c>
      <c r="I106">
        <f t="shared" si="160"/>
        <v>0.68148999999999993</v>
      </c>
      <c r="K106" s="67"/>
      <c r="L106" s="3">
        <v>-97.2</v>
      </c>
      <c r="M106" s="5">
        <f t="shared" si="167"/>
        <v>1</v>
      </c>
      <c r="N106" s="5">
        <f t="shared" si="161"/>
        <v>31.807899949628325</v>
      </c>
      <c r="O106" s="5">
        <f t="shared" si="162"/>
        <v>0.51037627788279316</v>
      </c>
      <c r="P106" s="4">
        <v>3</v>
      </c>
      <c r="Q106" s="5">
        <f t="shared" si="163"/>
        <v>2.7594900000000004</v>
      </c>
      <c r="R106" s="5">
        <f t="shared" si="163"/>
        <v>0.68148999999999993</v>
      </c>
      <c r="S106" s="5">
        <f t="shared" si="164"/>
        <v>3.0657933900000005</v>
      </c>
      <c r="T106" s="5">
        <f t="shared" si="165"/>
        <v>0.18394760340000002</v>
      </c>
      <c r="U106" s="5">
        <f t="shared" si="166"/>
        <v>0.41997169726027406</v>
      </c>
      <c r="V106" s="5">
        <f t="shared" si="159"/>
        <v>0.51037627788279316</v>
      </c>
    </row>
    <row r="107" spans="2:22" x14ac:dyDescent="0.3">
      <c r="B107">
        <v>5</v>
      </c>
      <c r="C107">
        <v>1998.6</v>
      </c>
      <c r="D107">
        <v>26819.5</v>
      </c>
      <c r="E107">
        <v>5615.4</v>
      </c>
      <c r="F107">
        <f t="shared" si="156"/>
        <v>2.6819500000000001</v>
      </c>
      <c r="G107">
        <f t="shared" si="157"/>
        <v>0.19985999999999998</v>
      </c>
      <c r="H107">
        <f t="shared" si="158"/>
        <v>2.4820899999999999</v>
      </c>
      <c r="I107">
        <f t="shared" si="160"/>
        <v>0.56153999999999993</v>
      </c>
      <c r="K107" s="67"/>
      <c r="L107" s="3">
        <v>-96.8</v>
      </c>
      <c r="M107" s="5">
        <f t="shared" si="167"/>
        <v>1.4000000000000057</v>
      </c>
      <c r="N107" s="5">
        <f t="shared" si="161"/>
        <v>37.414240753916886</v>
      </c>
      <c r="O107" s="5">
        <f t="shared" si="162"/>
        <v>0.36888126675786281</v>
      </c>
      <c r="P107" s="4">
        <v>3</v>
      </c>
      <c r="Q107" s="5">
        <f t="shared" si="163"/>
        <v>2.4820899999999999</v>
      </c>
      <c r="R107" s="5">
        <f t="shared" si="163"/>
        <v>0.56153999999999993</v>
      </c>
      <c r="S107" s="5">
        <f t="shared" si="164"/>
        <v>2.7576019900000004</v>
      </c>
      <c r="T107" s="5">
        <f t="shared" si="165"/>
        <v>0.16545611940000002</v>
      </c>
      <c r="U107" s="5">
        <f t="shared" si="166"/>
        <v>0.37775369726027402</v>
      </c>
      <c r="V107" s="5">
        <f t="shared" si="159"/>
        <v>0.36888126675786281</v>
      </c>
    </row>
    <row r="108" spans="2:22" x14ac:dyDescent="0.3">
      <c r="B108">
        <v>6</v>
      </c>
      <c r="C108">
        <v>-4499.8</v>
      </c>
      <c r="D108">
        <v>32535.599999999999</v>
      </c>
      <c r="E108">
        <v>5998.1</v>
      </c>
      <c r="F108">
        <f t="shared" si="156"/>
        <v>3.2535599999999998</v>
      </c>
      <c r="G108">
        <f t="shared" si="157"/>
        <v>-0.44997999999999999</v>
      </c>
      <c r="H108">
        <f t="shared" si="158"/>
        <v>3.7035399999999998</v>
      </c>
      <c r="I108">
        <f t="shared" si="160"/>
        <v>0.59981000000000007</v>
      </c>
      <c r="K108" s="67"/>
      <c r="L108" s="3">
        <v>-96.3</v>
      </c>
      <c r="M108" s="5">
        <f t="shared" si="167"/>
        <v>1.9000000000000057</v>
      </c>
      <c r="N108" s="5">
        <f t="shared" si="161"/>
        <v>44.970060517830404</v>
      </c>
      <c r="O108" s="5">
        <f t="shared" si="162"/>
        <v>0.25533686956653145</v>
      </c>
      <c r="P108" s="4">
        <v>4</v>
      </c>
      <c r="Q108" s="5">
        <f t="shared" si="163"/>
        <v>3.7035399999999998</v>
      </c>
      <c r="R108" s="5">
        <f t="shared" si="163"/>
        <v>0.59981000000000007</v>
      </c>
      <c r="S108" s="5">
        <f t="shared" si="164"/>
        <v>3.0859747050000004</v>
      </c>
      <c r="T108" s="5">
        <f t="shared" si="165"/>
        <v>0.18515848230000001</v>
      </c>
      <c r="U108" s="5">
        <f t="shared" si="166"/>
        <v>0.42273626095890415</v>
      </c>
      <c r="V108" s="5">
        <f t="shared" si="159"/>
        <v>0.25533686956653145</v>
      </c>
    </row>
    <row r="109" spans="2:22" x14ac:dyDescent="0.3">
      <c r="B109">
        <v>7</v>
      </c>
      <c r="C109">
        <v>4646.5</v>
      </c>
      <c r="D109">
        <v>31498.7</v>
      </c>
      <c r="E109">
        <v>6182.6</v>
      </c>
      <c r="F109">
        <f t="shared" si="156"/>
        <v>3.1498699999999999</v>
      </c>
      <c r="G109">
        <f t="shared" si="157"/>
        <v>0.46465000000000001</v>
      </c>
      <c r="H109">
        <f t="shared" si="158"/>
        <v>2.6852200000000002</v>
      </c>
      <c r="I109">
        <f t="shared" si="160"/>
        <v>0.61826000000000003</v>
      </c>
      <c r="K109" s="67"/>
      <c r="L109" s="3">
        <v>-95.8</v>
      </c>
      <c r="M109" s="5">
        <f t="shared" si="167"/>
        <v>2.4000000000000057</v>
      </c>
      <c r="N109" s="5">
        <f t="shared" si="161"/>
        <v>52.890724234957723</v>
      </c>
      <c r="O109" s="5">
        <f t="shared" si="162"/>
        <v>0.18458714213389851</v>
      </c>
      <c r="P109" s="4">
        <v>4</v>
      </c>
      <c r="Q109" s="5">
        <f t="shared" si="163"/>
        <v>2.6852200000000002</v>
      </c>
      <c r="R109" s="5">
        <f t="shared" si="163"/>
        <v>0.61826000000000003</v>
      </c>
      <c r="S109" s="5">
        <f t="shared" si="164"/>
        <v>2.2374595650000004</v>
      </c>
      <c r="T109" s="5">
        <f t="shared" si="165"/>
        <v>0.13424757390000003</v>
      </c>
      <c r="U109" s="5">
        <f t="shared" si="166"/>
        <v>0.30650131027397265</v>
      </c>
      <c r="V109" s="5">
        <f t="shared" si="159"/>
        <v>0.18458714213389851</v>
      </c>
    </row>
    <row r="110" spans="2:22" x14ac:dyDescent="0.3">
      <c r="B110">
        <v>8</v>
      </c>
      <c r="C110">
        <v>-1485.4</v>
      </c>
      <c r="D110">
        <v>37045.199999999997</v>
      </c>
      <c r="E110">
        <v>5710.6</v>
      </c>
      <c r="F110">
        <f t="shared" si="156"/>
        <v>3.7045199999999996</v>
      </c>
      <c r="G110">
        <f t="shared" si="157"/>
        <v>-0.14854000000000001</v>
      </c>
      <c r="H110">
        <f t="shared" si="158"/>
        <v>3.8530599999999997</v>
      </c>
      <c r="I110">
        <f t="shared" si="160"/>
        <v>0.57106000000000001</v>
      </c>
      <c r="K110" s="67"/>
      <c r="L110" s="3">
        <v>-95.5</v>
      </c>
      <c r="M110" s="5">
        <f t="shared" si="167"/>
        <v>2.7000000000000028</v>
      </c>
      <c r="N110" s="5">
        <f t="shared" si="161"/>
        <v>57.756125383651771</v>
      </c>
      <c r="O110" s="5">
        <f t="shared" si="162"/>
        <v>0.15479765329378437</v>
      </c>
      <c r="P110" s="4">
        <v>5</v>
      </c>
      <c r="Q110" s="5">
        <f t="shared" si="163"/>
        <v>3.8530599999999997</v>
      </c>
      <c r="R110" s="5">
        <f t="shared" si="163"/>
        <v>0.57106000000000001</v>
      </c>
      <c r="S110" s="5">
        <f t="shared" si="164"/>
        <v>2.5684497959999999</v>
      </c>
      <c r="T110" s="5">
        <f t="shared" si="165"/>
        <v>0.15410698775999998</v>
      </c>
      <c r="U110" s="5">
        <f t="shared" si="166"/>
        <v>0.35184243780821917</v>
      </c>
      <c r="V110" s="5">
        <f t="shared" si="159"/>
        <v>0.15479765329378437</v>
      </c>
    </row>
    <row r="111" spans="2:22" x14ac:dyDescent="0.3">
      <c r="B111">
        <v>9</v>
      </c>
      <c r="C111">
        <v>-60.5</v>
      </c>
      <c r="D111">
        <v>44679.7</v>
      </c>
      <c r="E111">
        <v>7368.2</v>
      </c>
      <c r="F111">
        <f t="shared" si="156"/>
        <v>4.4679699999999993</v>
      </c>
      <c r="G111">
        <f t="shared" si="157"/>
        <v>-6.0499999999999998E-3</v>
      </c>
      <c r="H111">
        <f t="shared" si="158"/>
        <v>4.4740199999999994</v>
      </c>
      <c r="I111">
        <f t="shared" si="160"/>
        <v>0.73682000000000003</v>
      </c>
      <c r="K111" s="67"/>
      <c r="L111" s="5">
        <v>-95.1</v>
      </c>
      <c r="M111" s="5">
        <f t="shared" si="167"/>
        <v>3.1000000000000085</v>
      </c>
      <c r="N111" s="5">
        <f t="shared" si="161"/>
        <v>64.335352920706185</v>
      </c>
      <c r="O111" s="5">
        <f t="shared" si="162"/>
        <v>0.12475590134770534</v>
      </c>
      <c r="P111" s="4">
        <v>8</v>
      </c>
      <c r="Q111" s="5">
        <f t="shared" si="163"/>
        <v>4.4740199999999994</v>
      </c>
      <c r="R111" s="5">
        <f t="shared" si="163"/>
        <v>0.73682000000000003</v>
      </c>
      <c r="S111" s="5">
        <f t="shared" si="164"/>
        <v>1.8639885824999998</v>
      </c>
      <c r="T111" s="5">
        <f t="shared" si="165"/>
        <v>0.11183931494999998</v>
      </c>
      <c r="U111" s="5">
        <f t="shared" si="166"/>
        <v>0.25534090171232876</v>
      </c>
      <c r="V111" s="5">
        <f t="shared" si="159"/>
        <v>0.12475590134770534</v>
      </c>
    </row>
    <row r="112" spans="2:22" x14ac:dyDescent="0.3">
      <c r="B112">
        <v>10</v>
      </c>
      <c r="C112">
        <v>-2006.2</v>
      </c>
      <c r="D112">
        <v>53552.3</v>
      </c>
      <c r="E112">
        <v>15863.5</v>
      </c>
      <c r="F112">
        <f t="shared" si="156"/>
        <v>5.3552300000000006</v>
      </c>
      <c r="G112">
        <f t="shared" si="157"/>
        <v>-0.20061999999999999</v>
      </c>
      <c r="H112">
        <f t="shared" si="158"/>
        <v>5.5558500000000004</v>
      </c>
      <c r="I112">
        <f t="shared" si="160"/>
        <v>1.5863499999999999</v>
      </c>
      <c r="K112" s="67"/>
      <c r="L112" s="5">
        <v>-94.399999999999991</v>
      </c>
      <c r="M112" s="5">
        <f t="shared" si="167"/>
        <v>3.8000000000000114</v>
      </c>
      <c r="N112" s="5">
        <f t="shared" si="161"/>
        <v>76.025152245972833</v>
      </c>
      <c r="O112" s="5">
        <f t="shared" si="162"/>
        <v>8.9339985284867182E-2</v>
      </c>
      <c r="P112" s="4">
        <v>14</v>
      </c>
      <c r="Q112" s="5">
        <f t="shared" si="163"/>
        <v>5.5558500000000004</v>
      </c>
      <c r="R112" s="5">
        <f t="shared" si="163"/>
        <v>1.5863499999999999</v>
      </c>
      <c r="S112" s="5">
        <f t="shared" si="164"/>
        <v>1.3226891464285715</v>
      </c>
      <c r="T112" s="5">
        <f t="shared" si="165"/>
        <v>7.9361348785714284E-2</v>
      </c>
      <c r="U112" s="5">
        <f t="shared" si="166"/>
        <v>0.18119029403131118</v>
      </c>
      <c r="V112" s="5">
        <f t="shared" si="159"/>
        <v>8.9339985284867182E-2</v>
      </c>
    </row>
    <row r="113" spans="2:22" ht="15" thickBot="1" x14ac:dyDescent="0.35">
      <c r="B113">
        <v>11</v>
      </c>
      <c r="C113">
        <v>-959.8</v>
      </c>
      <c r="D113">
        <v>2991.3</v>
      </c>
      <c r="E113">
        <v>11296.5</v>
      </c>
      <c r="F113">
        <f t="shared" si="156"/>
        <v>0.29913000000000001</v>
      </c>
      <c r="G113">
        <f t="shared" si="157"/>
        <v>-9.5979999999999996E-2</v>
      </c>
      <c r="H113">
        <f t="shared" si="158"/>
        <v>0.39511000000000002</v>
      </c>
      <c r="I113">
        <f t="shared" si="160"/>
        <v>1.12965</v>
      </c>
      <c r="K113" s="68"/>
      <c r="L113" s="6">
        <v>-93.3</v>
      </c>
      <c r="M113" s="6">
        <f t="shared" si="167"/>
        <v>4.9000000000000057</v>
      </c>
      <c r="N113" s="6">
        <f t="shared" si="161"/>
        <v>94.671337139281746</v>
      </c>
      <c r="O113" s="6">
        <f t="shared" si="162"/>
        <v>5.7613392824225583E-2</v>
      </c>
      <c r="P113" s="7">
        <v>21</v>
      </c>
      <c r="Q113" s="6">
        <f t="shared" si="163"/>
        <v>0.39511000000000002</v>
      </c>
      <c r="R113" s="6">
        <f t="shared" si="163"/>
        <v>1.12965</v>
      </c>
      <c r="S113" s="6">
        <f t="shared" si="164"/>
        <v>6.2709601428571432E-2</v>
      </c>
      <c r="T113" s="6">
        <f t="shared" si="165"/>
        <v>3.7625760857142856E-3</v>
      </c>
      <c r="U113" s="6">
        <f t="shared" si="166"/>
        <v>8.5903563600782783E-3</v>
      </c>
      <c r="V113" s="6">
        <f t="shared" si="159"/>
        <v>5.7613392824225583E-2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1331.2</v>
      </c>
      <c r="D117">
        <v>26269.599999999999</v>
      </c>
      <c r="E117">
        <v>4433.7</v>
      </c>
      <c r="F117">
        <f t="shared" ref="F117:F127" si="168">D117/10000</f>
        <v>2.62696</v>
      </c>
      <c r="G117">
        <f t="shared" ref="G117:G127" si="169">C117/10000</f>
        <v>0.13312000000000002</v>
      </c>
      <c r="H117">
        <f t="shared" ref="H117:H127" si="170">F117-G117</f>
        <v>2.4938400000000001</v>
      </c>
      <c r="I117">
        <f>E117/10000</f>
        <v>0.44336999999999999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0.99104601270028314</v>
      </c>
      <c r="P117" s="2">
        <v>3</v>
      </c>
      <c r="Q117" s="8">
        <f>H117</f>
        <v>2.4938400000000001</v>
      </c>
      <c r="R117" s="8">
        <f>I117</f>
        <v>0.44336999999999999</v>
      </c>
      <c r="S117" s="8">
        <f>Q117/10^6*$Z$4*$Z$3/P117*10^12</f>
        <v>2.7706562400000001</v>
      </c>
      <c r="T117" s="8">
        <f>S117*0.06</f>
        <v>0.1662393744</v>
      </c>
      <c r="U117" s="8">
        <f>S117/$Z$1</f>
        <v>0.37954195068493152</v>
      </c>
      <c r="V117" s="12">
        <f t="shared" ref="V117:V127" si="171">O117</f>
        <v>0.99104601270028314</v>
      </c>
    </row>
    <row r="118" spans="2:22" x14ac:dyDescent="0.3">
      <c r="B118">
        <v>2</v>
      </c>
      <c r="C118">
        <v>-565.6</v>
      </c>
      <c r="D118">
        <v>21219.4</v>
      </c>
      <c r="E118">
        <v>5194</v>
      </c>
      <c r="F118">
        <f t="shared" si="168"/>
        <v>2.1219399999999999</v>
      </c>
      <c r="G118">
        <f t="shared" si="169"/>
        <v>-5.6559999999999999E-2</v>
      </c>
      <c r="H118">
        <f t="shared" si="170"/>
        <v>2.1785000000000001</v>
      </c>
      <c r="I118">
        <f t="shared" ref="I118:I127" si="172">E118/10000</f>
        <v>0.51939999999999997</v>
      </c>
      <c r="K118" s="67"/>
      <c r="L118" s="3">
        <v>-98</v>
      </c>
      <c r="M118" s="5">
        <f>L118+98.2</f>
        <v>0.20000000000000284</v>
      </c>
      <c r="N118" s="5">
        <f t="shared" ref="N118:N127" si="173">20.56036*SQRT(1+((L118-(-98.58903))*1.03*1095.70644/(3.14159*20.56036^2))^2)</f>
        <v>22.992351577801337</v>
      </c>
      <c r="O118" s="5">
        <f t="shared" ref="O118:O127" si="174">2*$Z$1/$Z$2/PI()/(N118*10^-4)^2/$K$117/$Z$7</f>
        <v>0.8790957890492731</v>
      </c>
      <c r="P118" s="4">
        <v>3</v>
      </c>
      <c r="Q118" s="5">
        <f t="shared" ref="Q118:R127" si="175">H118</f>
        <v>2.1785000000000001</v>
      </c>
      <c r="R118" s="5">
        <f t="shared" si="175"/>
        <v>0.51939999999999997</v>
      </c>
      <c r="S118" s="5">
        <f t="shared" ref="S118:S127" si="176">Q118/10^6*$Z$4*$Z$3/P118*10^12</f>
        <v>2.4203135000000002</v>
      </c>
      <c r="T118" s="5">
        <f t="shared" ref="T118:T127" si="177">S118*0.06</f>
        <v>0.14521881</v>
      </c>
      <c r="U118" s="5">
        <f t="shared" ref="U118:U127" si="178">S118/$Z$1</f>
        <v>0.331549794520548</v>
      </c>
      <c r="V118" s="5">
        <f t="shared" si="171"/>
        <v>0.8790957890492731</v>
      </c>
    </row>
    <row r="119" spans="2:22" x14ac:dyDescent="0.3">
      <c r="B119">
        <v>3</v>
      </c>
      <c r="C119">
        <v>-5230.2</v>
      </c>
      <c r="D119">
        <v>23515.7</v>
      </c>
      <c r="E119">
        <v>5727.7</v>
      </c>
      <c r="F119">
        <f t="shared" si="168"/>
        <v>2.3515700000000002</v>
      </c>
      <c r="G119">
        <f t="shared" si="169"/>
        <v>-0.52301999999999993</v>
      </c>
      <c r="H119">
        <f t="shared" si="170"/>
        <v>2.87459</v>
      </c>
      <c r="I119">
        <f t="shared" si="172"/>
        <v>0.57277</v>
      </c>
      <c r="K119" s="67"/>
      <c r="L119" s="3">
        <v>-97.8</v>
      </c>
      <c r="M119" s="5">
        <f t="shared" ref="M119:M127" si="179">L119+98.2</f>
        <v>0.40000000000000568</v>
      </c>
      <c r="N119" s="5">
        <f t="shared" si="173"/>
        <v>24.754552179927092</v>
      </c>
      <c r="O119" s="5">
        <f t="shared" si="174"/>
        <v>0.75839041370735061</v>
      </c>
      <c r="P119" s="4">
        <v>3</v>
      </c>
      <c r="Q119" s="5">
        <f t="shared" si="175"/>
        <v>2.87459</v>
      </c>
      <c r="R119" s="5">
        <f t="shared" si="175"/>
        <v>0.57277</v>
      </c>
      <c r="S119" s="5">
        <f t="shared" si="176"/>
        <v>3.19366949</v>
      </c>
      <c r="T119" s="5">
        <f t="shared" si="177"/>
        <v>0.19162016939999998</v>
      </c>
      <c r="U119" s="5">
        <f t="shared" si="178"/>
        <v>0.43748897123287672</v>
      </c>
      <c r="V119" s="5">
        <f t="shared" si="171"/>
        <v>0.75839041370735061</v>
      </c>
    </row>
    <row r="120" spans="2:22" x14ac:dyDescent="0.3">
      <c r="B120">
        <v>4</v>
      </c>
      <c r="C120">
        <v>-5283.8</v>
      </c>
      <c r="D120">
        <v>21993.5</v>
      </c>
      <c r="E120">
        <v>6391.9</v>
      </c>
      <c r="F120">
        <f t="shared" si="168"/>
        <v>2.1993499999999999</v>
      </c>
      <c r="G120">
        <f t="shared" si="169"/>
        <v>-0.52838000000000007</v>
      </c>
      <c r="H120">
        <f t="shared" si="170"/>
        <v>2.7277300000000002</v>
      </c>
      <c r="I120">
        <f t="shared" si="172"/>
        <v>0.63918999999999992</v>
      </c>
      <c r="K120" s="67"/>
      <c r="L120" s="3">
        <v>-97.2</v>
      </c>
      <c r="M120" s="5">
        <f t="shared" si="179"/>
        <v>1</v>
      </c>
      <c r="N120" s="5">
        <f t="shared" si="173"/>
        <v>31.807899949628325</v>
      </c>
      <c r="O120" s="5">
        <f t="shared" si="174"/>
        <v>0.45933865009451386</v>
      </c>
      <c r="P120" s="4">
        <v>3</v>
      </c>
      <c r="Q120" s="5">
        <f t="shared" si="175"/>
        <v>2.7277300000000002</v>
      </c>
      <c r="R120" s="5">
        <f t="shared" si="175"/>
        <v>0.63918999999999992</v>
      </c>
      <c r="S120" s="5">
        <f t="shared" si="176"/>
        <v>3.03050803</v>
      </c>
      <c r="T120" s="5">
        <f t="shared" si="177"/>
        <v>0.1818304818</v>
      </c>
      <c r="U120" s="5">
        <f t="shared" si="178"/>
        <v>0.41513808630136989</v>
      </c>
      <c r="V120" s="5">
        <f t="shared" si="171"/>
        <v>0.45933865009451386</v>
      </c>
    </row>
    <row r="121" spans="2:22" x14ac:dyDescent="0.3">
      <c r="B121">
        <v>5</v>
      </c>
      <c r="C121">
        <v>-4572</v>
      </c>
      <c r="D121">
        <v>22644</v>
      </c>
      <c r="E121">
        <v>6819.2</v>
      </c>
      <c r="F121">
        <f t="shared" si="168"/>
        <v>2.2644000000000002</v>
      </c>
      <c r="G121">
        <f t="shared" si="169"/>
        <v>-0.4572</v>
      </c>
      <c r="H121">
        <f t="shared" si="170"/>
        <v>2.7216</v>
      </c>
      <c r="I121">
        <f t="shared" si="172"/>
        <v>0.68191999999999997</v>
      </c>
      <c r="K121" s="67"/>
      <c r="L121" s="3">
        <v>-96.8</v>
      </c>
      <c r="M121" s="5">
        <f t="shared" si="179"/>
        <v>1.4000000000000057</v>
      </c>
      <c r="N121" s="5">
        <f t="shared" si="173"/>
        <v>37.414240753916886</v>
      </c>
      <c r="O121" s="5">
        <f t="shared" si="174"/>
        <v>0.33199314008207653</v>
      </c>
      <c r="P121" s="4">
        <v>3</v>
      </c>
      <c r="Q121" s="5">
        <f t="shared" si="175"/>
        <v>2.7216</v>
      </c>
      <c r="R121" s="5">
        <f t="shared" si="175"/>
        <v>0.68191999999999997</v>
      </c>
      <c r="S121" s="5">
        <f t="shared" si="176"/>
        <v>3.0236975999999998</v>
      </c>
      <c r="T121" s="5">
        <f t="shared" si="177"/>
        <v>0.18142185599999999</v>
      </c>
      <c r="U121" s="5">
        <f t="shared" si="178"/>
        <v>0.41420515068493147</v>
      </c>
      <c r="V121" s="5">
        <f t="shared" si="171"/>
        <v>0.33199314008207653</v>
      </c>
    </row>
    <row r="122" spans="2:22" x14ac:dyDescent="0.3">
      <c r="B122">
        <v>6</v>
      </c>
      <c r="C122">
        <v>-5778.6</v>
      </c>
      <c r="D122">
        <v>26578.6</v>
      </c>
      <c r="E122">
        <v>6589.7</v>
      </c>
      <c r="F122">
        <f t="shared" si="168"/>
        <v>2.6578599999999999</v>
      </c>
      <c r="G122">
        <f t="shared" si="169"/>
        <v>-0.57786000000000004</v>
      </c>
      <c r="H122">
        <f t="shared" si="170"/>
        <v>3.2357199999999997</v>
      </c>
      <c r="I122">
        <f t="shared" si="172"/>
        <v>0.65896999999999994</v>
      </c>
      <c r="K122" s="67"/>
      <c r="L122" s="3">
        <v>-96.3</v>
      </c>
      <c r="M122" s="5">
        <f t="shared" si="179"/>
        <v>1.9000000000000057</v>
      </c>
      <c r="N122" s="5">
        <f t="shared" si="173"/>
        <v>44.970060517830404</v>
      </c>
      <c r="O122" s="5">
        <f t="shared" si="174"/>
        <v>0.22980318260987831</v>
      </c>
      <c r="P122" s="4">
        <v>4</v>
      </c>
      <c r="Q122" s="5">
        <f t="shared" si="175"/>
        <v>3.2357199999999997</v>
      </c>
      <c r="R122" s="5">
        <f t="shared" si="175"/>
        <v>0.65896999999999994</v>
      </c>
      <c r="S122" s="5">
        <f t="shared" si="176"/>
        <v>2.6961636900000001</v>
      </c>
      <c r="T122" s="5">
        <f t="shared" si="177"/>
        <v>0.16176982140000001</v>
      </c>
      <c r="U122" s="5">
        <f t="shared" si="178"/>
        <v>0.36933749178082192</v>
      </c>
      <c r="V122" s="5">
        <f t="shared" si="171"/>
        <v>0.22980318260987831</v>
      </c>
    </row>
    <row r="123" spans="2:22" x14ac:dyDescent="0.3">
      <c r="B123">
        <v>7</v>
      </c>
      <c r="C123">
        <v>-2665</v>
      </c>
      <c r="D123">
        <v>25007.4</v>
      </c>
      <c r="E123">
        <v>5629.9</v>
      </c>
      <c r="F123">
        <f t="shared" si="168"/>
        <v>2.50074</v>
      </c>
      <c r="G123">
        <f t="shared" si="169"/>
        <v>-0.26650000000000001</v>
      </c>
      <c r="H123">
        <f t="shared" si="170"/>
        <v>2.7672400000000001</v>
      </c>
      <c r="I123">
        <f t="shared" si="172"/>
        <v>0.56298999999999999</v>
      </c>
      <c r="K123" s="67"/>
      <c r="L123" s="3">
        <v>-95.8</v>
      </c>
      <c r="M123" s="5">
        <f t="shared" si="179"/>
        <v>2.4000000000000057</v>
      </c>
      <c r="N123" s="5">
        <f t="shared" si="173"/>
        <v>52.890724234957723</v>
      </c>
      <c r="O123" s="5">
        <f t="shared" si="174"/>
        <v>0.16612842792050866</v>
      </c>
      <c r="P123" s="4">
        <v>4</v>
      </c>
      <c r="Q123" s="5">
        <f t="shared" si="175"/>
        <v>2.7672400000000001</v>
      </c>
      <c r="R123" s="5">
        <f t="shared" si="175"/>
        <v>0.56298999999999999</v>
      </c>
      <c r="S123" s="5">
        <f t="shared" si="176"/>
        <v>2.3058027300000004</v>
      </c>
      <c r="T123" s="5">
        <f t="shared" si="177"/>
        <v>0.13834816380000001</v>
      </c>
      <c r="U123" s="5">
        <f t="shared" si="178"/>
        <v>0.31586338767123295</v>
      </c>
      <c r="V123" s="5">
        <f t="shared" si="171"/>
        <v>0.16612842792050866</v>
      </c>
    </row>
    <row r="124" spans="2:22" x14ac:dyDescent="0.3">
      <c r="B124">
        <v>8</v>
      </c>
      <c r="C124">
        <v>-4878.8</v>
      </c>
      <c r="D124">
        <v>28910.6</v>
      </c>
      <c r="E124">
        <v>6414</v>
      </c>
      <c r="F124">
        <f t="shared" si="168"/>
        <v>2.89106</v>
      </c>
      <c r="G124">
        <f t="shared" si="169"/>
        <v>-0.48788000000000004</v>
      </c>
      <c r="H124">
        <f t="shared" si="170"/>
        <v>3.3789400000000001</v>
      </c>
      <c r="I124">
        <f t="shared" si="172"/>
        <v>0.64139999999999997</v>
      </c>
      <c r="K124" s="67"/>
      <c r="L124" s="3">
        <v>-95.5</v>
      </c>
      <c r="M124" s="5">
        <f t="shared" si="179"/>
        <v>2.7000000000000028</v>
      </c>
      <c r="N124" s="5">
        <f t="shared" si="173"/>
        <v>57.756125383651771</v>
      </c>
      <c r="O124" s="5">
        <f t="shared" si="174"/>
        <v>0.13931788796440595</v>
      </c>
      <c r="P124" s="4">
        <v>5</v>
      </c>
      <c r="Q124" s="5">
        <f t="shared" si="175"/>
        <v>3.3789400000000001</v>
      </c>
      <c r="R124" s="5">
        <f t="shared" si="175"/>
        <v>0.64139999999999997</v>
      </c>
      <c r="S124" s="5">
        <f t="shared" si="176"/>
        <v>2.2524014040000004</v>
      </c>
      <c r="T124" s="5">
        <f t="shared" si="177"/>
        <v>0.13514408424000002</v>
      </c>
      <c r="U124" s="5">
        <f t="shared" si="178"/>
        <v>0.30854813753424665</v>
      </c>
      <c r="V124" s="5">
        <f t="shared" si="171"/>
        <v>0.13931788796440595</v>
      </c>
    </row>
    <row r="125" spans="2:22" x14ac:dyDescent="0.3">
      <c r="B125">
        <v>9</v>
      </c>
      <c r="C125">
        <v>-3520.9</v>
      </c>
      <c r="D125">
        <v>38540.1</v>
      </c>
      <c r="E125">
        <v>7316.6</v>
      </c>
      <c r="F125">
        <f t="shared" si="168"/>
        <v>3.8540099999999997</v>
      </c>
      <c r="G125">
        <f t="shared" si="169"/>
        <v>-0.35209000000000001</v>
      </c>
      <c r="H125">
        <f t="shared" si="170"/>
        <v>4.2060999999999993</v>
      </c>
      <c r="I125">
        <f t="shared" si="172"/>
        <v>0.73166000000000009</v>
      </c>
      <c r="K125" s="67"/>
      <c r="L125" s="5">
        <v>-95.1</v>
      </c>
      <c r="M125" s="5">
        <f t="shared" si="179"/>
        <v>3.1000000000000085</v>
      </c>
      <c r="N125" s="5">
        <f t="shared" si="173"/>
        <v>64.335352920706185</v>
      </c>
      <c r="O125" s="5">
        <f t="shared" si="174"/>
        <v>0.1122803112129348</v>
      </c>
      <c r="P125" s="4">
        <v>8</v>
      </c>
      <c r="Q125" s="5">
        <f t="shared" si="175"/>
        <v>4.2060999999999993</v>
      </c>
      <c r="R125" s="5">
        <f t="shared" si="175"/>
        <v>0.73166000000000009</v>
      </c>
      <c r="S125" s="5">
        <f t="shared" si="176"/>
        <v>1.7523664124999998</v>
      </c>
      <c r="T125" s="5">
        <f t="shared" si="177"/>
        <v>0.10514198474999999</v>
      </c>
      <c r="U125" s="5">
        <f t="shared" si="178"/>
        <v>0.24005019349315065</v>
      </c>
      <c r="V125" s="5">
        <f t="shared" si="171"/>
        <v>0.1122803112129348</v>
      </c>
    </row>
    <row r="126" spans="2:22" x14ac:dyDescent="0.3">
      <c r="B126">
        <v>10</v>
      </c>
      <c r="C126">
        <v>-6385.7</v>
      </c>
      <c r="D126">
        <v>41996.4</v>
      </c>
      <c r="E126">
        <v>15712.6</v>
      </c>
      <c r="F126">
        <f t="shared" si="168"/>
        <v>4.1996400000000005</v>
      </c>
      <c r="G126">
        <f t="shared" si="169"/>
        <v>-0.63856999999999997</v>
      </c>
      <c r="H126">
        <f t="shared" si="170"/>
        <v>4.8382100000000001</v>
      </c>
      <c r="I126">
        <f t="shared" si="172"/>
        <v>1.5712600000000001</v>
      </c>
      <c r="K126" s="67"/>
      <c r="L126" s="5">
        <v>-94.399999999999991</v>
      </c>
      <c r="M126" s="5">
        <f t="shared" si="179"/>
        <v>3.8000000000000114</v>
      </c>
      <c r="N126" s="5">
        <f t="shared" si="173"/>
        <v>76.025152245972833</v>
      </c>
      <c r="O126" s="5">
        <f t="shared" si="174"/>
        <v>8.0405986756380471E-2</v>
      </c>
      <c r="P126" s="4">
        <v>14</v>
      </c>
      <c r="Q126" s="5">
        <f t="shared" si="175"/>
        <v>4.8382100000000001</v>
      </c>
      <c r="R126" s="5">
        <f t="shared" si="175"/>
        <v>1.5712600000000001</v>
      </c>
      <c r="S126" s="5">
        <f t="shared" si="176"/>
        <v>1.1518395664285717</v>
      </c>
      <c r="T126" s="5">
        <f t="shared" si="177"/>
        <v>6.9110373985714291E-2</v>
      </c>
      <c r="U126" s="5">
        <f t="shared" si="178"/>
        <v>0.15778624197651667</v>
      </c>
      <c r="V126" s="5">
        <f t="shared" si="171"/>
        <v>8.0405986756380471E-2</v>
      </c>
    </row>
    <row r="127" spans="2:22" ht="15" thickBot="1" x14ac:dyDescent="0.35">
      <c r="B127">
        <v>11</v>
      </c>
      <c r="C127">
        <v>-487.3</v>
      </c>
      <c r="D127">
        <v>3173.8</v>
      </c>
      <c r="E127">
        <v>8979.9</v>
      </c>
      <c r="F127">
        <f t="shared" si="168"/>
        <v>0.31738</v>
      </c>
      <c r="G127">
        <f t="shared" si="169"/>
        <v>-4.8730000000000002E-2</v>
      </c>
      <c r="H127">
        <f t="shared" si="170"/>
        <v>0.36610999999999999</v>
      </c>
      <c r="I127">
        <f t="shared" si="172"/>
        <v>0.89798999999999995</v>
      </c>
      <c r="K127" s="68"/>
      <c r="L127" s="6">
        <v>-93.3</v>
      </c>
      <c r="M127" s="6">
        <f t="shared" si="179"/>
        <v>4.9000000000000057</v>
      </c>
      <c r="N127" s="6">
        <f t="shared" si="173"/>
        <v>94.671337139281746</v>
      </c>
      <c r="O127" s="6">
        <f t="shared" si="174"/>
        <v>5.1852053541803021E-2</v>
      </c>
      <c r="P127" s="7">
        <v>21</v>
      </c>
      <c r="Q127" s="6">
        <f t="shared" si="175"/>
        <v>0.36610999999999999</v>
      </c>
      <c r="R127" s="6">
        <f t="shared" si="175"/>
        <v>0.89798999999999995</v>
      </c>
      <c r="S127" s="6">
        <f t="shared" si="176"/>
        <v>5.8106887142857132E-2</v>
      </c>
      <c r="T127" s="6">
        <f t="shared" si="177"/>
        <v>3.4864132285714277E-3</v>
      </c>
      <c r="U127" s="6">
        <f t="shared" si="178"/>
        <v>7.9598475538160459E-3</v>
      </c>
      <c r="V127" s="6">
        <f t="shared" si="171"/>
        <v>5.1852053541803021E-2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-7981.8</v>
      </c>
      <c r="D131">
        <v>21230.799999999999</v>
      </c>
      <c r="E131">
        <v>7811.8</v>
      </c>
      <c r="F131">
        <f t="shared" ref="F131:F141" si="180">D131/10000</f>
        <v>2.1230799999999999</v>
      </c>
      <c r="G131">
        <f t="shared" ref="G131:G141" si="181">C131/10000</f>
        <v>-0.79818</v>
      </c>
      <c r="H131">
        <f t="shared" ref="H131:H141" si="182">F131-G131</f>
        <v>2.9212599999999997</v>
      </c>
      <c r="I131">
        <f>E131/10000</f>
        <v>0.78117999999999999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0.6606973418001888</v>
      </c>
      <c r="P131" s="2">
        <v>3</v>
      </c>
      <c r="Q131" s="8">
        <f>H131</f>
        <v>2.9212599999999997</v>
      </c>
      <c r="R131" s="8">
        <f>I131</f>
        <v>0.78117999999999999</v>
      </c>
      <c r="S131" s="8">
        <f>Q131/10^6*$Z$4*$Z$3/P131*10^12</f>
        <v>3.2455198599999995</v>
      </c>
      <c r="T131" s="8">
        <f>S131*0.06</f>
        <v>0.19473119159999996</v>
      </c>
      <c r="U131" s="8">
        <f>S131/$Z$1</f>
        <v>0.44459176164383557</v>
      </c>
      <c r="V131" s="12">
        <f t="shared" ref="V131:V141" si="183">O131</f>
        <v>0.6606973418001888</v>
      </c>
    </row>
    <row r="132" spans="2:22" x14ac:dyDescent="0.3">
      <c r="B132">
        <v>2</v>
      </c>
      <c r="C132">
        <v>-10311.5</v>
      </c>
      <c r="D132">
        <v>16528.5</v>
      </c>
      <c r="E132">
        <v>6845.6</v>
      </c>
      <c r="F132">
        <f t="shared" si="180"/>
        <v>1.6528499999999999</v>
      </c>
      <c r="G132">
        <f t="shared" si="181"/>
        <v>-1.03115</v>
      </c>
      <c r="H132">
        <f t="shared" si="182"/>
        <v>2.6840000000000002</v>
      </c>
      <c r="I132">
        <f t="shared" ref="I132:I141" si="184">E132/10000</f>
        <v>0.68456000000000006</v>
      </c>
      <c r="K132" s="67"/>
      <c r="L132" s="3">
        <v>-98</v>
      </c>
      <c r="M132" s="5">
        <f>L132+98.2</f>
        <v>0.20000000000000284</v>
      </c>
      <c r="N132" s="5">
        <f t="shared" ref="N132:N141" si="185">20.56036*SQRT(1+((L132-(-98.58903))*1.03*1095.70644/(3.14159*20.56036^2))^2)</f>
        <v>22.992351577801337</v>
      </c>
      <c r="O132" s="5">
        <f t="shared" ref="O132:O141" si="186">2*$Z$1/$Z$2/PI()/(N132*10^-4)^2/$K$131/$Z$7</f>
        <v>0.5860638593661821</v>
      </c>
      <c r="P132" s="4">
        <v>3</v>
      </c>
      <c r="Q132" s="5">
        <f t="shared" ref="Q132:R141" si="187">H132</f>
        <v>2.6840000000000002</v>
      </c>
      <c r="R132" s="5">
        <f t="shared" si="187"/>
        <v>0.68456000000000006</v>
      </c>
      <c r="S132" s="5">
        <f t="shared" ref="S132:S141" si="188">Q132/10^6*$Z$4*$Z$3/P132*10^12</f>
        <v>2.9819239999999998</v>
      </c>
      <c r="T132" s="5">
        <f t="shared" ref="T132:T141" si="189">S132*0.06</f>
        <v>0.17891543999999998</v>
      </c>
      <c r="U132" s="5">
        <f t="shared" ref="U132:U141" si="190">S132/$Z$1</f>
        <v>0.40848273972602739</v>
      </c>
      <c r="V132" s="5">
        <f t="shared" si="183"/>
        <v>0.5860638593661821</v>
      </c>
    </row>
    <row r="133" spans="2:22" x14ac:dyDescent="0.3">
      <c r="B133">
        <v>3</v>
      </c>
      <c r="C133">
        <v>-12770.8</v>
      </c>
      <c r="D133">
        <v>15109</v>
      </c>
      <c r="E133">
        <v>6602.5</v>
      </c>
      <c r="F133">
        <f t="shared" si="180"/>
        <v>1.5108999999999999</v>
      </c>
      <c r="G133">
        <f t="shared" si="181"/>
        <v>-1.27708</v>
      </c>
      <c r="H133">
        <f t="shared" si="182"/>
        <v>2.7879800000000001</v>
      </c>
      <c r="I133">
        <f t="shared" si="184"/>
        <v>0.66025</v>
      </c>
      <c r="K133" s="67"/>
      <c r="L133" s="3">
        <v>-97.8</v>
      </c>
      <c r="M133" s="5">
        <f t="shared" ref="M133:M141" si="191">L133+98.2</f>
        <v>0.40000000000000568</v>
      </c>
      <c r="N133" s="5">
        <f t="shared" si="185"/>
        <v>24.754552179927092</v>
      </c>
      <c r="O133" s="5">
        <f t="shared" si="186"/>
        <v>0.5055936091382337</v>
      </c>
      <c r="P133" s="4">
        <v>3</v>
      </c>
      <c r="Q133" s="5">
        <f t="shared" si="187"/>
        <v>2.7879800000000001</v>
      </c>
      <c r="R133" s="5">
        <f t="shared" si="187"/>
        <v>0.66025</v>
      </c>
      <c r="S133" s="5">
        <f t="shared" si="188"/>
        <v>3.0974457800000001</v>
      </c>
      <c r="T133" s="5">
        <f t="shared" si="189"/>
        <v>0.18584674679999999</v>
      </c>
      <c r="U133" s="5">
        <f t="shared" si="190"/>
        <v>0.42430764109589042</v>
      </c>
      <c r="V133" s="5">
        <f t="shared" si="183"/>
        <v>0.5055936091382337</v>
      </c>
    </row>
    <row r="134" spans="2:22" x14ac:dyDescent="0.3">
      <c r="B134">
        <v>4</v>
      </c>
      <c r="C134">
        <v>-14961.4</v>
      </c>
      <c r="D134">
        <v>14366.9</v>
      </c>
      <c r="E134">
        <v>7660.6</v>
      </c>
      <c r="F134">
        <f t="shared" si="180"/>
        <v>1.43669</v>
      </c>
      <c r="G134">
        <f t="shared" si="181"/>
        <v>-1.49614</v>
      </c>
      <c r="H134">
        <f t="shared" si="182"/>
        <v>2.93283</v>
      </c>
      <c r="I134">
        <f t="shared" si="184"/>
        <v>0.76606000000000007</v>
      </c>
      <c r="K134" s="67"/>
      <c r="L134" s="3">
        <v>-97.2</v>
      </c>
      <c r="M134" s="5">
        <f t="shared" si="191"/>
        <v>1</v>
      </c>
      <c r="N134" s="5">
        <f t="shared" si="185"/>
        <v>31.807899949628325</v>
      </c>
      <c r="O134" s="5">
        <f t="shared" si="186"/>
        <v>0.30622576672967589</v>
      </c>
      <c r="P134" s="4">
        <v>3</v>
      </c>
      <c r="Q134" s="5">
        <f t="shared" si="187"/>
        <v>2.93283</v>
      </c>
      <c r="R134" s="5">
        <f t="shared" si="187"/>
        <v>0.76606000000000007</v>
      </c>
      <c r="S134" s="5">
        <f t="shared" si="188"/>
        <v>3.2583741300000004</v>
      </c>
      <c r="T134" s="5">
        <f t="shared" si="189"/>
        <v>0.19550244780000001</v>
      </c>
      <c r="U134" s="5">
        <f t="shared" si="190"/>
        <v>0.44635262054794528</v>
      </c>
      <c r="V134" s="5">
        <f t="shared" si="183"/>
        <v>0.30622576672967589</v>
      </c>
    </row>
    <row r="135" spans="2:22" x14ac:dyDescent="0.3">
      <c r="B135">
        <v>5</v>
      </c>
      <c r="C135">
        <v>-16738.599999999999</v>
      </c>
      <c r="D135">
        <v>9789</v>
      </c>
      <c r="E135">
        <v>6318.2</v>
      </c>
      <c r="F135">
        <f t="shared" si="180"/>
        <v>0.97889999999999999</v>
      </c>
      <c r="G135">
        <f t="shared" si="181"/>
        <v>-1.6738599999999999</v>
      </c>
      <c r="H135">
        <f t="shared" si="182"/>
        <v>2.6527599999999998</v>
      </c>
      <c r="I135">
        <f t="shared" si="184"/>
        <v>0.63181999999999994</v>
      </c>
      <c r="K135" s="67"/>
      <c r="L135" s="3">
        <v>-96.8</v>
      </c>
      <c r="M135" s="5">
        <f t="shared" si="191"/>
        <v>1.4000000000000057</v>
      </c>
      <c r="N135" s="5">
        <f t="shared" si="185"/>
        <v>37.414240753916886</v>
      </c>
      <c r="O135" s="5">
        <f t="shared" si="186"/>
        <v>0.22132876005471769</v>
      </c>
      <c r="P135" s="4">
        <v>3</v>
      </c>
      <c r="Q135" s="5">
        <f t="shared" si="187"/>
        <v>2.6527599999999998</v>
      </c>
      <c r="R135" s="5">
        <f t="shared" si="187"/>
        <v>0.63181999999999994</v>
      </c>
      <c r="S135" s="5">
        <f t="shared" si="188"/>
        <v>2.9472163600000001</v>
      </c>
      <c r="T135" s="5">
        <f t="shared" si="189"/>
        <v>0.17683298159999999</v>
      </c>
      <c r="U135" s="5">
        <f t="shared" si="190"/>
        <v>0.40372826849315069</v>
      </c>
      <c r="V135" s="5">
        <f t="shared" si="183"/>
        <v>0.22132876005471769</v>
      </c>
    </row>
    <row r="136" spans="2:22" x14ac:dyDescent="0.3">
      <c r="B136">
        <v>6</v>
      </c>
      <c r="C136">
        <v>-17352.7</v>
      </c>
      <c r="D136">
        <v>20145.2</v>
      </c>
      <c r="E136">
        <v>7459</v>
      </c>
      <c r="F136">
        <f t="shared" si="180"/>
        <v>2.0145200000000001</v>
      </c>
      <c r="G136">
        <f t="shared" si="181"/>
        <v>-1.7352700000000001</v>
      </c>
      <c r="H136">
        <f t="shared" si="182"/>
        <v>3.74979</v>
      </c>
      <c r="I136">
        <f t="shared" si="184"/>
        <v>0.74590000000000001</v>
      </c>
      <c r="K136" s="67"/>
      <c r="L136" s="3">
        <v>-96.3</v>
      </c>
      <c r="M136" s="5">
        <f t="shared" si="191"/>
        <v>1.9000000000000057</v>
      </c>
      <c r="N136" s="5">
        <f t="shared" si="185"/>
        <v>44.970060517830404</v>
      </c>
      <c r="O136" s="5">
        <f t="shared" si="186"/>
        <v>0.15320212173991887</v>
      </c>
      <c r="P136" s="4">
        <v>4</v>
      </c>
      <c r="Q136" s="5">
        <f t="shared" si="187"/>
        <v>3.74979</v>
      </c>
      <c r="R136" s="5">
        <f t="shared" si="187"/>
        <v>0.74590000000000001</v>
      </c>
      <c r="S136" s="5">
        <f t="shared" si="188"/>
        <v>3.1245125174999999</v>
      </c>
      <c r="T136" s="5">
        <f t="shared" si="189"/>
        <v>0.18747075105</v>
      </c>
      <c r="U136" s="5">
        <f t="shared" si="190"/>
        <v>0.42801541335616439</v>
      </c>
      <c r="V136" s="5">
        <f t="shared" si="183"/>
        <v>0.15320212173991887</v>
      </c>
    </row>
    <row r="137" spans="2:22" x14ac:dyDescent="0.3">
      <c r="B137">
        <v>7</v>
      </c>
      <c r="C137">
        <v>-14759.2</v>
      </c>
      <c r="D137">
        <v>7332.5</v>
      </c>
      <c r="E137">
        <v>16127.2</v>
      </c>
      <c r="F137">
        <f t="shared" si="180"/>
        <v>0.73324999999999996</v>
      </c>
      <c r="G137">
        <f t="shared" si="181"/>
        <v>-1.4759200000000001</v>
      </c>
      <c r="H137">
        <f t="shared" si="182"/>
        <v>2.2091700000000003</v>
      </c>
      <c r="I137">
        <f t="shared" si="184"/>
        <v>1.6127200000000002</v>
      </c>
      <c r="K137" s="67"/>
      <c r="L137" s="3">
        <v>-95.8</v>
      </c>
      <c r="M137" s="5">
        <f t="shared" si="191"/>
        <v>2.4000000000000057</v>
      </c>
      <c r="N137" s="5">
        <f t="shared" si="185"/>
        <v>52.890724234957723</v>
      </c>
      <c r="O137" s="5">
        <f t="shared" si="186"/>
        <v>0.11075228528033911</v>
      </c>
      <c r="P137" s="4">
        <v>4</v>
      </c>
      <c r="Q137" s="5">
        <f t="shared" si="187"/>
        <v>2.2091700000000003</v>
      </c>
      <c r="R137" s="5">
        <f t="shared" si="187"/>
        <v>1.6127200000000002</v>
      </c>
      <c r="S137" s="5">
        <f t="shared" si="188"/>
        <v>1.8407909025000002</v>
      </c>
      <c r="T137" s="5">
        <f t="shared" si="189"/>
        <v>0.11044745415000001</v>
      </c>
      <c r="U137" s="5">
        <f t="shared" si="190"/>
        <v>0.25216313732876716</v>
      </c>
      <c r="V137" s="5">
        <f t="shared" si="183"/>
        <v>0.11075228528033911</v>
      </c>
    </row>
    <row r="138" spans="2:22" x14ac:dyDescent="0.3">
      <c r="B138">
        <v>8</v>
      </c>
      <c r="C138">
        <v>-18391.099999999999</v>
      </c>
      <c r="D138">
        <v>-5690.7</v>
      </c>
      <c r="E138">
        <v>28446.7</v>
      </c>
      <c r="F138">
        <f t="shared" si="180"/>
        <v>-0.56906999999999996</v>
      </c>
      <c r="G138">
        <f t="shared" si="181"/>
        <v>-1.8391099999999998</v>
      </c>
      <c r="H138">
        <f t="shared" si="182"/>
        <v>1.2700399999999998</v>
      </c>
      <c r="I138">
        <f t="shared" si="184"/>
        <v>2.8446700000000003</v>
      </c>
      <c r="K138" s="67"/>
      <c r="L138" s="3">
        <v>-95.5</v>
      </c>
      <c r="M138" s="5">
        <f t="shared" si="191"/>
        <v>2.7000000000000028</v>
      </c>
      <c r="N138" s="5">
        <f t="shared" si="185"/>
        <v>57.756125383651771</v>
      </c>
      <c r="O138" s="5">
        <f t="shared" si="186"/>
        <v>9.287859197627063E-2</v>
      </c>
      <c r="P138" s="4">
        <v>5</v>
      </c>
      <c r="Q138" s="5">
        <f t="shared" si="187"/>
        <v>1.2700399999999998</v>
      </c>
      <c r="R138" s="5">
        <f t="shared" si="187"/>
        <v>2.8446700000000003</v>
      </c>
      <c r="S138" s="5">
        <f t="shared" si="188"/>
        <v>0.8466086639999999</v>
      </c>
      <c r="T138" s="5">
        <f t="shared" si="189"/>
        <v>5.0796519839999991E-2</v>
      </c>
      <c r="U138" s="5">
        <f t="shared" si="190"/>
        <v>0.11597378958904109</v>
      </c>
      <c r="V138" s="5">
        <f t="shared" si="183"/>
        <v>9.287859197627063E-2</v>
      </c>
    </row>
    <row r="139" spans="2:22" x14ac:dyDescent="0.3">
      <c r="B139">
        <v>9</v>
      </c>
      <c r="C139">
        <v>-16779.400000000001</v>
      </c>
      <c r="D139">
        <v>1392.8</v>
      </c>
      <c r="E139">
        <v>15242.2</v>
      </c>
      <c r="F139">
        <f t="shared" si="180"/>
        <v>0.13927999999999999</v>
      </c>
      <c r="G139">
        <f t="shared" si="181"/>
        <v>-1.6779400000000002</v>
      </c>
      <c r="H139">
        <f t="shared" si="182"/>
        <v>1.8172200000000003</v>
      </c>
      <c r="I139">
        <f t="shared" si="184"/>
        <v>1.5242200000000001</v>
      </c>
      <c r="K139" s="67"/>
      <c r="L139" s="5">
        <v>-95.1</v>
      </c>
      <c r="M139" s="5">
        <f t="shared" si="191"/>
        <v>3.1000000000000085</v>
      </c>
      <c r="N139" s="5">
        <f t="shared" si="185"/>
        <v>64.335352920706185</v>
      </c>
      <c r="O139" s="5">
        <f t="shared" si="186"/>
        <v>7.4853540808623206E-2</v>
      </c>
      <c r="P139" s="4">
        <v>8</v>
      </c>
      <c r="Q139" s="5">
        <f t="shared" si="187"/>
        <v>1.8172200000000003</v>
      </c>
      <c r="R139" s="5">
        <f t="shared" si="187"/>
        <v>1.5242200000000001</v>
      </c>
      <c r="S139" s="5">
        <f t="shared" si="188"/>
        <v>0.75709928250000014</v>
      </c>
      <c r="T139" s="5">
        <f t="shared" si="189"/>
        <v>4.5425956950000006E-2</v>
      </c>
      <c r="U139" s="5">
        <f t="shared" si="190"/>
        <v>0.10371223047945208</v>
      </c>
      <c r="V139" s="5">
        <f t="shared" si="183"/>
        <v>7.4853540808623206E-2</v>
      </c>
    </row>
    <row r="140" spans="2:22" x14ac:dyDescent="0.3">
      <c r="B140">
        <v>10</v>
      </c>
      <c r="C140">
        <v>-19531.2</v>
      </c>
      <c r="D140">
        <v>33569.1</v>
      </c>
      <c r="E140">
        <v>15833.8</v>
      </c>
      <c r="F140">
        <f t="shared" si="180"/>
        <v>3.3569100000000001</v>
      </c>
      <c r="G140">
        <f t="shared" si="181"/>
        <v>-1.95312</v>
      </c>
      <c r="H140">
        <f t="shared" si="182"/>
        <v>5.3100300000000002</v>
      </c>
      <c r="I140">
        <f t="shared" si="184"/>
        <v>1.58338</v>
      </c>
      <c r="K140" s="67"/>
      <c r="L140" s="5">
        <v>-94.399999999999991</v>
      </c>
      <c r="M140" s="5">
        <f t="shared" si="191"/>
        <v>3.8000000000000114</v>
      </c>
      <c r="N140" s="5">
        <f t="shared" si="185"/>
        <v>76.025152245972833</v>
      </c>
      <c r="O140" s="5">
        <f t="shared" si="186"/>
        <v>5.3603991170920309E-2</v>
      </c>
      <c r="P140" s="4">
        <v>14</v>
      </c>
      <c r="Q140" s="5">
        <f t="shared" si="187"/>
        <v>5.3100300000000002</v>
      </c>
      <c r="R140" s="5">
        <f t="shared" si="187"/>
        <v>1.58338</v>
      </c>
      <c r="S140" s="5">
        <f t="shared" si="188"/>
        <v>1.2641664278571429</v>
      </c>
      <c r="T140" s="5">
        <f t="shared" si="189"/>
        <v>7.5849985671428574E-2</v>
      </c>
      <c r="U140" s="5">
        <f t="shared" si="190"/>
        <v>0.17317348326810178</v>
      </c>
      <c r="V140" s="5">
        <f t="shared" si="183"/>
        <v>5.3603991170920309E-2</v>
      </c>
    </row>
    <row r="141" spans="2:22" ht="15" thickBot="1" x14ac:dyDescent="0.35">
      <c r="B141">
        <v>11</v>
      </c>
      <c r="C141">
        <v>-19370.099999999999</v>
      </c>
      <c r="D141">
        <v>-2469.6999999999998</v>
      </c>
      <c r="E141">
        <v>15793.2</v>
      </c>
      <c r="F141">
        <f t="shared" si="180"/>
        <v>-0.24697</v>
      </c>
      <c r="G141">
        <f t="shared" si="181"/>
        <v>-1.9370099999999999</v>
      </c>
      <c r="H141">
        <f t="shared" si="182"/>
        <v>1.69004</v>
      </c>
      <c r="I141">
        <f t="shared" si="184"/>
        <v>1.5793200000000001</v>
      </c>
      <c r="K141" s="68"/>
      <c r="L141" s="6">
        <v>-93.3</v>
      </c>
      <c r="M141" s="6">
        <f t="shared" si="191"/>
        <v>4.9000000000000057</v>
      </c>
      <c r="N141" s="6">
        <f t="shared" si="185"/>
        <v>94.671337139281746</v>
      </c>
      <c r="O141" s="6">
        <f t="shared" si="186"/>
        <v>3.456803569453535E-2</v>
      </c>
      <c r="P141" s="7">
        <v>21</v>
      </c>
      <c r="Q141" s="6">
        <f t="shared" si="187"/>
        <v>1.69004</v>
      </c>
      <c r="R141" s="6">
        <f t="shared" si="187"/>
        <v>1.5793200000000001</v>
      </c>
      <c r="S141" s="6">
        <f t="shared" si="188"/>
        <v>0.26823349142857139</v>
      </c>
      <c r="T141" s="6">
        <f t="shared" si="189"/>
        <v>1.6094009485714284E-2</v>
      </c>
      <c r="U141" s="6">
        <f t="shared" si="190"/>
        <v>3.6744313894324851E-2</v>
      </c>
      <c r="V141" s="6">
        <f t="shared" si="183"/>
        <v>3.456803569453535E-2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-7470.5</v>
      </c>
      <c r="D145">
        <v>22321.5</v>
      </c>
      <c r="E145">
        <v>6845.3</v>
      </c>
      <c r="F145">
        <f t="shared" ref="F145:F155" si="192">D145/10000</f>
        <v>2.2321499999999999</v>
      </c>
      <c r="G145">
        <f t="shared" ref="G145:G155" si="193">C145/10000</f>
        <v>-0.74704999999999999</v>
      </c>
      <c r="H145">
        <f t="shared" ref="H145:H155" si="194">F145-G145</f>
        <v>2.9791999999999996</v>
      </c>
      <c r="I145">
        <f>E145/10000</f>
        <v>0.68452999999999997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0.49552300635014157</v>
      </c>
      <c r="P145" s="2">
        <v>3</v>
      </c>
      <c r="Q145" s="8">
        <f>H145</f>
        <v>2.9791999999999996</v>
      </c>
      <c r="R145" s="8">
        <f>I145</f>
        <v>0.68452999999999997</v>
      </c>
      <c r="S145" s="8">
        <f>Q145/10^6*$Z$4*$Z$3/P145*10^12</f>
        <v>3.3098911999999996</v>
      </c>
      <c r="T145" s="8">
        <f>S145*0.06</f>
        <v>0.19859347199999997</v>
      </c>
      <c r="U145" s="8">
        <f>S145/$Z$1</f>
        <v>0.4534097534246575</v>
      </c>
      <c r="V145" s="12">
        <f t="shared" ref="V145:V155" si="195">O145</f>
        <v>0.49552300635014157</v>
      </c>
    </row>
    <row r="146" spans="2:22" x14ac:dyDescent="0.3">
      <c r="B146">
        <v>2</v>
      </c>
      <c r="C146">
        <v>-11144.4</v>
      </c>
      <c r="D146">
        <v>16746</v>
      </c>
      <c r="E146">
        <v>6269.6</v>
      </c>
      <c r="F146">
        <f t="shared" si="192"/>
        <v>1.6746000000000001</v>
      </c>
      <c r="G146">
        <f t="shared" si="193"/>
        <v>-1.1144399999999999</v>
      </c>
      <c r="H146">
        <f t="shared" si="194"/>
        <v>2.78904</v>
      </c>
      <c r="I146">
        <f t="shared" ref="I146:I155" si="196">E146/10000</f>
        <v>0.62696000000000007</v>
      </c>
      <c r="K146" s="67"/>
      <c r="L146" s="3">
        <v>-98</v>
      </c>
      <c r="M146" s="5">
        <f>L146+98.2</f>
        <v>0.20000000000000284</v>
      </c>
      <c r="N146" s="5">
        <f t="shared" ref="N146:N155" si="197">20.56036*SQRT(1+((L146-(-98.58903))*1.03*1095.70644/(3.14159*20.56036^2))^2)</f>
        <v>22.992351577801337</v>
      </c>
      <c r="O146" s="5">
        <f t="shared" ref="O146:O155" si="198">2*$Z$1/$Z$2/PI()/(N146*10^-4)^2/$K$145/$Z$7</f>
        <v>0.43954789452463655</v>
      </c>
      <c r="P146" s="4">
        <v>3</v>
      </c>
      <c r="Q146" s="5">
        <f t="shared" ref="Q146:R155" si="199">H146</f>
        <v>2.78904</v>
      </c>
      <c r="R146" s="5">
        <f t="shared" si="199"/>
        <v>0.62696000000000007</v>
      </c>
      <c r="S146" s="5">
        <f t="shared" ref="S146:S155" si="200">Q146/10^6*$Z$4*$Z$3/P146*10^12</f>
        <v>3.0986234400000003</v>
      </c>
      <c r="T146" s="5">
        <f t="shared" ref="T146:T155" si="201">S146*0.06</f>
        <v>0.18591740640000001</v>
      </c>
      <c r="U146" s="5">
        <f t="shared" ref="U146:U155" si="202">S146/$Z$1</f>
        <v>0.42446896438356169</v>
      </c>
      <c r="V146" s="5">
        <f t="shared" si="195"/>
        <v>0.43954789452463655</v>
      </c>
    </row>
    <row r="147" spans="2:22" x14ac:dyDescent="0.3">
      <c r="B147">
        <v>3</v>
      </c>
      <c r="C147">
        <v>-12932.3</v>
      </c>
      <c r="D147">
        <v>19508</v>
      </c>
      <c r="E147">
        <v>7306.4</v>
      </c>
      <c r="F147">
        <f t="shared" si="192"/>
        <v>1.9508000000000001</v>
      </c>
      <c r="G147">
        <f t="shared" si="193"/>
        <v>-1.2932299999999999</v>
      </c>
      <c r="H147">
        <f t="shared" si="194"/>
        <v>3.24403</v>
      </c>
      <c r="I147">
        <f t="shared" si="196"/>
        <v>0.73063999999999996</v>
      </c>
      <c r="K147" s="67"/>
      <c r="L147" s="3">
        <v>-97.8</v>
      </c>
      <c r="M147" s="5">
        <f t="shared" ref="M147:M155" si="203">L147+98.2</f>
        <v>0.40000000000000568</v>
      </c>
      <c r="N147" s="5">
        <f t="shared" si="197"/>
        <v>24.754552179927092</v>
      </c>
      <c r="O147" s="5">
        <f t="shared" si="198"/>
        <v>0.3791952068536753</v>
      </c>
      <c r="P147" s="4">
        <v>3</v>
      </c>
      <c r="Q147" s="5">
        <f t="shared" si="199"/>
        <v>3.24403</v>
      </c>
      <c r="R147" s="5">
        <f t="shared" si="199"/>
        <v>0.73063999999999996</v>
      </c>
      <c r="S147" s="5">
        <f t="shared" si="200"/>
        <v>3.6041173300000007</v>
      </c>
      <c r="T147" s="5">
        <f t="shared" si="201"/>
        <v>0.21624703980000004</v>
      </c>
      <c r="U147" s="5">
        <f t="shared" si="202"/>
        <v>0.49371470273972612</v>
      </c>
      <c r="V147" s="5">
        <f t="shared" si="195"/>
        <v>0.3791952068536753</v>
      </c>
    </row>
    <row r="148" spans="2:22" x14ac:dyDescent="0.3">
      <c r="B148">
        <v>4</v>
      </c>
      <c r="C148">
        <v>-16138.7</v>
      </c>
      <c r="D148">
        <v>17610.400000000001</v>
      </c>
      <c r="E148">
        <v>6657.5</v>
      </c>
      <c r="F148">
        <f t="shared" si="192"/>
        <v>1.7610400000000002</v>
      </c>
      <c r="G148">
        <f t="shared" si="193"/>
        <v>-1.6138700000000001</v>
      </c>
      <c r="H148">
        <f t="shared" si="194"/>
        <v>3.3749100000000003</v>
      </c>
      <c r="I148">
        <f t="shared" si="196"/>
        <v>0.66574999999999995</v>
      </c>
      <c r="K148" s="67"/>
      <c r="L148" s="3">
        <v>-97.2</v>
      </c>
      <c r="M148" s="5">
        <f t="shared" si="203"/>
        <v>1</v>
      </c>
      <c r="N148" s="5">
        <f t="shared" si="197"/>
        <v>31.807899949628325</v>
      </c>
      <c r="O148" s="5">
        <f t="shared" si="198"/>
        <v>0.22966932504725693</v>
      </c>
      <c r="P148" s="4">
        <v>3</v>
      </c>
      <c r="Q148" s="5">
        <f t="shared" si="199"/>
        <v>3.3749100000000003</v>
      </c>
      <c r="R148" s="5">
        <f t="shared" si="199"/>
        <v>0.66574999999999995</v>
      </c>
      <c r="S148" s="5">
        <f t="shared" si="200"/>
        <v>3.7495250100000002</v>
      </c>
      <c r="T148" s="5">
        <f t="shared" si="201"/>
        <v>0.22497150060000001</v>
      </c>
      <c r="U148" s="5">
        <f t="shared" si="202"/>
        <v>0.51363356301369867</v>
      </c>
      <c r="V148" s="5">
        <f t="shared" si="195"/>
        <v>0.22966932504725693</v>
      </c>
    </row>
    <row r="149" spans="2:22" x14ac:dyDescent="0.3">
      <c r="B149">
        <v>5</v>
      </c>
      <c r="C149">
        <v>-14370.4</v>
      </c>
      <c r="D149">
        <v>15703.2</v>
      </c>
      <c r="E149">
        <v>7766.8</v>
      </c>
      <c r="F149">
        <f t="shared" si="192"/>
        <v>1.5703200000000002</v>
      </c>
      <c r="G149">
        <f t="shared" si="193"/>
        <v>-1.4370399999999999</v>
      </c>
      <c r="H149">
        <f t="shared" si="194"/>
        <v>3.0073600000000003</v>
      </c>
      <c r="I149">
        <f t="shared" si="196"/>
        <v>0.77668000000000004</v>
      </c>
      <c r="K149" s="67"/>
      <c r="L149" s="3">
        <v>-96.8</v>
      </c>
      <c r="M149" s="5">
        <f t="shared" si="203"/>
        <v>1.4000000000000057</v>
      </c>
      <c r="N149" s="5">
        <f t="shared" si="197"/>
        <v>37.414240753916886</v>
      </c>
      <c r="O149" s="5">
        <f t="shared" si="198"/>
        <v>0.16599657004103827</v>
      </c>
      <c r="P149" s="4">
        <v>3</v>
      </c>
      <c r="Q149" s="5">
        <f t="shared" si="199"/>
        <v>3.0073600000000003</v>
      </c>
      <c r="R149" s="5">
        <f t="shared" si="199"/>
        <v>0.77668000000000004</v>
      </c>
      <c r="S149" s="5">
        <f t="shared" si="200"/>
        <v>3.3411769600000003</v>
      </c>
      <c r="T149" s="5">
        <f t="shared" si="201"/>
        <v>0.20047061760000001</v>
      </c>
      <c r="U149" s="5">
        <f t="shared" si="202"/>
        <v>0.4576954739726028</v>
      </c>
      <c r="V149" s="5">
        <f t="shared" si="195"/>
        <v>0.16599657004103827</v>
      </c>
    </row>
    <row r="150" spans="2:22" x14ac:dyDescent="0.3">
      <c r="B150">
        <v>6</v>
      </c>
      <c r="C150">
        <v>-14893.6</v>
      </c>
      <c r="D150">
        <v>20183.599999999999</v>
      </c>
      <c r="E150">
        <v>6811</v>
      </c>
      <c r="F150">
        <f t="shared" si="192"/>
        <v>2.0183599999999999</v>
      </c>
      <c r="G150">
        <f t="shared" si="193"/>
        <v>-1.48936</v>
      </c>
      <c r="H150">
        <f t="shared" si="194"/>
        <v>3.5077199999999999</v>
      </c>
      <c r="I150">
        <f t="shared" si="196"/>
        <v>0.68110000000000004</v>
      </c>
      <c r="K150" s="67"/>
      <c r="L150" s="3">
        <v>-96.3</v>
      </c>
      <c r="M150" s="5">
        <f t="shared" si="203"/>
        <v>1.9000000000000057</v>
      </c>
      <c r="N150" s="5">
        <f t="shared" si="197"/>
        <v>44.970060517830404</v>
      </c>
      <c r="O150" s="5">
        <f t="shared" si="198"/>
        <v>0.11490159130493915</v>
      </c>
      <c r="P150" s="4">
        <v>4</v>
      </c>
      <c r="Q150" s="5">
        <f t="shared" si="199"/>
        <v>3.5077199999999999</v>
      </c>
      <c r="R150" s="5">
        <f t="shared" si="199"/>
        <v>0.68110000000000004</v>
      </c>
      <c r="S150" s="5">
        <f t="shared" si="200"/>
        <v>2.92280769</v>
      </c>
      <c r="T150" s="5">
        <f t="shared" si="201"/>
        <v>0.17536846139999998</v>
      </c>
      <c r="U150" s="5">
        <f t="shared" si="202"/>
        <v>0.40038461506849315</v>
      </c>
      <c r="V150" s="5">
        <f t="shared" si="195"/>
        <v>0.11490159130493915</v>
      </c>
    </row>
    <row r="151" spans="2:22" x14ac:dyDescent="0.3">
      <c r="B151">
        <v>7</v>
      </c>
      <c r="C151">
        <v>-11514</v>
      </c>
      <c r="D151">
        <v>1470.8</v>
      </c>
      <c r="E151">
        <v>21341.1</v>
      </c>
      <c r="F151">
        <f t="shared" si="192"/>
        <v>0.14707999999999999</v>
      </c>
      <c r="G151">
        <f t="shared" si="193"/>
        <v>-1.1514</v>
      </c>
      <c r="H151">
        <f t="shared" si="194"/>
        <v>1.2984800000000001</v>
      </c>
      <c r="I151">
        <f t="shared" si="196"/>
        <v>2.1341099999999997</v>
      </c>
      <c r="K151" s="67"/>
      <c r="L151" s="3">
        <v>-95.8</v>
      </c>
      <c r="M151" s="5">
        <f t="shared" si="203"/>
        <v>2.4000000000000057</v>
      </c>
      <c r="N151" s="5">
        <f t="shared" si="197"/>
        <v>52.890724234957723</v>
      </c>
      <c r="O151" s="5">
        <f t="shared" si="198"/>
        <v>8.3064213960254332E-2</v>
      </c>
      <c r="P151" s="4">
        <v>4</v>
      </c>
      <c r="Q151" s="5">
        <f t="shared" si="199"/>
        <v>1.2984800000000001</v>
      </c>
      <c r="R151" s="5">
        <f t="shared" si="199"/>
        <v>2.1341099999999997</v>
      </c>
      <c r="S151" s="5">
        <f t="shared" si="200"/>
        <v>1.0819584600000001</v>
      </c>
      <c r="T151" s="5">
        <f t="shared" si="201"/>
        <v>6.4917507600000007E-2</v>
      </c>
      <c r="U151" s="5">
        <f t="shared" si="202"/>
        <v>0.14821348767123288</v>
      </c>
      <c r="V151" s="5">
        <f t="shared" si="195"/>
        <v>8.3064213960254332E-2</v>
      </c>
    </row>
    <row r="152" spans="2:22" x14ac:dyDescent="0.3">
      <c r="B152">
        <v>8</v>
      </c>
      <c r="C152">
        <v>-14493.4</v>
      </c>
      <c r="D152">
        <v>8348.2000000000007</v>
      </c>
      <c r="E152">
        <v>11625.1</v>
      </c>
      <c r="F152">
        <f t="shared" si="192"/>
        <v>0.83482000000000012</v>
      </c>
      <c r="G152">
        <f t="shared" si="193"/>
        <v>-1.4493400000000001</v>
      </c>
      <c r="H152">
        <f t="shared" si="194"/>
        <v>2.28416</v>
      </c>
      <c r="I152">
        <f t="shared" si="196"/>
        <v>1.1625099999999999</v>
      </c>
      <c r="K152" s="67"/>
      <c r="L152" s="3">
        <v>-95.5</v>
      </c>
      <c r="M152" s="5">
        <f t="shared" si="203"/>
        <v>2.7000000000000028</v>
      </c>
      <c r="N152" s="5">
        <f t="shared" si="197"/>
        <v>57.756125383651771</v>
      </c>
      <c r="O152" s="5">
        <f t="shared" si="198"/>
        <v>6.9658943982202973E-2</v>
      </c>
      <c r="P152" s="4">
        <v>5</v>
      </c>
      <c r="Q152" s="5">
        <f t="shared" si="199"/>
        <v>2.28416</v>
      </c>
      <c r="R152" s="5">
        <f t="shared" si="199"/>
        <v>1.1625099999999999</v>
      </c>
      <c r="S152" s="5">
        <f t="shared" si="200"/>
        <v>1.522621056</v>
      </c>
      <c r="T152" s="5">
        <f t="shared" si="201"/>
        <v>9.1357263359999996E-2</v>
      </c>
      <c r="U152" s="5">
        <f t="shared" si="202"/>
        <v>0.20857822684931507</v>
      </c>
      <c r="V152" s="5">
        <f t="shared" si="195"/>
        <v>6.9658943982202973E-2</v>
      </c>
    </row>
    <row r="153" spans="2:22" x14ac:dyDescent="0.3">
      <c r="B153">
        <v>9</v>
      </c>
      <c r="C153">
        <v>-9120</v>
      </c>
      <c r="D153">
        <v>698.4</v>
      </c>
      <c r="E153">
        <v>12525.9</v>
      </c>
      <c r="F153">
        <f t="shared" si="192"/>
        <v>6.9839999999999999E-2</v>
      </c>
      <c r="G153">
        <f t="shared" si="193"/>
        <v>-0.91200000000000003</v>
      </c>
      <c r="H153">
        <f t="shared" si="194"/>
        <v>0.98184000000000005</v>
      </c>
      <c r="I153">
        <f t="shared" si="196"/>
        <v>1.2525899999999999</v>
      </c>
      <c r="K153" s="67"/>
      <c r="L153" s="5">
        <v>-95.1</v>
      </c>
      <c r="M153" s="5">
        <f t="shared" si="203"/>
        <v>3.1000000000000085</v>
      </c>
      <c r="N153" s="5">
        <f t="shared" si="197"/>
        <v>64.335352920706185</v>
      </c>
      <c r="O153" s="5">
        <f t="shared" si="198"/>
        <v>5.6140155606467401E-2</v>
      </c>
      <c r="P153" s="4">
        <v>8</v>
      </c>
      <c r="Q153" s="5">
        <f t="shared" si="199"/>
        <v>0.98184000000000005</v>
      </c>
      <c r="R153" s="5">
        <f t="shared" si="199"/>
        <v>1.2525899999999999</v>
      </c>
      <c r="S153" s="5">
        <f t="shared" si="200"/>
        <v>0.40905909000000007</v>
      </c>
      <c r="T153" s="5">
        <f t="shared" si="201"/>
        <v>2.4543545400000002E-2</v>
      </c>
      <c r="U153" s="5">
        <f t="shared" si="202"/>
        <v>5.6035491780821928E-2</v>
      </c>
      <c r="V153" s="5">
        <f t="shared" si="195"/>
        <v>5.6140155606467401E-2</v>
      </c>
    </row>
    <row r="154" spans="2:22" x14ac:dyDescent="0.3">
      <c r="B154">
        <v>10</v>
      </c>
      <c r="C154">
        <v>-15788</v>
      </c>
      <c r="D154">
        <v>21312.2</v>
      </c>
      <c r="E154">
        <v>12449.5</v>
      </c>
      <c r="F154">
        <f t="shared" si="192"/>
        <v>2.1312199999999999</v>
      </c>
      <c r="G154">
        <f t="shared" si="193"/>
        <v>-1.5788</v>
      </c>
      <c r="H154">
        <f t="shared" si="194"/>
        <v>3.7100200000000001</v>
      </c>
      <c r="I154">
        <f t="shared" si="196"/>
        <v>1.24495</v>
      </c>
      <c r="K154" s="67"/>
      <c r="L154" s="5">
        <v>-94.399999999999991</v>
      </c>
      <c r="M154" s="5">
        <f t="shared" si="203"/>
        <v>3.8000000000000114</v>
      </c>
      <c r="N154" s="5">
        <f t="shared" si="197"/>
        <v>76.025152245972833</v>
      </c>
      <c r="O154" s="5">
        <f t="shared" si="198"/>
        <v>4.0202993378190235E-2</v>
      </c>
      <c r="P154" s="4">
        <v>14</v>
      </c>
      <c r="Q154" s="5">
        <f t="shared" si="199"/>
        <v>3.7100200000000001</v>
      </c>
      <c r="R154" s="5">
        <f t="shared" si="199"/>
        <v>1.24495</v>
      </c>
      <c r="S154" s="5">
        <f t="shared" si="200"/>
        <v>0.88324976142857159</v>
      </c>
      <c r="T154" s="5">
        <f t="shared" si="201"/>
        <v>5.2994985685714292E-2</v>
      </c>
      <c r="U154" s="5">
        <f t="shared" si="202"/>
        <v>0.12099311800391392</v>
      </c>
      <c r="V154" s="5">
        <f t="shared" si="195"/>
        <v>4.0202993378190235E-2</v>
      </c>
    </row>
    <row r="155" spans="2:22" ht="15" thickBot="1" x14ac:dyDescent="0.35">
      <c r="B155">
        <v>11</v>
      </c>
      <c r="C155">
        <v>-9436.7999999999993</v>
      </c>
      <c r="D155">
        <v>-7785.4</v>
      </c>
      <c r="E155">
        <v>11094.8</v>
      </c>
      <c r="F155">
        <f t="shared" si="192"/>
        <v>-0.77854000000000001</v>
      </c>
      <c r="G155">
        <f t="shared" si="193"/>
        <v>-0.94367999999999996</v>
      </c>
      <c r="H155">
        <f t="shared" si="194"/>
        <v>0.16513999999999995</v>
      </c>
      <c r="I155">
        <f t="shared" si="196"/>
        <v>1.10948</v>
      </c>
      <c r="K155" s="68"/>
      <c r="L155" s="6">
        <v>-93.3</v>
      </c>
      <c r="M155" s="6">
        <f t="shared" si="203"/>
        <v>4.9000000000000057</v>
      </c>
      <c r="N155" s="6">
        <f t="shared" si="197"/>
        <v>94.671337139281746</v>
      </c>
      <c r="O155" s="6">
        <f t="shared" si="198"/>
        <v>2.5926026770901511E-2</v>
      </c>
      <c r="P155" s="7">
        <v>21</v>
      </c>
      <c r="Q155" s="6">
        <f t="shared" si="199"/>
        <v>0.16513999999999995</v>
      </c>
      <c r="R155" s="6">
        <f t="shared" si="199"/>
        <v>1.10948</v>
      </c>
      <c r="S155" s="6">
        <f t="shared" si="200"/>
        <v>2.6210077142857134E-2</v>
      </c>
      <c r="T155" s="6">
        <f t="shared" si="201"/>
        <v>1.572604628571428E-3</v>
      </c>
      <c r="U155" s="6">
        <f t="shared" si="202"/>
        <v>3.5904215264187856E-3</v>
      </c>
      <c r="V155" s="6">
        <f t="shared" si="195"/>
        <v>2.5926026770901511E-2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-6593.3</v>
      </c>
      <c r="D159">
        <v>24546.9</v>
      </c>
      <c r="E159">
        <v>7065.7</v>
      </c>
      <c r="F159">
        <f t="shared" ref="F159:F169" si="204">D159/10000</f>
        <v>2.4546900000000003</v>
      </c>
      <c r="G159">
        <f t="shared" ref="G159:G169" si="205">C159/10000</f>
        <v>-0.65932999999999997</v>
      </c>
      <c r="H159">
        <f t="shared" ref="H159:H169" si="206">F159-G159</f>
        <v>3.11402</v>
      </c>
      <c r="I159">
        <f>E159/10000</f>
        <v>0.70657000000000003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0.39641840508011328</v>
      </c>
      <c r="P159" s="2">
        <v>3</v>
      </c>
      <c r="Q159" s="8">
        <f>H159</f>
        <v>3.11402</v>
      </c>
      <c r="R159" s="8">
        <f>I159</f>
        <v>0.70657000000000003</v>
      </c>
      <c r="S159" s="8">
        <f>Q159/10^6*$Z$4*$Z$3/P159*10^12</f>
        <v>3.45967622</v>
      </c>
      <c r="T159" s="8">
        <f>S159*0.06</f>
        <v>0.20758057319999998</v>
      </c>
      <c r="U159" s="8">
        <f>S159/$Z$1</f>
        <v>0.47392824931506849</v>
      </c>
      <c r="V159" s="12">
        <f t="shared" ref="V159:V169" si="207">O159</f>
        <v>0.39641840508011328</v>
      </c>
    </row>
    <row r="160" spans="2:22" x14ac:dyDescent="0.3">
      <c r="B160">
        <v>2</v>
      </c>
      <c r="C160">
        <v>-8239.4</v>
      </c>
      <c r="D160">
        <v>21774.400000000001</v>
      </c>
      <c r="E160">
        <v>7081.8</v>
      </c>
      <c r="F160">
        <f t="shared" si="204"/>
        <v>2.1774400000000003</v>
      </c>
      <c r="G160">
        <f t="shared" si="205"/>
        <v>-0.82394000000000001</v>
      </c>
      <c r="H160">
        <f t="shared" si="206"/>
        <v>3.0013800000000002</v>
      </c>
      <c r="I160">
        <f t="shared" ref="I160:I169" si="208">E160/10000</f>
        <v>0.70818000000000003</v>
      </c>
      <c r="K160" s="67"/>
      <c r="L160" s="3">
        <v>-98</v>
      </c>
      <c r="M160" s="5">
        <f>L160+98.2</f>
        <v>0.20000000000000284</v>
      </c>
      <c r="N160" s="5">
        <f t="shared" ref="N160:N169" si="209">20.56036*SQRT(1+((L160-(-98.58903))*1.03*1095.70644/(3.14159*20.56036^2))^2)</f>
        <v>22.992351577801337</v>
      </c>
      <c r="O160" s="5">
        <f t="shared" ref="O160:O169" si="210">2*$Z$1/$Z$2/PI()/(N160*10^-4)^2/$K$159/$Z$7</f>
        <v>0.35163831561970921</v>
      </c>
      <c r="P160" s="4">
        <v>3</v>
      </c>
      <c r="Q160" s="5">
        <f t="shared" ref="Q160:R169" si="211">H160</f>
        <v>3.0013800000000002</v>
      </c>
      <c r="R160" s="5">
        <f t="shared" si="211"/>
        <v>0.70818000000000003</v>
      </c>
      <c r="S160" s="5">
        <f t="shared" ref="S160:S169" si="212">Q160/10^6*$Z$4*$Z$3/P160*10^12</f>
        <v>3.3345331800000002</v>
      </c>
      <c r="T160" s="5">
        <f t="shared" ref="T160:T169" si="213">S160*0.06</f>
        <v>0.20007199080000002</v>
      </c>
      <c r="U160" s="5">
        <f t="shared" ref="U160:U169" si="214">S160/$Z$1</f>
        <v>0.45678536712328771</v>
      </c>
      <c r="V160" s="5">
        <f t="shared" si="207"/>
        <v>0.35163831561970921</v>
      </c>
    </row>
    <row r="161" spans="2:22" x14ac:dyDescent="0.3">
      <c r="B161">
        <v>3</v>
      </c>
      <c r="C161">
        <v>-8148</v>
      </c>
      <c r="D161">
        <v>22242.7</v>
      </c>
      <c r="E161">
        <v>7379.4</v>
      </c>
      <c r="F161">
        <f t="shared" si="204"/>
        <v>2.2242700000000002</v>
      </c>
      <c r="G161">
        <f t="shared" si="205"/>
        <v>-0.81479999999999997</v>
      </c>
      <c r="H161">
        <f t="shared" si="206"/>
        <v>3.0390700000000002</v>
      </c>
      <c r="I161">
        <f t="shared" si="208"/>
        <v>0.73793999999999993</v>
      </c>
      <c r="K161" s="67"/>
      <c r="L161" s="3">
        <v>-97.8</v>
      </c>
      <c r="M161" s="5">
        <f t="shared" ref="M161:M169" si="215">L161+98.2</f>
        <v>0.40000000000000568</v>
      </c>
      <c r="N161" s="5">
        <f t="shared" si="209"/>
        <v>24.754552179927092</v>
      </c>
      <c r="O161" s="5">
        <f t="shared" si="210"/>
        <v>0.30335616548294025</v>
      </c>
      <c r="P161" s="4">
        <v>3</v>
      </c>
      <c r="Q161" s="5">
        <f t="shared" si="211"/>
        <v>3.0390700000000002</v>
      </c>
      <c r="R161" s="5">
        <f t="shared" si="211"/>
        <v>0.73793999999999993</v>
      </c>
      <c r="S161" s="5">
        <f t="shared" si="212"/>
        <v>3.3764067700000004</v>
      </c>
      <c r="T161" s="5">
        <f t="shared" si="213"/>
        <v>0.20258440620000001</v>
      </c>
      <c r="U161" s="5">
        <f t="shared" si="214"/>
        <v>0.46252147534246585</v>
      </c>
      <c r="V161" s="5">
        <f t="shared" si="207"/>
        <v>0.30335616548294025</v>
      </c>
    </row>
    <row r="162" spans="2:22" x14ac:dyDescent="0.3">
      <c r="B162">
        <v>4</v>
      </c>
      <c r="C162">
        <v>-11837.4</v>
      </c>
      <c r="D162">
        <v>22042.5</v>
      </c>
      <c r="E162">
        <v>8335.2000000000007</v>
      </c>
      <c r="F162">
        <f t="shared" si="204"/>
        <v>2.20425</v>
      </c>
      <c r="G162">
        <f t="shared" si="205"/>
        <v>-1.18374</v>
      </c>
      <c r="H162">
        <f t="shared" si="206"/>
        <v>3.3879900000000003</v>
      </c>
      <c r="I162">
        <f t="shared" si="208"/>
        <v>0.83352000000000004</v>
      </c>
      <c r="K162" s="67"/>
      <c r="L162" s="3">
        <v>-97.2</v>
      </c>
      <c r="M162" s="5">
        <f t="shared" si="215"/>
        <v>1</v>
      </c>
      <c r="N162" s="5">
        <f t="shared" si="209"/>
        <v>31.807899949628325</v>
      </c>
      <c r="O162" s="5">
        <f t="shared" si="210"/>
        <v>0.18373546003780553</v>
      </c>
      <c r="P162" s="4">
        <v>3</v>
      </c>
      <c r="Q162" s="5">
        <f t="shared" si="211"/>
        <v>3.3879900000000003</v>
      </c>
      <c r="R162" s="5">
        <f t="shared" si="211"/>
        <v>0.83352000000000004</v>
      </c>
      <c r="S162" s="5">
        <f t="shared" si="212"/>
        <v>3.7640568900000004</v>
      </c>
      <c r="T162" s="5">
        <f t="shared" si="213"/>
        <v>0.22584341340000003</v>
      </c>
      <c r="U162" s="5">
        <f t="shared" si="214"/>
        <v>0.51562423150684944</v>
      </c>
      <c r="V162" s="5">
        <f t="shared" si="207"/>
        <v>0.18373546003780553</v>
      </c>
    </row>
    <row r="163" spans="2:22" x14ac:dyDescent="0.3">
      <c r="B163">
        <v>5</v>
      </c>
      <c r="C163">
        <v>-14103.7</v>
      </c>
      <c r="D163">
        <v>15229.8</v>
      </c>
      <c r="E163">
        <v>6243.6</v>
      </c>
      <c r="F163">
        <f t="shared" si="204"/>
        <v>1.52298</v>
      </c>
      <c r="G163">
        <f t="shared" si="205"/>
        <v>-1.4103700000000001</v>
      </c>
      <c r="H163">
        <f t="shared" si="206"/>
        <v>2.9333499999999999</v>
      </c>
      <c r="I163">
        <f t="shared" si="208"/>
        <v>0.62436000000000003</v>
      </c>
      <c r="K163" s="67"/>
      <c r="L163" s="3">
        <v>-96.8</v>
      </c>
      <c r="M163" s="5">
        <f t="shared" si="215"/>
        <v>1.4000000000000057</v>
      </c>
      <c r="N163" s="5">
        <f t="shared" si="209"/>
        <v>37.414240753916886</v>
      </c>
      <c r="O163" s="5">
        <f t="shared" si="210"/>
        <v>0.13279725603283063</v>
      </c>
      <c r="P163" s="4">
        <v>3</v>
      </c>
      <c r="Q163" s="5">
        <f t="shared" si="211"/>
        <v>2.9333499999999999</v>
      </c>
      <c r="R163" s="5">
        <f t="shared" si="211"/>
        <v>0.62436000000000003</v>
      </c>
      <c r="S163" s="5">
        <f t="shared" si="212"/>
        <v>3.2589518499999999</v>
      </c>
      <c r="T163" s="5">
        <f t="shared" si="213"/>
        <v>0.19553711099999999</v>
      </c>
      <c r="U163" s="5">
        <f t="shared" si="214"/>
        <v>0.44643176027397258</v>
      </c>
      <c r="V163" s="5">
        <f t="shared" si="207"/>
        <v>0.13279725603283063</v>
      </c>
    </row>
    <row r="164" spans="2:22" x14ac:dyDescent="0.3">
      <c r="B164">
        <v>6</v>
      </c>
      <c r="C164">
        <v>-10024.6</v>
      </c>
      <c r="D164">
        <v>17056.5</v>
      </c>
      <c r="E164">
        <v>12461.9</v>
      </c>
      <c r="F164">
        <f t="shared" si="204"/>
        <v>1.7056500000000001</v>
      </c>
      <c r="G164">
        <f t="shared" si="205"/>
        <v>-1.0024600000000001</v>
      </c>
      <c r="H164">
        <f t="shared" si="206"/>
        <v>2.7081100000000005</v>
      </c>
      <c r="I164">
        <f t="shared" si="208"/>
        <v>1.2461899999999999</v>
      </c>
      <c r="K164" s="67"/>
      <c r="L164" s="3">
        <v>-96.3</v>
      </c>
      <c r="M164" s="5">
        <f t="shared" si="215"/>
        <v>1.9000000000000057</v>
      </c>
      <c r="N164" s="5">
        <f t="shared" si="209"/>
        <v>44.970060517830404</v>
      </c>
      <c r="O164" s="5">
        <f t="shared" si="210"/>
        <v>9.1921273043951326E-2</v>
      </c>
      <c r="P164" s="4">
        <v>4</v>
      </c>
      <c r="Q164" s="5">
        <f t="shared" si="211"/>
        <v>2.7081100000000005</v>
      </c>
      <c r="R164" s="5">
        <f t="shared" si="211"/>
        <v>1.2461899999999999</v>
      </c>
      <c r="S164" s="5">
        <f t="shared" si="212"/>
        <v>2.2565326575000006</v>
      </c>
      <c r="T164" s="5">
        <f t="shared" si="213"/>
        <v>0.13539195945000004</v>
      </c>
      <c r="U164" s="5">
        <f t="shared" si="214"/>
        <v>0.30911406267123298</v>
      </c>
      <c r="V164" s="5">
        <f t="shared" si="207"/>
        <v>9.1921273043951326E-2</v>
      </c>
    </row>
    <row r="165" spans="2:22" x14ac:dyDescent="0.3">
      <c r="B165">
        <v>7</v>
      </c>
      <c r="C165">
        <v>-12328.6</v>
      </c>
      <c r="D165">
        <v>9043.7999999999993</v>
      </c>
      <c r="E165">
        <v>11115</v>
      </c>
      <c r="F165">
        <f t="shared" si="204"/>
        <v>0.90437999999999996</v>
      </c>
      <c r="G165">
        <f t="shared" si="205"/>
        <v>-1.2328600000000001</v>
      </c>
      <c r="H165">
        <f t="shared" si="206"/>
        <v>2.1372400000000003</v>
      </c>
      <c r="I165">
        <f t="shared" si="208"/>
        <v>1.1114999999999999</v>
      </c>
      <c r="K165" s="67"/>
      <c r="L165" s="3">
        <v>-95.8</v>
      </c>
      <c r="M165" s="5">
        <f t="shared" si="215"/>
        <v>2.4000000000000057</v>
      </c>
      <c r="N165" s="5">
        <f t="shared" si="209"/>
        <v>52.890724234957723</v>
      </c>
      <c r="O165" s="5">
        <f t="shared" si="210"/>
        <v>6.645137116820346E-2</v>
      </c>
      <c r="P165" s="4">
        <v>4</v>
      </c>
      <c r="Q165" s="5">
        <f t="shared" si="211"/>
        <v>2.1372400000000003</v>
      </c>
      <c r="R165" s="5">
        <f t="shared" si="211"/>
        <v>1.1114999999999999</v>
      </c>
      <c r="S165" s="5">
        <f t="shared" si="212"/>
        <v>1.7808552300000005</v>
      </c>
      <c r="T165" s="5">
        <f t="shared" si="213"/>
        <v>0.10685131380000003</v>
      </c>
      <c r="U165" s="5">
        <f t="shared" si="214"/>
        <v>0.24395277123287679</v>
      </c>
      <c r="V165" s="5">
        <f t="shared" si="207"/>
        <v>6.645137116820346E-2</v>
      </c>
    </row>
    <row r="166" spans="2:22" x14ac:dyDescent="0.3">
      <c r="B166">
        <v>8</v>
      </c>
      <c r="C166">
        <v>-9351.6</v>
      </c>
      <c r="D166">
        <v>7520.3</v>
      </c>
      <c r="E166">
        <v>11784.5</v>
      </c>
      <c r="F166">
        <f t="shared" si="204"/>
        <v>0.75202999999999998</v>
      </c>
      <c r="G166">
        <f t="shared" si="205"/>
        <v>-0.93515999999999999</v>
      </c>
      <c r="H166">
        <f t="shared" si="206"/>
        <v>1.68719</v>
      </c>
      <c r="I166">
        <f t="shared" si="208"/>
        <v>1.17845</v>
      </c>
      <c r="K166" s="67"/>
      <c r="L166" s="3">
        <v>-95.5</v>
      </c>
      <c r="M166" s="5">
        <f t="shared" si="215"/>
        <v>2.7000000000000028</v>
      </c>
      <c r="N166" s="5">
        <f t="shared" si="209"/>
        <v>57.756125383651771</v>
      </c>
      <c r="O166" s="5">
        <f t="shared" si="210"/>
        <v>5.5727155185762378E-2</v>
      </c>
      <c r="P166" s="4">
        <v>5</v>
      </c>
      <c r="Q166" s="5">
        <f t="shared" si="211"/>
        <v>1.68719</v>
      </c>
      <c r="R166" s="5">
        <f t="shared" si="211"/>
        <v>1.17845</v>
      </c>
      <c r="S166" s="5">
        <f t="shared" si="212"/>
        <v>1.124680854</v>
      </c>
      <c r="T166" s="5">
        <f t="shared" si="213"/>
        <v>6.748085124E-2</v>
      </c>
      <c r="U166" s="5">
        <f t="shared" si="214"/>
        <v>0.1540658704109589</v>
      </c>
      <c r="V166" s="5">
        <f t="shared" si="207"/>
        <v>5.5727155185762378E-2</v>
      </c>
    </row>
    <row r="167" spans="2:22" x14ac:dyDescent="0.3">
      <c r="B167">
        <v>9</v>
      </c>
      <c r="C167">
        <v>-3283.8</v>
      </c>
      <c r="D167">
        <v>11659.5</v>
      </c>
      <c r="E167">
        <v>10616.7</v>
      </c>
      <c r="F167">
        <f t="shared" si="204"/>
        <v>1.16595</v>
      </c>
      <c r="G167">
        <f t="shared" si="205"/>
        <v>-0.32838000000000001</v>
      </c>
      <c r="H167">
        <f t="shared" si="206"/>
        <v>1.4943300000000002</v>
      </c>
      <c r="I167">
        <f t="shared" si="208"/>
        <v>1.0616700000000001</v>
      </c>
      <c r="K167" s="67"/>
      <c r="L167" s="5">
        <v>-95.1</v>
      </c>
      <c r="M167" s="5">
        <f t="shared" si="215"/>
        <v>3.1000000000000085</v>
      </c>
      <c r="N167" s="5">
        <f t="shared" si="209"/>
        <v>64.335352920706185</v>
      </c>
      <c r="O167" s="5">
        <f t="shared" si="210"/>
        <v>4.491212448517392E-2</v>
      </c>
      <c r="P167" s="4">
        <v>8</v>
      </c>
      <c r="Q167" s="5">
        <f t="shared" si="211"/>
        <v>1.4943300000000002</v>
      </c>
      <c r="R167" s="5">
        <f t="shared" si="211"/>
        <v>1.0616700000000001</v>
      </c>
      <c r="S167" s="5">
        <f t="shared" si="212"/>
        <v>0.62257523625000022</v>
      </c>
      <c r="T167" s="5">
        <f t="shared" si="213"/>
        <v>3.7354514175000013E-2</v>
      </c>
      <c r="U167" s="5">
        <f t="shared" si="214"/>
        <v>8.5284278938356203E-2</v>
      </c>
      <c r="V167" s="5">
        <f t="shared" si="207"/>
        <v>4.491212448517392E-2</v>
      </c>
    </row>
    <row r="168" spans="2:22" x14ac:dyDescent="0.3">
      <c r="B168">
        <v>10</v>
      </c>
      <c r="C168">
        <v>-5650.5</v>
      </c>
      <c r="D168">
        <v>34896.5</v>
      </c>
      <c r="E168">
        <v>12358.6</v>
      </c>
      <c r="F168">
        <f t="shared" si="204"/>
        <v>3.4896500000000001</v>
      </c>
      <c r="G168">
        <f t="shared" si="205"/>
        <v>-0.56505000000000005</v>
      </c>
      <c r="H168">
        <f t="shared" si="206"/>
        <v>4.0547000000000004</v>
      </c>
      <c r="I168">
        <f t="shared" si="208"/>
        <v>1.23586</v>
      </c>
      <c r="K168" s="67"/>
      <c r="L168" s="5">
        <v>-94.399999999999991</v>
      </c>
      <c r="M168" s="5">
        <f t="shared" si="215"/>
        <v>3.8000000000000114</v>
      </c>
      <c r="N168" s="5">
        <f t="shared" si="209"/>
        <v>76.025152245972833</v>
      </c>
      <c r="O168" s="5">
        <f t="shared" si="210"/>
        <v>3.2162394702552187E-2</v>
      </c>
      <c r="P168" s="4">
        <v>14</v>
      </c>
      <c r="Q168" s="5">
        <f t="shared" si="211"/>
        <v>4.0547000000000004</v>
      </c>
      <c r="R168" s="5">
        <f t="shared" si="211"/>
        <v>1.23586</v>
      </c>
      <c r="S168" s="5">
        <f t="shared" si="212"/>
        <v>0.96530822142857164</v>
      </c>
      <c r="T168" s="5">
        <f t="shared" si="213"/>
        <v>5.7918493285714294E-2</v>
      </c>
      <c r="U168" s="5">
        <f t="shared" si="214"/>
        <v>0.13223400293542079</v>
      </c>
      <c r="V168" s="5">
        <f t="shared" si="207"/>
        <v>3.2162394702552187E-2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204"/>
        <v>0</v>
      </c>
      <c r="G169">
        <f t="shared" si="205"/>
        <v>0</v>
      </c>
      <c r="H169">
        <f t="shared" si="206"/>
        <v>0</v>
      </c>
      <c r="I169">
        <f t="shared" si="208"/>
        <v>0</v>
      </c>
      <c r="K169" s="68"/>
      <c r="L169" s="6">
        <v>-93.3</v>
      </c>
      <c r="M169" s="6">
        <f t="shared" si="215"/>
        <v>4.9000000000000057</v>
      </c>
      <c r="N169" s="6">
        <f t="shared" si="209"/>
        <v>94.671337139281746</v>
      </c>
      <c r="O169" s="6">
        <f t="shared" si="210"/>
        <v>2.0740821416721209E-2</v>
      </c>
      <c r="P169" s="7">
        <v>21</v>
      </c>
      <c r="Q169" s="6">
        <f t="shared" si="211"/>
        <v>0</v>
      </c>
      <c r="R169" s="6">
        <f t="shared" si="211"/>
        <v>0</v>
      </c>
      <c r="S169" s="6">
        <f t="shared" si="212"/>
        <v>0</v>
      </c>
      <c r="T169" s="6">
        <f t="shared" si="213"/>
        <v>0</v>
      </c>
      <c r="U169" s="6">
        <f t="shared" si="214"/>
        <v>0</v>
      </c>
      <c r="V169" s="6">
        <f t="shared" si="207"/>
        <v>2.0740821416721209E-2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CQ170"/>
  <sheetViews>
    <sheetView topLeftCell="K1" zoomScale="85" zoomScaleNormal="85" workbookViewId="0">
      <selection activeCell="AK83" sqref="AK83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5292.8</v>
      </c>
      <c r="D5">
        <v>66950</v>
      </c>
      <c r="E5">
        <v>6525.8</v>
      </c>
      <c r="F5">
        <f t="shared" ref="F5:F15" si="0">D5/10000</f>
        <v>6.6950000000000003</v>
      </c>
      <c r="G5">
        <f t="shared" ref="G5:G15" si="1">C5/10000</f>
        <v>0.52927999999999997</v>
      </c>
      <c r="H5">
        <f t="shared" ref="H5:H15" si="2">F5-G5</f>
        <v>6.1657200000000003</v>
      </c>
      <c r="I5">
        <f>E5/10000</f>
        <v>0.65258000000000005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2.477615031750708</v>
      </c>
      <c r="P5" s="2">
        <v>3</v>
      </c>
      <c r="Q5" s="8">
        <f>H5</f>
        <v>6.1657200000000003</v>
      </c>
      <c r="R5" s="8">
        <f>I5</f>
        <v>0.65258000000000005</v>
      </c>
      <c r="S5" s="8">
        <f>Q5/10^6*$Z$4*$Z$3/P5*10^12</f>
        <v>6.8501149200000011</v>
      </c>
      <c r="T5" s="8">
        <f>S5*0.06</f>
        <v>0.41100689520000006</v>
      </c>
      <c r="U5" s="8">
        <f>S5/$Z$1</f>
        <v>0.93837190684931526</v>
      </c>
      <c r="V5" s="12">
        <f t="shared" ref="V5:V15" si="4">O5</f>
        <v>2.477615031750708</v>
      </c>
    </row>
    <row r="6" spans="2:95" x14ac:dyDescent="0.3">
      <c r="B6">
        <v>2</v>
      </c>
      <c r="C6">
        <v>6771.3</v>
      </c>
      <c r="D6">
        <v>66259.7</v>
      </c>
      <c r="E6">
        <v>6885.1</v>
      </c>
      <c r="F6">
        <f t="shared" si="0"/>
        <v>6.6259699999999997</v>
      </c>
      <c r="G6">
        <f t="shared" si="1"/>
        <v>0.67713000000000001</v>
      </c>
      <c r="H6">
        <f t="shared" si="2"/>
        <v>5.9488399999999997</v>
      </c>
      <c r="I6">
        <f t="shared" ref="I6:I15" si="5">E6/10000</f>
        <v>0.68851000000000007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2.1977394726231827</v>
      </c>
      <c r="P6" s="4">
        <v>3</v>
      </c>
      <c r="Q6" s="5">
        <f t="shared" ref="Q6:R15" si="7">H6</f>
        <v>5.9488399999999997</v>
      </c>
      <c r="R6" s="5">
        <f t="shared" si="7"/>
        <v>0.68851000000000007</v>
      </c>
      <c r="S6" s="5">
        <f t="shared" ref="S6:S15" si="8">Q6/10^6*$Z$4*$Z$3/P6*10^12</f>
        <v>6.6091612399999997</v>
      </c>
      <c r="T6" s="5">
        <f t="shared" ref="T6:T15" si="9">S6*0.06</f>
        <v>0.39654967439999994</v>
      </c>
      <c r="U6" s="5">
        <f t="shared" ref="U6:U15" si="10">S6/$Z$1</f>
        <v>0.90536455342465749</v>
      </c>
      <c r="V6" s="5">
        <f t="shared" si="4"/>
        <v>2.1977394726231827</v>
      </c>
    </row>
    <row r="7" spans="2:95" x14ac:dyDescent="0.3">
      <c r="B7">
        <v>3</v>
      </c>
      <c r="C7">
        <v>7961</v>
      </c>
      <c r="D7">
        <v>80161.399999999994</v>
      </c>
      <c r="E7">
        <v>4352.1000000000004</v>
      </c>
      <c r="F7">
        <f t="shared" si="0"/>
        <v>8.01614</v>
      </c>
      <c r="G7">
        <f t="shared" si="1"/>
        <v>0.79610000000000003</v>
      </c>
      <c r="H7">
        <f t="shared" si="2"/>
        <v>7.22004</v>
      </c>
      <c r="I7">
        <f t="shared" si="5"/>
        <v>0.43521000000000004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1.8959760342683765</v>
      </c>
      <c r="P7" s="4">
        <v>3</v>
      </c>
      <c r="Q7" s="5">
        <f t="shared" si="7"/>
        <v>7.22004</v>
      </c>
      <c r="R7" s="5">
        <f t="shared" si="7"/>
        <v>0.43521000000000004</v>
      </c>
      <c r="S7" s="5">
        <f t="shared" si="8"/>
        <v>8.0214644400000008</v>
      </c>
      <c r="T7" s="5">
        <f t="shared" si="9"/>
        <v>0.48128786640000004</v>
      </c>
      <c r="U7" s="5">
        <f t="shared" si="10"/>
        <v>1.0988307452054795</v>
      </c>
      <c r="V7" s="5">
        <f t="shared" si="4"/>
        <v>1.8959760342683765</v>
      </c>
      <c r="Y7" t="s">
        <v>41</v>
      </c>
      <c r="Z7">
        <v>2</v>
      </c>
    </row>
    <row r="8" spans="2:95" x14ac:dyDescent="0.3">
      <c r="B8">
        <v>4</v>
      </c>
      <c r="C8">
        <v>13377.1</v>
      </c>
      <c r="D8">
        <v>94436.3</v>
      </c>
      <c r="E8">
        <v>5687.1</v>
      </c>
      <c r="F8">
        <f t="shared" si="0"/>
        <v>9.4436300000000006</v>
      </c>
      <c r="G8">
        <f t="shared" si="1"/>
        <v>1.33771</v>
      </c>
      <c r="H8">
        <f t="shared" si="2"/>
        <v>8.1059200000000011</v>
      </c>
      <c r="I8">
        <f t="shared" si="5"/>
        <v>0.56871000000000005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1.1483466252362846</v>
      </c>
      <c r="P8" s="4">
        <v>3</v>
      </c>
      <c r="Q8" s="5">
        <f t="shared" si="7"/>
        <v>8.1059200000000011</v>
      </c>
      <c r="R8" s="5">
        <f t="shared" si="7"/>
        <v>0.56871000000000005</v>
      </c>
      <c r="S8" s="5">
        <f t="shared" si="8"/>
        <v>9.0056771200000014</v>
      </c>
      <c r="T8" s="5">
        <f t="shared" si="9"/>
        <v>0.54034062720000009</v>
      </c>
      <c r="U8" s="5">
        <f t="shared" si="10"/>
        <v>1.2336544000000003</v>
      </c>
      <c r="V8" s="5">
        <f t="shared" si="4"/>
        <v>1.1483466252362846</v>
      </c>
    </row>
    <row r="9" spans="2:95" x14ac:dyDescent="0.3">
      <c r="B9">
        <v>5</v>
      </c>
      <c r="C9">
        <v>12479.9</v>
      </c>
      <c r="D9">
        <v>96251.199999999997</v>
      </c>
      <c r="E9">
        <v>5336.7</v>
      </c>
      <c r="F9">
        <f t="shared" si="0"/>
        <v>9.625119999999999</v>
      </c>
      <c r="G9">
        <f t="shared" si="1"/>
        <v>1.2479899999999999</v>
      </c>
      <c r="H9">
        <f t="shared" si="2"/>
        <v>8.3771299999999993</v>
      </c>
      <c r="I9">
        <f t="shared" si="5"/>
        <v>0.53366999999999998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0.82998285020519136</v>
      </c>
      <c r="P9" s="4">
        <v>3</v>
      </c>
      <c r="Q9" s="5">
        <f t="shared" si="7"/>
        <v>8.3771299999999993</v>
      </c>
      <c r="R9" s="5">
        <f t="shared" si="7"/>
        <v>0.53366999999999998</v>
      </c>
      <c r="S9" s="5">
        <f t="shared" si="8"/>
        <v>9.3069914299999965</v>
      </c>
      <c r="T9" s="5">
        <f t="shared" si="9"/>
        <v>0.55841948579999978</v>
      </c>
      <c r="U9" s="5">
        <f t="shared" si="10"/>
        <v>1.2749303328767119</v>
      </c>
      <c r="V9" s="5">
        <f t="shared" si="4"/>
        <v>0.82998285020519136</v>
      </c>
    </row>
    <row r="10" spans="2:95" ht="15" thickBot="1" x14ac:dyDescent="0.35">
      <c r="B10">
        <v>6</v>
      </c>
      <c r="C10">
        <v>15073.6</v>
      </c>
      <c r="D10">
        <v>123473.7</v>
      </c>
      <c r="E10">
        <v>6420</v>
      </c>
      <c r="F10">
        <f t="shared" si="0"/>
        <v>12.34737</v>
      </c>
      <c r="G10">
        <f t="shared" si="1"/>
        <v>1.50736</v>
      </c>
      <c r="H10">
        <f t="shared" si="2"/>
        <v>10.840009999999999</v>
      </c>
      <c r="I10">
        <f t="shared" si="5"/>
        <v>0.64200000000000002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0.57450795652469577</v>
      </c>
      <c r="P10" s="4">
        <v>4</v>
      </c>
      <c r="Q10" s="5">
        <f t="shared" si="7"/>
        <v>10.840009999999999</v>
      </c>
      <c r="R10" s="5">
        <f t="shared" si="7"/>
        <v>0.64200000000000002</v>
      </c>
      <c r="S10" s="5">
        <f t="shared" si="8"/>
        <v>9.0324383325000017</v>
      </c>
      <c r="T10" s="5">
        <f t="shared" si="9"/>
        <v>0.5419462999500001</v>
      </c>
      <c r="U10" s="5">
        <f t="shared" si="10"/>
        <v>1.2373203195205482</v>
      </c>
      <c r="V10" s="5">
        <f t="shared" si="4"/>
        <v>0.57450795652469577</v>
      </c>
    </row>
    <row r="11" spans="2:95" ht="15.6" thickTop="1" thickBot="1" x14ac:dyDescent="0.35">
      <c r="B11">
        <v>7</v>
      </c>
      <c r="C11">
        <v>13221.9</v>
      </c>
      <c r="D11">
        <v>114689.2</v>
      </c>
      <c r="E11">
        <v>7471.3</v>
      </c>
      <c r="F11">
        <f t="shared" si="0"/>
        <v>11.468919999999999</v>
      </c>
      <c r="G11">
        <f t="shared" si="1"/>
        <v>1.32219</v>
      </c>
      <c r="H11">
        <f t="shared" si="2"/>
        <v>10.146729999999998</v>
      </c>
      <c r="I11">
        <f t="shared" si="5"/>
        <v>0.74713000000000007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0.41532106980127165</v>
      </c>
      <c r="P11" s="4">
        <v>4</v>
      </c>
      <c r="Q11" s="5">
        <f t="shared" si="7"/>
        <v>10.146729999999998</v>
      </c>
      <c r="R11" s="5">
        <f t="shared" si="7"/>
        <v>0.74713000000000007</v>
      </c>
      <c r="S11" s="5">
        <f t="shared" si="8"/>
        <v>8.454762772499997</v>
      </c>
      <c r="T11" s="5">
        <f t="shared" si="9"/>
        <v>0.50728576634999978</v>
      </c>
      <c r="U11" s="5">
        <f t="shared" si="10"/>
        <v>1.1581866811643833</v>
      </c>
      <c r="V11" s="5">
        <f t="shared" si="4"/>
        <v>0.41532106980127165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13775.8</v>
      </c>
      <c r="D12">
        <v>133616.20000000001</v>
      </c>
      <c r="E12">
        <v>4604.8999999999996</v>
      </c>
      <c r="F12">
        <f t="shared" si="0"/>
        <v>13.361620000000002</v>
      </c>
      <c r="G12">
        <f t="shared" si="1"/>
        <v>1.37758</v>
      </c>
      <c r="H12">
        <f t="shared" si="2"/>
        <v>11.984040000000002</v>
      </c>
      <c r="I12">
        <f t="shared" si="5"/>
        <v>0.46048999999999995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0.34829471991101485</v>
      </c>
      <c r="P12" s="4">
        <v>5</v>
      </c>
      <c r="Q12" s="5">
        <f t="shared" si="7"/>
        <v>11.984040000000002</v>
      </c>
      <c r="R12" s="5">
        <f t="shared" si="7"/>
        <v>0.46048999999999995</v>
      </c>
      <c r="S12" s="5">
        <f t="shared" si="8"/>
        <v>7.9885610640000007</v>
      </c>
      <c r="T12" s="5">
        <f t="shared" si="9"/>
        <v>0.47931366384000001</v>
      </c>
      <c r="U12" s="5">
        <f t="shared" si="10"/>
        <v>1.0943234334246577</v>
      </c>
      <c r="V12" s="5">
        <f t="shared" si="4"/>
        <v>0.34829471991101485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-4.9000000000000004</v>
      </c>
      <c r="D13">
        <v>148239.20000000001</v>
      </c>
      <c r="E13">
        <v>33150.5</v>
      </c>
      <c r="F13">
        <f t="shared" si="0"/>
        <v>14.823920000000001</v>
      </c>
      <c r="G13">
        <f t="shared" si="1"/>
        <v>-4.8999999999999998E-4</v>
      </c>
      <c r="H13">
        <f t="shared" si="2"/>
        <v>14.82441</v>
      </c>
      <c r="I13">
        <f t="shared" si="5"/>
        <v>3.3150499999999998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0.28070077803233701</v>
      </c>
      <c r="P13" s="4">
        <v>8</v>
      </c>
      <c r="Q13" s="5">
        <f t="shared" si="7"/>
        <v>14.82441</v>
      </c>
      <c r="R13" s="5">
        <f t="shared" si="7"/>
        <v>3.3150499999999998</v>
      </c>
      <c r="S13" s="5">
        <f t="shared" si="8"/>
        <v>6.1762198162499997</v>
      </c>
      <c r="T13" s="5">
        <f t="shared" si="9"/>
        <v>0.37057318897499997</v>
      </c>
      <c r="U13" s="5">
        <f t="shared" si="10"/>
        <v>0.8460575090753425</v>
      </c>
      <c r="V13" s="5">
        <f t="shared" si="4"/>
        <v>0.28070077803233701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7030.9</v>
      </c>
      <c r="D14">
        <v>194151.6</v>
      </c>
      <c r="E14">
        <v>24389</v>
      </c>
      <c r="F14">
        <f t="shared" si="0"/>
        <v>19.41516</v>
      </c>
      <c r="G14">
        <f t="shared" si="1"/>
        <v>0.70308999999999999</v>
      </c>
      <c r="H14">
        <f t="shared" si="2"/>
        <v>18.712070000000001</v>
      </c>
      <c r="I14">
        <f t="shared" si="5"/>
        <v>2.4388999999999998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0.20101496689095116</v>
      </c>
      <c r="P14" s="4">
        <v>14</v>
      </c>
      <c r="Q14" s="5">
        <f t="shared" si="7"/>
        <v>18.712070000000001</v>
      </c>
      <c r="R14" s="5">
        <f t="shared" si="7"/>
        <v>2.4388999999999998</v>
      </c>
      <c r="S14" s="5">
        <f t="shared" si="8"/>
        <v>4.4548092364285727</v>
      </c>
      <c r="T14" s="5">
        <f t="shared" si="9"/>
        <v>0.26728855418571434</v>
      </c>
      <c r="U14" s="5">
        <f t="shared" si="10"/>
        <v>0.61024784060665382</v>
      </c>
      <c r="V14" s="5">
        <f t="shared" si="4"/>
        <v>0.20101496689095116</v>
      </c>
      <c r="X14" s="31">
        <f t="shared" ref="X14:X24" si="12">O5</f>
        <v>2.477615031750708</v>
      </c>
      <c r="Y14" s="32">
        <f t="shared" ref="Y14:AA24" si="13">S5</f>
        <v>6.8501149200000011</v>
      </c>
      <c r="Z14" s="32">
        <f t="shared" si="13"/>
        <v>0.41100689520000006</v>
      </c>
      <c r="AA14" s="32">
        <f t="shared" si="13"/>
        <v>0.93837190684931526</v>
      </c>
      <c r="AB14" s="41">
        <f>I5/H5</f>
        <v>0.10584003165891413</v>
      </c>
      <c r="AC14" s="33">
        <f t="shared" ref="AC14:AC24" si="14">R5</f>
        <v>0.65258000000000005</v>
      </c>
      <c r="AD14" s="31">
        <f t="shared" ref="AD14:AD24" si="15">O19</f>
        <v>1.651743354500472</v>
      </c>
      <c r="AE14" s="32">
        <f t="shared" ref="AE14:AG24" si="16">S19</f>
        <v>5.2021797299999992</v>
      </c>
      <c r="AF14" s="32">
        <f t="shared" si="16"/>
        <v>0.31213078379999992</v>
      </c>
      <c r="AG14" s="32">
        <f t="shared" si="16"/>
        <v>0.71262736027397255</v>
      </c>
      <c r="AH14" s="41">
        <f>I19/H19</f>
        <v>0.13816543973962239</v>
      </c>
      <c r="AI14" s="33">
        <f>R19</f>
        <v>0.64695000000000003</v>
      </c>
      <c r="AJ14" s="31">
        <f t="shared" ref="AJ14:AJ24" si="17">O33</f>
        <v>1.238807515875354</v>
      </c>
      <c r="AK14" s="32">
        <f t="shared" ref="AK14:AM24" si="18">S33</f>
        <v>3.8410491899999992</v>
      </c>
      <c r="AL14" s="32">
        <f t="shared" si="18"/>
        <v>0.23046295139999995</v>
      </c>
      <c r="AM14" s="32">
        <f t="shared" si="18"/>
        <v>0.52617112191780813</v>
      </c>
      <c r="AN14" s="41">
        <f>I33/H33</f>
        <v>0.20081335381180057</v>
      </c>
      <c r="AO14" s="33">
        <f>R33</f>
        <v>0.69426999999999994</v>
      </c>
      <c r="AP14" s="31">
        <f t="shared" ref="AP14:AP24" si="19">O47</f>
        <v>0.99104601270028314</v>
      </c>
      <c r="AQ14" s="32">
        <f t="shared" ref="AQ14:AS24" si="20">S47</f>
        <v>3.7489472900000003</v>
      </c>
      <c r="AR14" s="32">
        <f t="shared" si="20"/>
        <v>0.22493683740000001</v>
      </c>
      <c r="AS14" s="32">
        <f t="shared" si="20"/>
        <v>0.51355442328767131</v>
      </c>
      <c r="AT14" s="41">
        <f>I47/H47</f>
        <v>0.18957500466751029</v>
      </c>
      <c r="AU14" s="33">
        <f>R47</f>
        <v>0.63970000000000005</v>
      </c>
      <c r="AV14" s="31">
        <f t="shared" ref="AV14:AV24" si="21">O61</f>
        <v>0.82587167725023602</v>
      </c>
      <c r="AW14" s="32">
        <f t="shared" ref="AW14:AY24" si="22">S61</f>
        <v>3.6734881700000002</v>
      </c>
      <c r="AX14" s="32">
        <f t="shared" si="22"/>
        <v>0.2204092902</v>
      </c>
      <c r="AY14" s="32">
        <f t="shared" si="22"/>
        <v>0.50321755753424657</v>
      </c>
      <c r="AZ14" s="41">
        <f>I61/H61</f>
        <v>0.20682480107183795</v>
      </c>
      <c r="BA14" s="33">
        <f>R61</f>
        <v>0.68386000000000002</v>
      </c>
      <c r="BB14" s="31">
        <f t="shared" ref="BB14:BB24" si="23">O75</f>
        <v>0.7078900090716308</v>
      </c>
      <c r="BC14" s="32">
        <f t="shared" ref="BC14:BE24" si="24">S75</f>
        <v>3.8948104800000003</v>
      </c>
      <c r="BD14" s="32">
        <f t="shared" si="24"/>
        <v>0.23368862880000002</v>
      </c>
      <c r="BE14" s="32">
        <f t="shared" si="24"/>
        <v>0.53353568219178082</v>
      </c>
      <c r="BF14" s="41">
        <f>I75/H75</f>
        <v>0.14209511421464593</v>
      </c>
      <c r="BG14" s="33">
        <f>R75</f>
        <v>0.49813999999999997</v>
      </c>
      <c r="BH14" s="31">
        <f t="shared" ref="BH14:BH24" si="25">O89</f>
        <v>0.61940375793767699</v>
      </c>
      <c r="BI14" s="32">
        <f t="shared" ref="BI14:BK24" si="26">S89</f>
        <v>4.1492183699999998</v>
      </c>
      <c r="BJ14" s="32">
        <f t="shared" si="26"/>
        <v>0.24895310219999997</v>
      </c>
      <c r="BK14" s="32">
        <f t="shared" si="26"/>
        <v>0.56838607808219177</v>
      </c>
      <c r="BL14" s="41">
        <f>I89/H89</f>
        <v>0.17545325289784641</v>
      </c>
      <c r="BM14" s="33">
        <f>R89</f>
        <v>0.65526000000000006</v>
      </c>
      <c r="BN14" s="31">
        <f t="shared" ref="BN14:BN23" si="27">O103</f>
        <v>0.55058111816682398</v>
      </c>
      <c r="BO14" s="32">
        <f t="shared" ref="BO14:BQ23" si="28">S103</f>
        <v>4.1604839099999991</v>
      </c>
      <c r="BP14" s="32">
        <f t="shared" si="28"/>
        <v>0.24962903459999994</v>
      </c>
      <c r="BQ14" s="32">
        <f t="shared" si="28"/>
        <v>0.56992930273972586</v>
      </c>
      <c r="BR14" s="41">
        <f>I103/H103</f>
        <v>0.15791989446727608</v>
      </c>
      <c r="BS14" s="33">
        <f>R103</f>
        <v>0.59138000000000002</v>
      </c>
      <c r="BT14" s="31">
        <f t="shared" ref="BT14:BT23" si="29">O117</f>
        <v>0.49552300635014157</v>
      </c>
      <c r="BU14" s="32">
        <f t="shared" ref="BU14:BW23" si="30">S117</f>
        <v>4.2527302399999991</v>
      </c>
      <c r="BV14" s="32">
        <f t="shared" si="30"/>
        <v>0.25516381439999991</v>
      </c>
      <c r="BW14" s="32">
        <f t="shared" si="30"/>
        <v>0.58256578630136979</v>
      </c>
      <c r="BX14" s="41">
        <f>I117/H117</f>
        <v>0.18227250877779638</v>
      </c>
      <c r="BY14" s="33">
        <f>R117</f>
        <v>0.69771000000000005</v>
      </c>
      <c r="BZ14" s="31">
        <f t="shared" ref="BZ14:BZ23" si="31">O131</f>
        <v>0.3303486709000944</v>
      </c>
      <c r="CA14" s="32">
        <f t="shared" ref="CA14:CC23" si="32">S131</f>
        <v>4.09807904</v>
      </c>
      <c r="CB14" s="32">
        <f t="shared" si="32"/>
        <v>0.24588474239999999</v>
      </c>
      <c r="CC14" s="32">
        <f t="shared" si="32"/>
        <v>0.56138069041095895</v>
      </c>
      <c r="CD14" s="41">
        <f>I131/H131</f>
        <v>0.18606315606836121</v>
      </c>
      <c r="CE14" s="33">
        <f>R131</f>
        <v>0.68631999999999993</v>
      </c>
      <c r="CF14" s="31">
        <f t="shared" ref="CF14:CF23" si="33">O145</f>
        <v>0.24776150317507079</v>
      </c>
      <c r="CG14" s="32">
        <f t="shared" ref="CG14:CI23" si="34">S145</f>
        <v>4.2143451899999995</v>
      </c>
      <c r="CH14" s="32">
        <f t="shared" si="34"/>
        <v>0.25286071139999994</v>
      </c>
      <c r="CI14" s="32">
        <f t="shared" si="34"/>
        <v>0.57730756027397256</v>
      </c>
      <c r="CJ14" s="41">
        <f>I145/H145</f>
        <v>0.20751115786032706</v>
      </c>
      <c r="CK14" s="33">
        <f>R145</f>
        <v>0.78715000000000002</v>
      </c>
      <c r="CL14" s="31">
        <f t="shared" ref="CL14:CL23" si="35">O159</f>
        <v>0.19820920254005664</v>
      </c>
      <c r="CM14" s="32">
        <f t="shared" ref="CM14:CO23" si="36">S159</f>
        <v>4.7359041399999997</v>
      </c>
      <c r="CN14" s="32">
        <f t="shared" si="36"/>
        <v>0.28415424839999998</v>
      </c>
      <c r="CO14" s="32">
        <f t="shared" si="36"/>
        <v>0.64875399178082194</v>
      </c>
      <c r="CP14" s="41">
        <f>I159/H159</f>
        <v>0.19434448265669499</v>
      </c>
      <c r="CQ14" s="33">
        <f>R159</f>
        <v>0.82843999999999995</v>
      </c>
    </row>
    <row r="15" spans="2:95" ht="15" thickBot="1" x14ac:dyDescent="0.35">
      <c r="B15">
        <v>11</v>
      </c>
      <c r="C15">
        <v>-3737.9</v>
      </c>
      <c r="D15">
        <v>224346.8</v>
      </c>
      <c r="E15">
        <v>52527.7</v>
      </c>
      <c r="F15">
        <f t="shared" si="0"/>
        <v>22.43468</v>
      </c>
      <c r="G15">
        <f t="shared" si="1"/>
        <v>-0.37379000000000001</v>
      </c>
      <c r="H15">
        <f t="shared" si="2"/>
        <v>22.80847</v>
      </c>
      <c r="I15">
        <f t="shared" si="5"/>
        <v>5.2527699999999999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0.12963013385450756</v>
      </c>
      <c r="P15" s="7">
        <v>21</v>
      </c>
      <c r="Q15" s="6">
        <f t="shared" si="7"/>
        <v>22.80847</v>
      </c>
      <c r="R15" s="6">
        <f t="shared" si="7"/>
        <v>5.2527699999999999</v>
      </c>
      <c r="S15" s="6">
        <f t="shared" si="8"/>
        <v>3.6200300242857142</v>
      </c>
      <c r="T15" s="6">
        <f t="shared" si="9"/>
        <v>0.21720180145714285</v>
      </c>
      <c r="U15" s="6">
        <f t="shared" si="10"/>
        <v>0.49589452387475536</v>
      </c>
      <c r="V15" s="6">
        <f t="shared" si="4"/>
        <v>0.12963013385450756</v>
      </c>
      <c r="X15" s="34">
        <f t="shared" si="12"/>
        <v>2.1977394726231827</v>
      </c>
      <c r="Y15" s="35">
        <f t="shared" si="13"/>
        <v>6.6091612399999997</v>
      </c>
      <c r="Z15" s="35">
        <f t="shared" si="13"/>
        <v>0.39654967439999994</v>
      </c>
      <c r="AA15" s="35">
        <f t="shared" si="13"/>
        <v>0.90536455342465749</v>
      </c>
      <c r="AB15" s="42">
        <f t="shared" ref="AB15:AB24" si="37">I6/H6</f>
        <v>0.1157385305370459</v>
      </c>
      <c r="AC15" s="36">
        <f t="shared" si="14"/>
        <v>0.68851000000000007</v>
      </c>
      <c r="AD15" s="34">
        <f t="shared" si="15"/>
        <v>1.4651596484154552</v>
      </c>
      <c r="AE15" s="35">
        <f t="shared" si="16"/>
        <v>5.0685153200000004</v>
      </c>
      <c r="AF15" s="35">
        <f t="shared" si="16"/>
        <v>0.3041109192</v>
      </c>
      <c r="AG15" s="35">
        <f t="shared" si="16"/>
        <v>0.69431716712328773</v>
      </c>
      <c r="AH15" s="42">
        <f t="shared" ref="AH15:AH24" si="38">I20/H20</f>
        <v>0.134143775262378</v>
      </c>
      <c r="AI15" s="36">
        <f t="shared" ref="AI15:AI24" si="39">R20</f>
        <v>0.61197999999999997</v>
      </c>
      <c r="AJ15" s="34">
        <f t="shared" si="17"/>
        <v>1.0988697363115913</v>
      </c>
      <c r="AK15" s="35">
        <f t="shared" si="18"/>
        <v>4.6995966600000001</v>
      </c>
      <c r="AL15" s="35">
        <f t="shared" si="18"/>
        <v>0.28197579960000002</v>
      </c>
      <c r="AM15" s="35">
        <f t="shared" si="18"/>
        <v>0.64378036438356168</v>
      </c>
      <c r="AN15" s="42">
        <f t="shared" ref="AN15:AN24" si="40">I34/H34</f>
        <v>0.16361942856602507</v>
      </c>
      <c r="AO15" s="36">
        <f t="shared" ref="AO15:AO24" si="41">R34</f>
        <v>0.69211999999999996</v>
      </c>
      <c r="AP15" s="34">
        <f t="shared" si="19"/>
        <v>0.8790957890492731</v>
      </c>
      <c r="AQ15" s="35">
        <f t="shared" si="20"/>
        <v>4.2229998800000006</v>
      </c>
      <c r="AR15" s="35">
        <f t="shared" si="20"/>
        <v>0.25337999280000001</v>
      </c>
      <c r="AS15" s="35">
        <f t="shared" si="20"/>
        <v>0.57849313424657545</v>
      </c>
      <c r="AT15" s="42">
        <f t="shared" ref="AT15:AT24" si="42">I48/H48</f>
        <v>0.20387100508276595</v>
      </c>
      <c r="AU15" s="36">
        <f t="shared" ref="AU15:AU24" si="43">R48</f>
        <v>0.77493000000000001</v>
      </c>
      <c r="AV15" s="34">
        <f t="shared" si="21"/>
        <v>0.7325798242077276</v>
      </c>
      <c r="AW15" s="35">
        <f t="shared" si="22"/>
        <v>3.7257829399999993</v>
      </c>
      <c r="AX15" s="35">
        <f t="shared" si="22"/>
        <v>0.22354697639999996</v>
      </c>
      <c r="AY15" s="35">
        <f t="shared" si="22"/>
        <v>0.51038122465753422</v>
      </c>
      <c r="AZ15" s="42">
        <f t="shared" ref="AZ15:AZ24" si="44">I62/H62</f>
        <v>0.18214483799209194</v>
      </c>
      <c r="BA15" s="36">
        <f t="shared" ref="BA15:BA24" si="45">R62</f>
        <v>0.61082999999999998</v>
      </c>
      <c r="BB15" s="34">
        <f t="shared" si="23"/>
        <v>0.62792556360662366</v>
      </c>
      <c r="BC15" s="35">
        <f t="shared" si="24"/>
        <v>4.2137341399999997</v>
      </c>
      <c r="BD15" s="35">
        <f t="shared" si="24"/>
        <v>0.25282404839999995</v>
      </c>
      <c r="BE15" s="35">
        <f t="shared" si="24"/>
        <v>0.57722385479452054</v>
      </c>
      <c r="BF15" s="42">
        <f t="shared" ref="BF15:BF24" si="46">I76/H76</f>
        <v>0.16446157659106608</v>
      </c>
      <c r="BG15" s="36">
        <f t="shared" ref="BG15:BG24" si="47">R76</f>
        <v>0.62375999999999998</v>
      </c>
      <c r="BH15" s="34">
        <f t="shared" si="25"/>
        <v>0.54943486815579567</v>
      </c>
      <c r="BI15" s="35">
        <f t="shared" si="26"/>
        <v>3.9786243200000007</v>
      </c>
      <c r="BJ15" s="35">
        <f t="shared" si="26"/>
        <v>0.23871745920000004</v>
      </c>
      <c r="BK15" s="35">
        <f t="shared" si="26"/>
        <v>0.54501703013698644</v>
      </c>
      <c r="BL15" s="42">
        <f t="shared" ref="BL15:BL24" si="48">I90/H90</f>
        <v>0.18763403627915287</v>
      </c>
      <c r="BM15" s="36">
        <f t="shared" ref="BM15:BM24" si="49">R90</f>
        <v>0.67193999999999998</v>
      </c>
      <c r="BN15" s="34">
        <f t="shared" si="27"/>
        <v>0.48838654947181837</v>
      </c>
      <c r="BO15" s="35">
        <f t="shared" si="28"/>
        <v>4.2039684499999996</v>
      </c>
      <c r="BP15" s="35">
        <f t="shared" si="28"/>
        <v>0.25223810699999999</v>
      </c>
      <c r="BQ15" s="35">
        <f t="shared" si="28"/>
        <v>0.57588608904109584</v>
      </c>
      <c r="BR15" s="42">
        <f t="shared" ref="BR15:BR23" si="50">I104/H104</f>
        <v>0.19483079850420859</v>
      </c>
      <c r="BS15" s="36">
        <f t="shared" ref="BS15:BS23" si="51">R104</f>
        <v>0.73723000000000005</v>
      </c>
      <c r="BT15" s="34">
        <f t="shared" si="29"/>
        <v>0.43954789452463655</v>
      </c>
      <c r="BU15" s="35">
        <f t="shared" si="30"/>
        <v>4.1146551599999999</v>
      </c>
      <c r="BV15" s="35">
        <f t="shared" si="30"/>
        <v>0.24687930959999999</v>
      </c>
      <c r="BW15" s="35">
        <f t="shared" si="30"/>
        <v>0.56365139178082191</v>
      </c>
      <c r="BX15" s="42">
        <f t="shared" ref="BX15:BX23" si="52">I118/H118</f>
        <v>0.19145632850554598</v>
      </c>
      <c r="BY15" s="36">
        <f t="shared" ref="BY15:BY23" si="53">R118</f>
        <v>0.70906999999999998</v>
      </c>
      <c r="BZ15" s="34">
        <f t="shared" si="31"/>
        <v>0.29303192968309105</v>
      </c>
      <c r="CA15" s="35">
        <f t="shared" si="32"/>
        <v>4.5426790200000005</v>
      </c>
      <c r="CB15" s="35">
        <f t="shared" si="32"/>
        <v>0.27256074120000001</v>
      </c>
      <c r="CC15" s="35">
        <f t="shared" si="32"/>
        <v>0.62228479726027408</v>
      </c>
      <c r="CD15" s="42">
        <f t="shared" ref="CD15:CD23" si="54">I132/H132</f>
        <v>0.16958927025400972</v>
      </c>
      <c r="CE15" s="36">
        <f t="shared" ref="CE15:CE23" si="55">R132</f>
        <v>0.69342000000000004</v>
      </c>
      <c r="CF15" s="34">
        <f t="shared" si="33"/>
        <v>0.21977394726231828</v>
      </c>
      <c r="CG15" s="35">
        <f t="shared" si="34"/>
        <v>4.5285471000000008</v>
      </c>
      <c r="CH15" s="35">
        <f t="shared" si="34"/>
        <v>0.27171282600000002</v>
      </c>
      <c r="CI15" s="35">
        <f t="shared" si="34"/>
        <v>0.62034891780821932</v>
      </c>
      <c r="CJ15" s="42">
        <f t="shared" ref="CJ15:CJ23" si="56">I146/H146</f>
        <v>0.17343784499889597</v>
      </c>
      <c r="CK15" s="36">
        <f t="shared" ref="CK15:CK23" si="57">R146</f>
        <v>0.70694999999999997</v>
      </c>
      <c r="CL15" s="34">
        <f t="shared" si="35"/>
        <v>0.1758191578098546</v>
      </c>
      <c r="CM15" s="35">
        <f t="shared" si="36"/>
        <v>4.7859991300000013</v>
      </c>
      <c r="CN15" s="35">
        <f t="shared" si="36"/>
        <v>0.28715994780000009</v>
      </c>
      <c r="CO15" s="35">
        <f t="shared" si="36"/>
        <v>0.65561631917808239</v>
      </c>
      <c r="CP15" s="42">
        <f t="shared" ref="CP15:CP23" si="58">I160/H160</f>
        <v>0.14307899801059928</v>
      </c>
      <c r="CQ15" s="36">
        <f t="shared" ref="CQ15:CQ23" si="59">R160</f>
        <v>0.61636000000000002</v>
      </c>
    </row>
    <row r="16" spans="2:95" ht="15" thickTop="1" x14ac:dyDescent="0.3">
      <c r="X16" s="34">
        <f t="shared" si="12"/>
        <v>1.8959760342683765</v>
      </c>
      <c r="Y16" s="35">
        <f t="shared" si="13"/>
        <v>8.0214644400000008</v>
      </c>
      <c r="Z16" s="35">
        <f t="shared" si="13"/>
        <v>0.48128786640000004</v>
      </c>
      <c r="AA16" s="35">
        <f t="shared" si="13"/>
        <v>1.0988307452054795</v>
      </c>
      <c r="AB16" s="42">
        <f t="shared" si="37"/>
        <v>6.0278059401332962E-2</v>
      </c>
      <c r="AC16" s="36">
        <f t="shared" si="14"/>
        <v>0.43521000000000004</v>
      </c>
      <c r="AD16" s="34">
        <f t="shared" si="15"/>
        <v>1.2639840228455843</v>
      </c>
      <c r="AE16" s="35">
        <f t="shared" si="16"/>
        <v>4.74450328</v>
      </c>
      <c r="AF16" s="35">
        <f t="shared" si="16"/>
        <v>0.2846701968</v>
      </c>
      <c r="AG16" s="35">
        <f t="shared" si="16"/>
        <v>0.6499319561643836</v>
      </c>
      <c r="AH16" s="42">
        <f t="shared" si="38"/>
        <v>0.14929000955396116</v>
      </c>
      <c r="AI16" s="36">
        <f t="shared" si="39"/>
        <v>0.63754</v>
      </c>
      <c r="AJ16" s="34">
        <f t="shared" si="17"/>
        <v>0.94798801713418823</v>
      </c>
      <c r="AK16" s="35">
        <f t="shared" si="18"/>
        <v>4.8562698800000001</v>
      </c>
      <c r="AL16" s="35">
        <f t="shared" si="18"/>
        <v>0.29137619279999999</v>
      </c>
      <c r="AM16" s="35">
        <f t="shared" si="18"/>
        <v>0.66524244931506848</v>
      </c>
      <c r="AN16" s="42">
        <f t="shared" si="40"/>
        <v>0.1532893472551406</v>
      </c>
      <c r="AO16" s="36">
        <f t="shared" si="41"/>
        <v>0.67003999999999997</v>
      </c>
      <c r="AP16" s="34">
        <f t="shared" si="19"/>
        <v>0.75839041370735061</v>
      </c>
      <c r="AQ16" s="35">
        <f t="shared" si="20"/>
        <v>4.2887821900000009</v>
      </c>
      <c r="AR16" s="35">
        <f t="shared" si="20"/>
        <v>0.25732693140000007</v>
      </c>
      <c r="AS16" s="35">
        <f t="shared" si="20"/>
        <v>0.58750440958904127</v>
      </c>
      <c r="AT16" s="42">
        <f t="shared" si="42"/>
        <v>0.18806618155630792</v>
      </c>
      <c r="AU16" s="36">
        <f t="shared" si="43"/>
        <v>0.72598999999999991</v>
      </c>
      <c r="AV16" s="34">
        <f t="shared" si="21"/>
        <v>0.63199201142279215</v>
      </c>
      <c r="AW16" s="35">
        <f t="shared" si="22"/>
        <v>4.0369962600000004</v>
      </c>
      <c r="AX16" s="35">
        <f t="shared" si="22"/>
        <v>0.24221977560000002</v>
      </c>
      <c r="AY16" s="35">
        <f t="shared" si="22"/>
        <v>0.55301318630136997</v>
      </c>
      <c r="AZ16" s="42">
        <f t="shared" si="44"/>
        <v>0.20291386645971274</v>
      </c>
      <c r="BA16" s="36">
        <f t="shared" si="45"/>
        <v>0.73731999999999998</v>
      </c>
      <c r="BB16" s="34">
        <f t="shared" si="23"/>
        <v>0.54170743836239332</v>
      </c>
      <c r="BC16" s="35">
        <f t="shared" si="24"/>
        <v>4.0766922900000004</v>
      </c>
      <c r="BD16" s="35">
        <f t="shared" si="24"/>
        <v>0.24460153740000001</v>
      </c>
      <c r="BE16" s="35">
        <f t="shared" si="24"/>
        <v>0.55845099863013703</v>
      </c>
      <c r="BF16" s="42">
        <f t="shared" si="46"/>
        <v>0.1613892227318437</v>
      </c>
      <c r="BG16" s="36">
        <f t="shared" si="47"/>
        <v>0.59219999999999995</v>
      </c>
      <c r="BH16" s="34">
        <f t="shared" si="25"/>
        <v>0.47399400856709412</v>
      </c>
      <c r="BI16" s="35">
        <f t="shared" si="26"/>
        <v>3.7768667200000015</v>
      </c>
      <c r="BJ16" s="35">
        <f t="shared" si="26"/>
        <v>0.22661200320000008</v>
      </c>
      <c r="BK16" s="35">
        <f t="shared" si="26"/>
        <v>0.51737900273972626</v>
      </c>
      <c r="BL16" s="42">
        <f t="shared" si="48"/>
        <v>0.19603355767873107</v>
      </c>
      <c r="BM16" s="36">
        <f t="shared" si="49"/>
        <v>0.66642000000000001</v>
      </c>
      <c r="BN16" s="34">
        <f t="shared" si="27"/>
        <v>0.42132800761519479</v>
      </c>
      <c r="BO16" s="35">
        <f t="shared" si="28"/>
        <v>3.7926429199999996</v>
      </c>
      <c r="BP16" s="35">
        <f t="shared" si="28"/>
        <v>0.22755857519999997</v>
      </c>
      <c r="BQ16" s="35">
        <f t="shared" si="28"/>
        <v>0.51954012602739719</v>
      </c>
      <c r="BR16" s="42">
        <f t="shared" si="50"/>
        <v>0.15912259939303749</v>
      </c>
      <c r="BS16" s="36">
        <f t="shared" si="51"/>
        <v>0.54320000000000002</v>
      </c>
      <c r="BT16" s="34">
        <f t="shared" si="29"/>
        <v>0.3791952068536753</v>
      </c>
      <c r="BU16" s="35">
        <f t="shared" si="30"/>
        <v>3.9218744399999994</v>
      </c>
      <c r="BV16" s="35">
        <f t="shared" si="30"/>
        <v>0.23531246639999995</v>
      </c>
      <c r="BW16" s="35">
        <f t="shared" si="30"/>
        <v>0.53724307397260262</v>
      </c>
      <c r="BX16" s="42">
        <f t="shared" si="52"/>
        <v>0.15802653794291285</v>
      </c>
      <c r="BY16" s="36">
        <f t="shared" si="53"/>
        <v>0.55784</v>
      </c>
      <c r="BZ16" s="34">
        <f t="shared" si="31"/>
        <v>0.25279680456911685</v>
      </c>
      <c r="CA16" s="35">
        <f t="shared" si="32"/>
        <v>4.4776855200000005</v>
      </c>
      <c r="CB16" s="35">
        <f t="shared" si="32"/>
        <v>0.26866113120000001</v>
      </c>
      <c r="CC16" s="35">
        <f t="shared" si="32"/>
        <v>0.61338157808219185</v>
      </c>
      <c r="CD16" s="42">
        <f t="shared" si="54"/>
        <v>0.18662289842990135</v>
      </c>
      <c r="CE16" s="36">
        <f t="shared" si="55"/>
        <v>0.75214999999999999</v>
      </c>
      <c r="CF16" s="34">
        <f t="shared" si="33"/>
        <v>0.18959760342683765</v>
      </c>
      <c r="CG16" s="35">
        <f t="shared" si="34"/>
        <v>3.9343065300000006</v>
      </c>
      <c r="CH16" s="35">
        <f t="shared" si="34"/>
        <v>0.23605839180000002</v>
      </c>
      <c r="CI16" s="35">
        <f t="shared" si="34"/>
        <v>0.53894610000000009</v>
      </c>
      <c r="CJ16" s="42">
        <f t="shared" si="56"/>
        <v>0.19648540196485401</v>
      </c>
      <c r="CK16" s="36">
        <f t="shared" si="57"/>
        <v>0.69579999999999997</v>
      </c>
      <c r="CL16" s="34">
        <f t="shared" si="35"/>
        <v>0.15167808274147013</v>
      </c>
      <c r="CM16" s="35">
        <f t="shared" si="36"/>
        <v>5.0781699100000006</v>
      </c>
      <c r="CN16" s="35">
        <f t="shared" si="36"/>
        <v>0.30469019460000002</v>
      </c>
      <c r="CO16" s="35">
        <f t="shared" si="36"/>
        <v>0.6956397136986302</v>
      </c>
      <c r="CP16" s="42">
        <f t="shared" si="58"/>
        <v>0.15893900643430811</v>
      </c>
      <c r="CQ16" s="36">
        <f t="shared" si="59"/>
        <v>0.72648000000000001</v>
      </c>
    </row>
    <row r="17" spans="2:95" ht="15" thickBot="1" x14ac:dyDescent="0.35">
      <c r="X17" s="34">
        <f t="shared" si="12"/>
        <v>1.1483466252362846</v>
      </c>
      <c r="Y17" s="35">
        <f t="shared" si="13"/>
        <v>9.0056771200000014</v>
      </c>
      <c r="Z17" s="35">
        <f t="shared" si="13"/>
        <v>0.54034062720000009</v>
      </c>
      <c r="AA17" s="35">
        <f t="shared" si="13"/>
        <v>1.2336544000000003</v>
      </c>
      <c r="AB17" s="42">
        <f t="shared" si="37"/>
        <v>7.0159833800481616E-2</v>
      </c>
      <c r="AC17" s="36">
        <f t="shared" si="14"/>
        <v>0.56871000000000005</v>
      </c>
      <c r="AD17" s="34">
        <f t="shared" si="15"/>
        <v>0.76556441682418974</v>
      </c>
      <c r="AE17" s="35">
        <f t="shared" si="16"/>
        <v>6.2028241</v>
      </c>
      <c r="AF17" s="35">
        <f t="shared" si="16"/>
        <v>0.37216944599999996</v>
      </c>
      <c r="AG17" s="35">
        <f t="shared" si="16"/>
        <v>0.84970193150684936</v>
      </c>
      <c r="AH17" s="42">
        <f t="shared" si="38"/>
        <v>0.13050634951908438</v>
      </c>
      <c r="AI17" s="36">
        <f t="shared" si="39"/>
        <v>0.72863</v>
      </c>
      <c r="AJ17" s="34">
        <f t="shared" si="17"/>
        <v>0.57417331261814231</v>
      </c>
      <c r="AK17" s="35">
        <f t="shared" si="18"/>
        <v>4.0438289100000002</v>
      </c>
      <c r="AL17" s="35">
        <f t="shared" si="18"/>
        <v>0.24262973460000001</v>
      </c>
      <c r="AM17" s="35">
        <f t="shared" si="18"/>
        <v>0.55394916575342468</v>
      </c>
      <c r="AN17" s="42">
        <f t="shared" si="40"/>
        <v>0.20258475030290038</v>
      </c>
      <c r="AO17" s="36">
        <f t="shared" si="41"/>
        <v>0.73736999999999997</v>
      </c>
      <c r="AP17" s="34">
        <f t="shared" si="19"/>
        <v>0.45933865009451386</v>
      </c>
      <c r="AQ17" s="35">
        <f t="shared" si="20"/>
        <v>3.5807530000000001</v>
      </c>
      <c r="AR17" s="35">
        <f t="shared" si="20"/>
        <v>0.21484518</v>
      </c>
      <c r="AS17" s="35">
        <f t="shared" si="20"/>
        <v>0.49051410958904113</v>
      </c>
      <c r="AT17" s="42">
        <f t="shared" si="42"/>
        <v>0.22882407694694387</v>
      </c>
      <c r="AU17" s="36">
        <f t="shared" si="43"/>
        <v>0.73750000000000004</v>
      </c>
      <c r="AV17" s="34">
        <f t="shared" si="21"/>
        <v>0.38278220841209487</v>
      </c>
      <c r="AW17" s="35">
        <f t="shared" si="22"/>
        <v>3.5208256600000003</v>
      </c>
      <c r="AX17" s="35">
        <f t="shared" si="22"/>
        <v>0.21124953960000001</v>
      </c>
      <c r="AY17" s="35">
        <f t="shared" si="22"/>
        <v>0.48230488493150692</v>
      </c>
      <c r="AZ17" s="42">
        <f t="shared" si="44"/>
        <v>0.26181580657986908</v>
      </c>
      <c r="BA17" s="36">
        <f t="shared" si="45"/>
        <v>0.82971000000000006</v>
      </c>
      <c r="BB17" s="34">
        <f t="shared" si="23"/>
        <v>0.32809903578179561</v>
      </c>
      <c r="BC17" s="35">
        <f t="shared" si="24"/>
        <v>2.8386161100000002</v>
      </c>
      <c r="BD17" s="35">
        <f t="shared" si="24"/>
        <v>0.17031696660000001</v>
      </c>
      <c r="BE17" s="35">
        <f t="shared" si="24"/>
        <v>0.38885152191780825</v>
      </c>
      <c r="BF17" s="42">
        <f t="shared" si="46"/>
        <v>0.30393227423767422</v>
      </c>
      <c r="BG17" s="36">
        <f t="shared" si="47"/>
        <v>0.77654999999999996</v>
      </c>
      <c r="BH17" s="34">
        <f t="shared" si="25"/>
        <v>0.28708665630907115</v>
      </c>
      <c r="BI17" s="35">
        <f t="shared" si="26"/>
        <v>3.4737748099999997</v>
      </c>
      <c r="BJ17" s="35">
        <f t="shared" si="26"/>
        <v>0.20842648859999996</v>
      </c>
      <c r="BK17" s="35">
        <f t="shared" si="26"/>
        <v>0.47585956301369858</v>
      </c>
      <c r="BL17" s="42">
        <f t="shared" si="48"/>
        <v>0.18366909627052078</v>
      </c>
      <c r="BM17" s="36">
        <f t="shared" si="49"/>
        <v>0.57428000000000001</v>
      </c>
      <c r="BN17" s="34">
        <f t="shared" si="27"/>
        <v>0.25518813894139658</v>
      </c>
      <c r="BO17" s="35">
        <f t="shared" si="28"/>
        <v>3.5247919300000006</v>
      </c>
      <c r="BP17" s="35">
        <f t="shared" si="28"/>
        <v>0.21148751580000003</v>
      </c>
      <c r="BQ17" s="35">
        <f t="shared" si="28"/>
        <v>0.48284820958904118</v>
      </c>
      <c r="BR17" s="42">
        <f t="shared" si="50"/>
        <v>0.22121709748694296</v>
      </c>
      <c r="BS17" s="36">
        <f t="shared" si="51"/>
        <v>0.70183999999999991</v>
      </c>
      <c r="BT17" s="34">
        <f t="shared" si="29"/>
        <v>0.22966932504725693</v>
      </c>
      <c r="BU17" s="35">
        <f t="shared" si="30"/>
        <v>3.7744558500000003</v>
      </c>
      <c r="BV17" s="35">
        <f t="shared" si="30"/>
        <v>0.22646735100000001</v>
      </c>
      <c r="BW17" s="35">
        <f t="shared" si="30"/>
        <v>0.5170487465753425</v>
      </c>
      <c r="BX17" s="42">
        <f t="shared" si="52"/>
        <v>0.17468615244234473</v>
      </c>
      <c r="BY17" s="36">
        <f t="shared" si="53"/>
        <v>0.59346999999999994</v>
      </c>
      <c r="BZ17" s="34">
        <f t="shared" si="31"/>
        <v>0.15311288336483794</v>
      </c>
      <c r="CA17" s="35">
        <f t="shared" si="32"/>
        <v>3.5225588199999995</v>
      </c>
      <c r="CB17" s="35">
        <f t="shared" si="32"/>
        <v>0.21135352919999997</v>
      </c>
      <c r="CC17" s="35">
        <f t="shared" si="32"/>
        <v>0.48254230410958898</v>
      </c>
      <c r="CD17" s="42">
        <f t="shared" si="54"/>
        <v>0.22482038213346289</v>
      </c>
      <c r="CE17" s="36">
        <f t="shared" si="55"/>
        <v>0.71282000000000001</v>
      </c>
      <c r="CF17" s="34">
        <f t="shared" si="33"/>
        <v>0.11483466252362846</v>
      </c>
      <c r="CG17" s="35">
        <f t="shared" si="34"/>
        <v>3.5172482400000011</v>
      </c>
      <c r="CH17" s="35">
        <f t="shared" si="34"/>
        <v>0.21103489440000006</v>
      </c>
      <c r="CI17" s="35">
        <f t="shared" si="34"/>
        <v>0.48181482739726045</v>
      </c>
      <c r="CJ17" s="42">
        <f t="shared" si="56"/>
        <v>0.21847282237889465</v>
      </c>
      <c r="CK17" s="36">
        <f t="shared" si="57"/>
        <v>0.69164999999999999</v>
      </c>
      <c r="CL17" s="34">
        <f t="shared" si="35"/>
        <v>9.1867730018902763E-2</v>
      </c>
      <c r="CM17" s="35">
        <f t="shared" si="36"/>
        <v>2.980557469999999</v>
      </c>
      <c r="CN17" s="35">
        <f t="shared" si="36"/>
        <v>0.17883344819999994</v>
      </c>
      <c r="CO17" s="35">
        <f t="shared" si="36"/>
        <v>0.40829554383561634</v>
      </c>
      <c r="CP17" s="42">
        <f t="shared" si="58"/>
        <v>0.37697976345344553</v>
      </c>
      <c r="CQ17" s="36">
        <f t="shared" si="59"/>
        <v>1.01135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0.82998285020519136</v>
      </c>
      <c r="Y18" s="35">
        <f t="shared" si="13"/>
        <v>9.3069914299999965</v>
      </c>
      <c r="Z18" s="35">
        <f t="shared" si="13"/>
        <v>0.55841948579999978</v>
      </c>
      <c r="AA18" s="35">
        <f t="shared" si="13"/>
        <v>1.2749303328767119</v>
      </c>
      <c r="AB18" s="42">
        <f t="shared" si="37"/>
        <v>6.3705588906940683E-2</v>
      </c>
      <c r="AC18" s="36">
        <f t="shared" si="14"/>
        <v>0.53366999999999998</v>
      </c>
      <c r="AD18" s="34">
        <f t="shared" si="15"/>
        <v>0.55332190013679428</v>
      </c>
      <c r="AE18" s="35">
        <f t="shared" si="16"/>
        <v>5.4737192399999994</v>
      </c>
      <c r="AF18" s="35">
        <f t="shared" si="16"/>
        <v>0.32842315439999997</v>
      </c>
      <c r="AG18" s="35">
        <f t="shared" si="16"/>
        <v>0.74982455342465748</v>
      </c>
      <c r="AH18" s="42">
        <f t="shared" si="38"/>
        <v>0.14349156863222676</v>
      </c>
      <c r="AI18" s="36">
        <f t="shared" si="39"/>
        <v>0.70696000000000003</v>
      </c>
      <c r="AJ18" s="34">
        <f t="shared" si="17"/>
        <v>0.41499142510259568</v>
      </c>
      <c r="AK18" s="35">
        <f t="shared" si="18"/>
        <v>4.9398837400000009</v>
      </c>
      <c r="AL18" s="35">
        <f t="shared" si="18"/>
        <v>0.29639302440000004</v>
      </c>
      <c r="AM18" s="35">
        <f t="shared" si="18"/>
        <v>0.6766964027397262</v>
      </c>
      <c r="AN18" s="42">
        <f t="shared" si="40"/>
        <v>0.16169253813248646</v>
      </c>
      <c r="AO18" s="36">
        <f t="shared" si="41"/>
        <v>0.71893999999999991</v>
      </c>
      <c r="AP18" s="34">
        <f t="shared" si="19"/>
        <v>0.33199314008207653</v>
      </c>
      <c r="AQ18" s="35">
        <f t="shared" si="20"/>
        <v>3.3593195900000001</v>
      </c>
      <c r="AR18" s="35">
        <f t="shared" si="20"/>
        <v>0.20155917540000001</v>
      </c>
      <c r="AS18" s="35">
        <f t="shared" si="20"/>
        <v>0.4601807657534247</v>
      </c>
      <c r="AT18" s="42">
        <f t="shared" si="42"/>
        <v>0.22204326501724714</v>
      </c>
      <c r="AU18" s="36">
        <f t="shared" si="43"/>
        <v>0.67138999999999993</v>
      </c>
      <c r="AV18" s="34">
        <f t="shared" si="21"/>
        <v>0.27666095006839714</v>
      </c>
      <c r="AW18" s="35">
        <f t="shared" si="22"/>
        <v>3.8438044699999998</v>
      </c>
      <c r="AX18" s="35">
        <f t="shared" si="22"/>
        <v>0.23062826819999999</v>
      </c>
      <c r="AY18" s="35">
        <f t="shared" si="22"/>
        <v>0.52654855753424656</v>
      </c>
      <c r="AZ18" s="42">
        <f t="shared" si="44"/>
        <v>0.18236761403214666</v>
      </c>
      <c r="BA18" s="36">
        <f t="shared" si="45"/>
        <v>0.63095000000000001</v>
      </c>
      <c r="BB18" s="34">
        <f t="shared" si="23"/>
        <v>0.23713795720148326</v>
      </c>
      <c r="BC18" s="35">
        <f t="shared" si="24"/>
        <v>2.6468908400000002</v>
      </c>
      <c r="BD18" s="35">
        <f t="shared" si="24"/>
        <v>0.1588134504</v>
      </c>
      <c r="BE18" s="35">
        <f t="shared" si="24"/>
        <v>0.3625877863013699</v>
      </c>
      <c r="BF18" s="42">
        <f t="shared" si="46"/>
        <v>0.29474404392135795</v>
      </c>
      <c r="BG18" s="36">
        <f t="shared" si="47"/>
        <v>0.70221</v>
      </c>
      <c r="BH18" s="34">
        <f t="shared" si="25"/>
        <v>0.20749571255129784</v>
      </c>
      <c r="BI18" s="35">
        <f t="shared" si="26"/>
        <v>3.3631747600000002</v>
      </c>
      <c r="BJ18" s="35">
        <f t="shared" si="26"/>
        <v>0.20179048560000001</v>
      </c>
      <c r="BK18" s="35">
        <f t="shared" si="26"/>
        <v>0.46070887123287674</v>
      </c>
      <c r="BL18" s="42">
        <f t="shared" si="48"/>
        <v>0.20217629725551342</v>
      </c>
      <c r="BM18" s="36">
        <f t="shared" si="49"/>
        <v>0.61202000000000001</v>
      </c>
      <c r="BN18" s="34">
        <f t="shared" si="27"/>
        <v>0.18444063337893141</v>
      </c>
      <c r="BO18" s="35">
        <f t="shared" si="28"/>
        <v>3.0878134100000003</v>
      </c>
      <c r="BP18" s="35">
        <f t="shared" si="28"/>
        <v>0.1852688046</v>
      </c>
      <c r="BQ18" s="35">
        <f t="shared" si="28"/>
        <v>0.42298813835616444</v>
      </c>
      <c r="BR18" s="42">
        <f t="shared" si="50"/>
        <v>0.26103241452015064</v>
      </c>
      <c r="BS18" s="36">
        <f t="shared" si="51"/>
        <v>0.72548999999999997</v>
      </c>
      <c r="BT18" s="34">
        <f t="shared" si="29"/>
        <v>0.16599657004103827</v>
      </c>
      <c r="BU18" s="35">
        <f t="shared" si="30"/>
        <v>3.8917107900000008</v>
      </c>
      <c r="BV18" s="35">
        <f t="shared" si="30"/>
        <v>0.23350264740000004</v>
      </c>
      <c r="BW18" s="35">
        <f t="shared" si="30"/>
        <v>0.53311106712328782</v>
      </c>
      <c r="BX18" s="42">
        <f t="shared" si="52"/>
        <v>0.18185555355720559</v>
      </c>
      <c r="BY18" s="36">
        <f t="shared" si="53"/>
        <v>0.63702000000000003</v>
      </c>
      <c r="BZ18" s="34">
        <f t="shared" si="31"/>
        <v>0.11066438002735884</v>
      </c>
      <c r="CA18" s="35">
        <f t="shared" si="32"/>
        <v>3.1263317799999992</v>
      </c>
      <c r="CB18" s="35">
        <f t="shared" si="32"/>
        <v>0.18757990679999995</v>
      </c>
      <c r="CC18" s="35">
        <f t="shared" si="32"/>
        <v>0.42826462739726018</v>
      </c>
      <c r="CD18" s="42">
        <f t="shared" si="54"/>
        <v>0.22192055380635262</v>
      </c>
      <c r="CE18" s="36">
        <f t="shared" si="55"/>
        <v>0.62448000000000004</v>
      </c>
      <c r="CF18" s="34">
        <f t="shared" si="33"/>
        <v>8.2998285020519133E-2</v>
      </c>
      <c r="CG18" s="35">
        <f t="shared" si="34"/>
        <v>2.7571909200000002</v>
      </c>
      <c r="CH18" s="35">
        <f t="shared" si="34"/>
        <v>0.16543145519999999</v>
      </c>
      <c r="CI18" s="35">
        <f t="shared" si="34"/>
        <v>0.3776973863013699</v>
      </c>
      <c r="CJ18" s="42">
        <f t="shared" si="56"/>
        <v>0.34079187015457019</v>
      </c>
      <c r="CK18" s="36">
        <f t="shared" si="57"/>
        <v>0.84575</v>
      </c>
      <c r="CL18" s="34">
        <f t="shared" si="35"/>
        <v>6.6398628016415315E-2</v>
      </c>
      <c r="CM18" s="35">
        <f t="shared" si="36"/>
        <v>1.4043039999999993</v>
      </c>
      <c r="CN18" s="35">
        <f t="shared" si="36"/>
        <v>8.4258239999999957E-2</v>
      </c>
      <c r="CO18" s="35">
        <f t="shared" si="36"/>
        <v>0.19237041095890403</v>
      </c>
      <c r="CP18" s="42">
        <f t="shared" si="58"/>
        <v>1.3795094936708867</v>
      </c>
      <c r="CQ18" s="36">
        <f t="shared" si="59"/>
        <v>1.7437</v>
      </c>
    </row>
    <row r="19" spans="2:95" ht="15" thickTop="1" x14ac:dyDescent="0.3">
      <c r="B19">
        <v>1</v>
      </c>
      <c r="C19">
        <v>-5277.6</v>
      </c>
      <c r="D19">
        <v>41546.699999999997</v>
      </c>
      <c r="E19">
        <v>6469.5</v>
      </c>
      <c r="F19">
        <f t="shared" ref="F19:F29" si="60">D19/10000</f>
        <v>4.1546699999999994</v>
      </c>
      <c r="G19">
        <f t="shared" ref="G19:G29" si="61">C19/10000</f>
        <v>-0.52776000000000001</v>
      </c>
      <c r="H19">
        <f t="shared" ref="H19:H29" si="62">F19-G19</f>
        <v>4.6824299999999992</v>
      </c>
      <c r="I19">
        <f>E19/10000</f>
        <v>0.64695000000000003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1.651743354500472</v>
      </c>
      <c r="P19" s="2">
        <v>3</v>
      </c>
      <c r="Q19" s="8">
        <f>H19</f>
        <v>4.6824299999999992</v>
      </c>
      <c r="R19" s="8">
        <f>I19</f>
        <v>0.64695000000000003</v>
      </c>
      <c r="S19" s="8">
        <f>Q19/10^6*$Z$4*$Z$3/P19*10^12</f>
        <v>5.2021797299999992</v>
      </c>
      <c r="T19" s="8">
        <f>S19*0.06</f>
        <v>0.31213078379999992</v>
      </c>
      <c r="U19" s="8">
        <f>S19/$Z$1</f>
        <v>0.71262736027397255</v>
      </c>
      <c r="V19" s="12">
        <f t="shared" ref="V19:V29" si="63">O19</f>
        <v>1.651743354500472</v>
      </c>
      <c r="W19" s="19"/>
      <c r="X19" s="34">
        <f t="shared" si="12"/>
        <v>0.57450795652469577</v>
      </c>
      <c r="Y19" s="35">
        <f t="shared" si="13"/>
        <v>9.0324383325000017</v>
      </c>
      <c r="Z19" s="35">
        <f t="shared" si="13"/>
        <v>0.5419462999500001</v>
      </c>
      <c r="AA19" s="35">
        <f t="shared" si="13"/>
        <v>1.2373203195205482</v>
      </c>
      <c r="AB19" s="42">
        <f t="shared" si="37"/>
        <v>5.9225037615278954E-2</v>
      </c>
      <c r="AC19" s="36">
        <f t="shared" si="14"/>
        <v>0.64200000000000002</v>
      </c>
      <c r="AD19" s="34">
        <f t="shared" si="15"/>
        <v>0.38300530434979718</v>
      </c>
      <c r="AE19" s="35">
        <f t="shared" si="16"/>
        <v>6.2565742799999997</v>
      </c>
      <c r="AF19" s="35">
        <f t="shared" si="16"/>
        <v>0.37539445679999994</v>
      </c>
      <c r="AG19" s="35">
        <f t="shared" si="16"/>
        <v>0.85706496986301373</v>
      </c>
      <c r="AH19" s="42">
        <f t="shared" si="38"/>
        <v>0.11184715208080294</v>
      </c>
      <c r="AI19" s="36">
        <f t="shared" si="39"/>
        <v>0.83982000000000012</v>
      </c>
      <c r="AJ19" s="34">
        <f t="shared" si="17"/>
        <v>0.28725397826234789</v>
      </c>
      <c r="AK19" s="35">
        <f t="shared" si="18"/>
        <v>3.9801019500000003</v>
      </c>
      <c r="AL19" s="35">
        <f t="shared" si="18"/>
        <v>0.23880611700000001</v>
      </c>
      <c r="AM19" s="35">
        <f t="shared" si="18"/>
        <v>0.54521944520547949</v>
      </c>
      <c r="AN19" s="42">
        <f t="shared" si="40"/>
        <v>0.16519700205166854</v>
      </c>
      <c r="AO19" s="36">
        <f t="shared" si="41"/>
        <v>0.78908</v>
      </c>
      <c r="AP19" s="34">
        <f t="shared" si="19"/>
        <v>0.22980318260987831</v>
      </c>
      <c r="AQ19" s="35">
        <f t="shared" si="20"/>
        <v>3.2116954650000005</v>
      </c>
      <c r="AR19" s="35">
        <f t="shared" si="20"/>
        <v>0.19270172790000001</v>
      </c>
      <c r="AS19" s="35">
        <f t="shared" si="20"/>
        <v>0.4399582828767124</v>
      </c>
      <c r="AT19" s="42">
        <f t="shared" si="42"/>
        <v>0.19374640023661147</v>
      </c>
      <c r="AU19" s="36">
        <f t="shared" si="43"/>
        <v>0.74678</v>
      </c>
      <c r="AV19" s="34">
        <f t="shared" si="21"/>
        <v>0.19150265217489859</v>
      </c>
      <c r="AW19" s="35">
        <f t="shared" si="22"/>
        <v>2.8140852299999999</v>
      </c>
      <c r="AX19" s="35">
        <f t="shared" si="22"/>
        <v>0.16884511379999997</v>
      </c>
      <c r="AY19" s="35">
        <f t="shared" si="22"/>
        <v>0.38549112739726027</v>
      </c>
      <c r="AZ19" s="42">
        <f t="shared" si="44"/>
        <v>0.2078975731662541</v>
      </c>
      <c r="BA19" s="36">
        <f t="shared" si="45"/>
        <v>0.70211999999999997</v>
      </c>
      <c r="BB19" s="34">
        <f t="shared" si="23"/>
        <v>0.16414513043562737</v>
      </c>
      <c r="BC19" s="35">
        <f t="shared" si="24"/>
        <v>3.196413660000001</v>
      </c>
      <c r="BD19" s="35">
        <f t="shared" si="24"/>
        <v>0.19178481960000004</v>
      </c>
      <c r="BE19" s="35">
        <f t="shared" si="24"/>
        <v>0.43786488493150699</v>
      </c>
      <c r="BF19" s="42">
        <f t="shared" si="46"/>
        <v>0.15386279743905235</v>
      </c>
      <c r="BG19" s="36">
        <f t="shared" si="47"/>
        <v>0.59023000000000003</v>
      </c>
      <c r="BH19" s="34">
        <f t="shared" si="25"/>
        <v>0.14362698913117394</v>
      </c>
      <c r="BI19" s="35">
        <f t="shared" si="26"/>
        <v>3.1531179900000006</v>
      </c>
      <c r="BJ19" s="35">
        <f t="shared" si="26"/>
        <v>0.18918707940000004</v>
      </c>
      <c r="BK19" s="35">
        <f t="shared" si="26"/>
        <v>0.4319339712328768</v>
      </c>
      <c r="BL19" s="42">
        <f t="shared" si="48"/>
        <v>0.1515385347187721</v>
      </c>
      <c r="BM19" s="36">
        <f t="shared" si="49"/>
        <v>0.57343999999999995</v>
      </c>
      <c r="BN19" s="34">
        <f t="shared" si="27"/>
        <v>0.12766843478326573</v>
      </c>
      <c r="BO19" s="35">
        <f t="shared" si="28"/>
        <v>2.8733293049999995</v>
      </c>
      <c r="BP19" s="35">
        <f t="shared" si="28"/>
        <v>0.17239975829999996</v>
      </c>
      <c r="BQ19" s="35">
        <f t="shared" si="28"/>
        <v>0.39360675410958901</v>
      </c>
      <c r="BR19" s="42">
        <f t="shared" si="50"/>
        <v>0.16896535724435527</v>
      </c>
      <c r="BS19" s="36">
        <f t="shared" si="51"/>
        <v>0.58265</v>
      </c>
      <c r="BT19" s="34">
        <f t="shared" si="29"/>
        <v>0.11490159130493915</v>
      </c>
      <c r="BU19" s="35">
        <f t="shared" si="30"/>
        <v>2.1795320249999999</v>
      </c>
      <c r="BV19" s="35">
        <f t="shared" si="30"/>
        <v>0.1307719215</v>
      </c>
      <c r="BW19" s="35">
        <f t="shared" si="30"/>
        <v>0.29856603082191779</v>
      </c>
      <c r="BX19" s="42">
        <f t="shared" si="52"/>
        <v>0.25464693963375007</v>
      </c>
      <c r="BY19" s="36">
        <f t="shared" si="53"/>
        <v>0.66608000000000001</v>
      </c>
      <c r="BZ19" s="34">
        <f t="shared" si="31"/>
        <v>7.6601060869959436E-2</v>
      </c>
      <c r="CA19" s="35">
        <f t="shared" si="32"/>
        <v>2.8055860800000008</v>
      </c>
      <c r="CB19" s="35">
        <f t="shared" si="32"/>
        <v>0.16833516480000005</v>
      </c>
      <c r="CC19" s="35">
        <f t="shared" si="32"/>
        <v>0.38432686027397273</v>
      </c>
      <c r="CD19" s="42">
        <f t="shared" si="54"/>
        <v>0.2405258030792625</v>
      </c>
      <c r="CE19" s="36">
        <f t="shared" si="55"/>
        <v>0.80986000000000002</v>
      </c>
      <c r="CF19" s="34">
        <f t="shared" si="33"/>
        <v>5.7450795652469577E-2</v>
      </c>
      <c r="CG19" s="35">
        <f t="shared" si="34"/>
        <v>1.2422757600000003</v>
      </c>
      <c r="CH19" s="35">
        <f t="shared" si="34"/>
        <v>7.4536545600000018E-2</v>
      </c>
      <c r="CI19" s="35">
        <f t="shared" si="34"/>
        <v>0.17017476164383566</v>
      </c>
      <c r="CJ19" s="42">
        <f t="shared" si="56"/>
        <v>1.0085452886885597</v>
      </c>
      <c r="CK19" s="36">
        <f t="shared" si="57"/>
        <v>1.5036200000000002</v>
      </c>
      <c r="CL19" s="34">
        <f t="shared" si="35"/>
        <v>4.5960636521975663E-2</v>
      </c>
      <c r="CM19" s="35">
        <f t="shared" si="36"/>
        <v>0.30456953999999975</v>
      </c>
      <c r="CN19" s="35">
        <f t="shared" si="36"/>
        <v>1.8274172399999983E-2</v>
      </c>
      <c r="CO19" s="35">
        <f t="shared" si="36"/>
        <v>4.1721854794520515E-2</v>
      </c>
      <c r="CP19" s="42">
        <f t="shared" si="58"/>
        <v>4.8822225869993483</v>
      </c>
      <c r="CQ19" s="36">
        <f t="shared" si="59"/>
        <v>1.7845500000000001</v>
      </c>
    </row>
    <row r="20" spans="2:95" x14ac:dyDescent="0.3">
      <c r="B20">
        <v>2</v>
      </c>
      <c r="C20">
        <v>1920.6</v>
      </c>
      <c r="D20">
        <v>47541.8</v>
      </c>
      <c r="E20">
        <v>6119.8</v>
      </c>
      <c r="F20">
        <f t="shared" si="60"/>
        <v>4.7541799999999999</v>
      </c>
      <c r="G20">
        <f t="shared" si="61"/>
        <v>0.19205999999999998</v>
      </c>
      <c r="H20">
        <f t="shared" si="62"/>
        <v>4.5621200000000002</v>
      </c>
      <c r="I20">
        <f t="shared" ref="I20:I29" si="64">E20/10000</f>
        <v>0.61197999999999997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1.4651596484154552</v>
      </c>
      <c r="P20" s="4">
        <v>3</v>
      </c>
      <c r="Q20" s="5">
        <f t="shared" ref="Q20:R29" si="67">H20</f>
        <v>4.5621200000000002</v>
      </c>
      <c r="R20" s="5">
        <f t="shared" si="67"/>
        <v>0.61197999999999997</v>
      </c>
      <c r="S20" s="5">
        <f t="shared" ref="S20:S29" si="68">Q20/10^6*$Z$4*$Z$3/P20*10^12</f>
        <v>5.0685153200000004</v>
      </c>
      <c r="T20" s="5">
        <f t="shared" ref="T20:T29" si="69">S20*0.06</f>
        <v>0.3041109192</v>
      </c>
      <c r="U20" s="5">
        <f t="shared" ref="U20:U29" si="70">S20/$Z$1</f>
        <v>0.69431716712328773</v>
      </c>
      <c r="V20" s="5">
        <f t="shared" si="63"/>
        <v>1.4651596484154552</v>
      </c>
      <c r="W20" s="19"/>
      <c r="X20" s="34">
        <f t="shared" si="12"/>
        <v>0.41532106980127165</v>
      </c>
      <c r="Y20" s="35">
        <f t="shared" si="13"/>
        <v>8.454762772499997</v>
      </c>
      <c r="Z20" s="35">
        <f t="shared" si="13"/>
        <v>0.50728576634999978</v>
      </c>
      <c r="AA20" s="35">
        <f t="shared" si="13"/>
        <v>1.1581866811643833</v>
      </c>
      <c r="AB20" s="42">
        <f t="shared" si="37"/>
        <v>7.363258902129062E-2</v>
      </c>
      <c r="AC20" s="36">
        <f t="shared" si="14"/>
        <v>0.74713000000000007</v>
      </c>
      <c r="AD20" s="34">
        <f t="shared" si="15"/>
        <v>0.27688071320084778</v>
      </c>
      <c r="AE20" s="35">
        <f t="shared" si="16"/>
        <v>6.0200396024999998</v>
      </c>
      <c r="AF20" s="35">
        <f t="shared" si="16"/>
        <v>0.36120237614999995</v>
      </c>
      <c r="AG20" s="35">
        <f t="shared" si="16"/>
        <v>0.82466295924657529</v>
      </c>
      <c r="AH20" s="42">
        <f t="shared" si="38"/>
        <v>9.198355103345851E-2</v>
      </c>
      <c r="AI20" s="36">
        <f t="shared" si="39"/>
        <v>0.66456000000000004</v>
      </c>
      <c r="AJ20" s="34">
        <f t="shared" si="17"/>
        <v>0.20766053490063582</v>
      </c>
      <c r="AK20" s="35">
        <f t="shared" si="18"/>
        <v>3.3980768250000004</v>
      </c>
      <c r="AL20" s="35">
        <f t="shared" si="18"/>
        <v>0.20388460950000001</v>
      </c>
      <c r="AM20" s="35">
        <f t="shared" si="18"/>
        <v>0.46548997602739733</v>
      </c>
      <c r="AN20" s="42">
        <f t="shared" si="40"/>
        <v>0.15949339153036951</v>
      </c>
      <c r="AO20" s="36">
        <f t="shared" si="41"/>
        <v>0.65043000000000006</v>
      </c>
      <c r="AP20" s="34">
        <f t="shared" si="19"/>
        <v>0.16612842792050866</v>
      </c>
      <c r="AQ20" s="35">
        <f t="shared" si="20"/>
        <v>3.1971969149999997</v>
      </c>
      <c r="AR20" s="35">
        <f t="shared" si="20"/>
        <v>0.19183181489999998</v>
      </c>
      <c r="AS20" s="35">
        <f t="shared" si="20"/>
        <v>0.43797218013698624</v>
      </c>
      <c r="AT20" s="42">
        <f t="shared" si="42"/>
        <v>0.1314144831145003</v>
      </c>
      <c r="AU20" s="36">
        <f t="shared" si="43"/>
        <v>0.50423999999999991</v>
      </c>
      <c r="AV20" s="34">
        <f t="shared" si="21"/>
        <v>0.13844035660042389</v>
      </c>
      <c r="AW20" s="35">
        <f t="shared" si="22"/>
        <v>2.0657100750000001</v>
      </c>
      <c r="AX20" s="35">
        <f t="shared" si="22"/>
        <v>0.1239426045</v>
      </c>
      <c r="AY20" s="35">
        <f t="shared" si="22"/>
        <v>0.28297398287671238</v>
      </c>
      <c r="AZ20" s="42">
        <f t="shared" si="44"/>
        <v>0.26029204146666124</v>
      </c>
      <c r="BA20" s="36">
        <f t="shared" si="45"/>
        <v>0.64528999999999992</v>
      </c>
      <c r="BB20" s="34">
        <f t="shared" si="23"/>
        <v>0.11866316280036333</v>
      </c>
      <c r="BC20" s="35">
        <f t="shared" si="24"/>
        <v>2.5043578724999995</v>
      </c>
      <c r="BD20" s="35">
        <f t="shared" si="24"/>
        <v>0.15026147234999995</v>
      </c>
      <c r="BE20" s="35">
        <f t="shared" si="24"/>
        <v>0.3430627222602739</v>
      </c>
      <c r="BF20" s="42">
        <f t="shared" si="46"/>
        <v>0.24274919897655325</v>
      </c>
      <c r="BG20" s="36">
        <f t="shared" si="47"/>
        <v>0.72958999999999996</v>
      </c>
      <c r="BH20" s="34">
        <f t="shared" si="25"/>
        <v>0.10383026745031791</v>
      </c>
      <c r="BI20" s="35">
        <f t="shared" si="26"/>
        <v>2.0747091750000002</v>
      </c>
      <c r="BJ20" s="35">
        <f t="shared" si="26"/>
        <v>0.12448255050000001</v>
      </c>
      <c r="BK20" s="35">
        <f t="shared" si="26"/>
        <v>0.28420673630136989</v>
      </c>
      <c r="BL20" s="42">
        <f t="shared" si="48"/>
        <v>0.21806899875497007</v>
      </c>
      <c r="BM20" s="36">
        <f t="shared" si="49"/>
        <v>0.54296999999999995</v>
      </c>
      <c r="BN20" s="34">
        <f t="shared" si="27"/>
        <v>9.2293571066949256E-2</v>
      </c>
      <c r="BO20" s="35">
        <f t="shared" si="28"/>
        <v>2.2232359875000007</v>
      </c>
      <c r="BP20" s="35">
        <f t="shared" si="28"/>
        <v>0.13339415925000003</v>
      </c>
      <c r="BQ20" s="35">
        <f t="shared" si="28"/>
        <v>0.30455287500000011</v>
      </c>
      <c r="BR20" s="42">
        <f t="shared" si="50"/>
        <v>0.2229334932443828</v>
      </c>
      <c r="BS20" s="36">
        <f t="shared" si="51"/>
        <v>0.59482000000000002</v>
      </c>
      <c r="BT20" s="34">
        <f t="shared" si="29"/>
        <v>8.3064213960254332E-2</v>
      </c>
      <c r="BU20" s="35">
        <f t="shared" si="30"/>
        <v>1.3322250975000001</v>
      </c>
      <c r="BV20" s="35">
        <f t="shared" si="30"/>
        <v>7.9933505850000003E-2</v>
      </c>
      <c r="BW20" s="35">
        <f t="shared" si="30"/>
        <v>0.18249658869863014</v>
      </c>
      <c r="BX20" s="42">
        <f t="shared" si="52"/>
        <v>0.38685163525828264</v>
      </c>
      <c r="BY20" s="36">
        <f t="shared" si="53"/>
        <v>0.61851</v>
      </c>
      <c r="BZ20" s="34">
        <f t="shared" si="31"/>
        <v>5.5376142640169553E-2</v>
      </c>
      <c r="CA20" s="35">
        <f t="shared" si="32"/>
        <v>2.2600739700000005</v>
      </c>
      <c r="CB20" s="35">
        <f t="shared" si="32"/>
        <v>0.13560443820000004</v>
      </c>
      <c r="CC20" s="35">
        <f t="shared" si="32"/>
        <v>0.30959917397260284</v>
      </c>
      <c r="CD20" s="42">
        <f t="shared" si="54"/>
        <v>0.18532938105561206</v>
      </c>
      <c r="CE20" s="36">
        <f t="shared" si="55"/>
        <v>0.50268000000000002</v>
      </c>
      <c r="CF20" s="34">
        <f t="shared" si="33"/>
        <v>4.1532106980127166E-2</v>
      </c>
      <c r="CG20" s="35">
        <f t="shared" si="34"/>
        <v>2.0983984725</v>
      </c>
      <c r="CH20" s="35">
        <f t="shared" si="34"/>
        <v>0.12590390834999998</v>
      </c>
      <c r="CI20" s="35">
        <f t="shared" si="34"/>
        <v>0.28745184554794523</v>
      </c>
      <c r="CJ20" s="42">
        <f t="shared" si="56"/>
        <v>0.24714394062732048</v>
      </c>
      <c r="CK20" s="36">
        <f t="shared" si="57"/>
        <v>0.62239</v>
      </c>
      <c r="CL20" s="34">
        <f t="shared" si="35"/>
        <v>3.322568558410173E-2</v>
      </c>
      <c r="CM20" s="35">
        <f t="shared" si="36"/>
        <v>0.5684764799999994</v>
      </c>
      <c r="CN20" s="35">
        <f t="shared" si="36"/>
        <v>3.4108588799999964E-2</v>
      </c>
      <c r="CO20" s="35">
        <f t="shared" si="36"/>
        <v>7.7873490410958826E-2</v>
      </c>
      <c r="CP20" s="42">
        <f t="shared" si="58"/>
        <v>0.8071353189493442</v>
      </c>
      <c r="CQ20" s="36">
        <f t="shared" si="59"/>
        <v>0.55066000000000004</v>
      </c>
    </row>
    <row r="21" spans="2:95" x14ac:dyDescent="0.3">
      <c r="B21">
        <v>3</v>
      </c>
      <c r="C21">
        <v>6433.3</v>
      </c>
      <c r="D21">
        <v>49138.1</v>
      </c>
      <c r="E21">
        <v>6375.4</v>
      </c>
      <c r="F21">
        <f t="shared" si="60"/>
        <v>4.9138099999999998</v>
      </c>
      <c r="G21">
        <f t="shared" si="61"/>
        <v>0.64333000000000007</v>
      </c>
      <c r="H21">
        <f t="shared" si="62"/>
        <v>4.2704800000000001</v>
      </c>
      <c r="I21">
        <f t="shared" si="64"/>
        <v>0.63754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1.2639840228455843</v>
      </c>
      <c r="P21" s="4">
        <v>3</v>
      </c>
      <c r="Q21" s="5">
        <f t="shared" si="67"/>
        <v>4.2704800000000001</v>
      </c>
      <c r="R21" s="5">
        <f t="shared" si="67"/>
        <v>0.63754</v>
      </c>
      <c r="S21" s="5">
        <f t="shared" si="68"/>
        <v>4.74450328</v>
      </c>
      <c r="T21" s="5">
        <f t="shared" si="69"/>
        <v>0.2846701968</v>
      </c>
      <c r="U21" s="5">
        <f t="shared" si="70"/>
        <v>0.6499319561643836</v>
      </c>
      <c r="V21" s="5">
        <f t="shared" si="63"/>
        <v>1.2639840228455843</v>
      </c>
      <c r="W21" s="19"/>
      <c r="X21" s="34">
        <f t="shared" si="12"/>
        <v>0.34829471991101485</v>
      </c>
      <c r="Y21" s="35">
        <f t="shared" si="13"/>
        <v>7.9885610640000007</v>
      </c>
      <c r="Z21" s="35">
        <f t="shared" si="13"/>
        <v>0.47931366384000001</v>
      </c>
      <c r="AA21" s="35">
        <f t="shared" si="13"/>
        <v>1.0943234334246577</v>
      </c>
      <c r="AB21" s="42">
        <f t="shared" si="37"/>
        <v>3.8425272278797454E-2</v>
      </c>
      <c r="AC21" s="36">
        <f t="shared" si="14"/>
        <v>0.46048999999999995</v>
      </c>
      <c r="AD21" s="34">
        <f t="shared" si="15"/>
        <v>0.23219647994067658</v>
      </c>
      <c r="AE21" s="35">
        <f t="shared" si="16"/>
        <v>5.352638016000002</v>
      </c>
      <c r="AF21" s="35">
        <f t="shared" si="16"/>
        <v>0.3211582809600001</v>
      </c>
      <c r="AG21" s="35">
        <f t="shared" si="16"/>
        <v>0.73323808438356197</v>
      </c>
      <c r="AH21" s="42">
        <f t="shared" si="38"/>
        <v>6.9203811820029479E-2</v>
      </c>
      <c r="AI21" s="36">
        <f t="shared" si="39"/>
        <v>0.55569000000000002</v>
      </c>
      <c r="AJ21" s="34">
        <f t="shared" si="17"/>
        <v>0.17414735995550742</v>
      </c>
      <c r="AK21" s="35">
        <f t="shared" si="18"/>
        <v>3.4962770039999995</v>
      </c>
      <c r="AL21" s="35">
        <f t="shared" si="18"/>
        <v>0.20977662023999996</v>
      </c>
      <c r="AM21" s="35">
        <f t="shared" si="18"/>
        <v>0.4789420553424657</v>
      </c>
      <c r="AN21" s="42">
        <f t="shared" si="40"/>
        <v>0.12888231323904564</v>
      </c>
      <c r="AO21" s="36">
        <f t="shared" si="41"/>
        <v>0.67598000000000003</v>
      </c>
      <c r="AP21" s="34">
        <f t="shared" si="19"/>
        <v>0.13931788796440595</v>
      </c>
      <c r="AQ21" s="35">
        <f t="shared" si="20"/>
        <v>2.4987567659999996</v>
      </c>
      <c r="AR21" s="35">
        <f t="shared" si="20"/>
        <v>0.14992540595999998</v>
      </c>
      <c r="AS21" s="35">
        <f t="shared" si="20"/>
        <v>0.34229544739726026</v>
      </c>
      <c r="AT21" s="42">
        <f t="shared" si="42"/>
        <v>0.15947136328834657</v>
      </c>
      <c r="AU21" s="36">
        <f t="shared" si="43"/>
        <v>0.59777999999999998</v>
      </c>
      <c r="AV21" s="34">
        <f t="shared" si="21"/>
        <v>0.11609823997033829</v>
      </c>
      <c r="AW21" s="35">
        <f t="shared" si="22"/>
        <v>1.841442504</v>
      </c>
      <c r="AX21" s="35">
        <f t="shared" si="22"/>
        <v>0.11048655023999999</v>
      </c>
      <c r="AY21" s="35">
        <f t="shared" si="22"/>
        <v>0.25225239780821918</v>
      </c>
      <c r="AZ21" s="42">
        <f t="shared" si="44"/>
        <v>0.20081522132607407</v>
      </c>
      <c r="BA21" s="36">
        <f t="shared" si="45"/>
        <v>0.55474000000000001</v>
      </c>
      <c r="BB21" s="34">
        <f t="shared" si="23"/>
        <v>9.951277711743281E-2</v>
      </c>
      <c r="BC21" s="35">
        <f t="shared" si="24"/>
        <v>2.2110055440000007</v>
      </c>
      <c r="BD21" s="35">
        <f t="shared" si="24"/>
        <v>0.13266033264000004</v>
      </c>
      <c r="BE21" s="35">
        <f t="shared" si="24"/>
        <v>0.30287747178082203</v>
      </c>
      <c r="BF21" s="42">
        <f t="shared" si="46"/>
        <v>0.19704899844430238</v>
      </c>
      <c r="BG21" s="36">
        <f t="shared" si="47"/>
        <v>0.65358000000000005</v>
      </c>
      <c r="BH21" s="34">
        <f t="shared" si="25"/>
        <v>8.7073679977753712E-2</v>
      </c>
      <c r="BI21" s="35">
        <f t="shared" si="26"/>
        <v>2.0922040920000002</v>
      </c>
      <c r="BJ21" s="35">
        <f t="shared" si="26"/>
        <v>0.12553224552</v>
      </c>
      <c r="BK21" s="35">
        <f t="shared" si="26"/>
        <v>0.28660330027397263</v>
      </c>
      <c r="BL21" s="42">
        <f t="shared" si="48"/>
        <v>0.1694024762475228</v>
      </c>
      <c r="BM21" s="36">
        <f t="shared" si="49"/>
        <v>0.53169</v>
      </c>
      <c r="BN21" s="34">
        <f t="shared" si="27"/>
        <v>7.7398826646892183E-2</v>
      </c>
      <c r="BO21" s="35">
        <f t="shared" si="28"/>
        <v>1.48288503</v>
      </c>
      <c r="BP21" s="35">
        <f t="shared" si="28"/>
        <v>8.8973101799999996E-2</v>
      </c>
      <c r="BQ21" s="35">
        <f t="shared" si="28"/>
        <v>0.20313493561643836</v>
      </c>
      <c r="BR21" s="42">
        <f t="shared" si="50"/>
        <v>0.26999617900249484</v>
      </c>
      <c r="BS21" s="36">
        <f t="shared" si="51"/>
        <v>0.60061999999999993</v>
      </c>
      <c r="BT21" s="34">
        <f t="shared" si="29"/>
        <v>6.9658943982202973E-2</v>
      </c>
      <c r="BU21" s="35">
        <f t="shared" si="30"/>
        <v>0.93161349599999987</v>
      </c>
      <c r="BV21" s="35">
        <f t="shared" si="30"/>
        <v>5.5896809759999992E-2</v>
      </c>
      <c r="BW21" s="35">
        <f t="shared" si="30"/>
        <v>0.12761828712328765</v>
      </c>
      <c r="BX21" s="42">
        <f t="shared" si="52"/>
        <v>0.3967486190217237</v>
      </c>
      <c r="BY21" s="36">
        <f t="shared" si="53"/>
        <v>0.55447999999999997</v>
      </c>
      <c r="BZ21" s="34">
        <f t="shared" si="31"/>
        <v>4.6439295988135315E-2</v>
      </c>
      <c r="CA21" s="35">
        <f t="shared" si="32"/>
        <v>1.1900476500000001</v>
      </c>
      <c r="CB21" s="35">
        <f t="shared" si="32"/>
        <v>7.1402858999999999E-2</v>
      </c>
      <c r="CC21" s="35">
        <f t="shared" si="32"/>
        <v>0.16302022602739727</v>
      </c>
      <c r="CD21" s="42">
        <f t="shared" si="54"/>
        <v>0.27214115670074218</v>
      </c>
      <c r="CE21" s="36">
        <f t="shared" si="55"/>
        <v>0.48583999999999994</v>
      </c>
      <c r="CF21" s="34">
        <f t="shared" si="33"/>
        <v>3.4829471991101486E-2</v>
      </c>
      <c r="CG21" s="35">
        <f t="shared" si="34"/>
        <v>1.3895543639999999</v>
      </c>
      <c r="CH21" s="35">
        <f t="shared" si="34"/>
        <v>8.337326183999999E-2</v>
      </c>
      <c r="CI21" s="35">
        <f t="shared" si="34"/>
        <v>0.19034991287671232</v>
      </c>
      <c r="CJ21" s="42">
        <f t="shared" si="56"/>
        <v>0.21284312126416385</v>
      </c>
      <c r="CK21" s="36">
        <f t="shared" si="57"/>
        <v>0.44368000000000002</v>
      </c>
      <c r="CL21" s="34">
        <f t="shared" si="35"/>
        <v>2.7863577592881189E-2</v>
      </c>
      <c r="CM21" s="35">
        <f t="shared" si="36"/>
        <v>0.76980967800000033</v>
      </c>
      <c r="CN21" s="35">
        <f t="shared" si="36"/>
        <v>4.6188580680000021E-2</v>
      </c>
      <c r="CO21" s="35">
        <f t="shared" si="36"/>
        <v>0.10545338054794526</v>
      </c>
      <c r="CP21" s="42">
        <f t="shared" si="58"/>
        <v>0.38037633244719987</v>
      </c>
      <c r="CQ21" s="36">
        <f t="shared" si="59"/>
        <v>0.43926999999999999</v>
      </c>
    </row>
    <row r="22" spans="2:95" x14ac:dyDescent="0.3">
      <c r="B22">
        <v>4</v>
      </c>
      <c r="C22">
        <v>7812.6</v>
      </c>
      <c r="D22">
        <v>63643.6</v>
      </c>
      <c r="E22">
        <v>7286.3</v>
      </c>
      <c r="F22">
        <f t="shared" si="60"/>
        <v>6.3643599999999996</v>
      </c>
      <c r="G22">
        <f t="shared" si="61"/>
        <v>0.78126000000000007</v>
      </c>
      <c r="H22">
        <f t="shared" si="62"/>
        <v>5.5831</v>
      </c>
      <c r="I22">
        <f t="shared" si="64"/>
        <v>0.72863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0.76556441682418974</v>
      </c>
      <c r="P22" s="4">
        <v>3</v>
      </c>
      <c r="Q22" s="5">
        <f t="shared" si="67"/>
        <v>5.5831</v>
      </c>
      <c r="R22" s="5">
        <f t="shared" si="67"/>
        <v>0.72863</v>
      </c>
      <c r="S22" s="5">
        <f t="shared" si="68"/>
        <v>6.2028241</v>
      </c>
      <c r="T22" s="5">
        <f t="shared" si="69"/>
        <v>0.37216944599999996</v>
      </c>
      <c r="U22" s="5">
        <f t="shared" si="70"/>
        <v>0.84970193150684936</v>
      </c>
      <c r="V22" s="5">
        <f t="shared" si="63"/>
        <v>0.76556441682418974</v>
      </c>
      <c r="W22" s="19"/>
      <c r="X22" s="34">
        <f t="shared" si="12"/>
        <v>0.28070077803233701</v>
      </c>
      <c r="Y22" s="35">
        <f t="shared" si="13"/>
        <v>6.1762198162499997</v>
      </c>
      <c r="Z22" s="35">
        <f t="shared" si="13"/>
        <v>0.37057318897499997</v>
      </c>
      <c r="AA22" s="35">
        <f t="shared" si="13"/>
        <v>0.8460575090753425</v>
      </c>
      <c r="AB22" s="42">
        <f t="shared" si="37"/>
        <v>0.22362104124211349</v>
      </c>
      <c r="AC22" s="36">
        <f t="shared" si="14"/>
        <v>3.3150499999999998</v>
      </c>
      <c r="AD22" s="34">
        <f t="shared" si="15"/>
        <v>0.18713385202155799</v>
      </c>
      <c r="AE22" s="35">
        <f t="shared" si="16"/>
        <v>4.30099069125</v>
      </c>
      <c r="AF22" s="35">
        <f t="shared" si="16"/>
        <v>0.25805944147499998</v>
      </c>
      <c r="AG22" s="35">
        <f t="shared" si="16"/>
        <v>0.58917680702054798</v>
      </c>
      <c r="AH22" s="42">
        <f t="shared" si="38"/>
        <v>3.5737222487530772E-2</v>
      </c>
      <c r="AI22" s="36">
        <f t="shared" si="39"/>
        <v>0.36893000000000004</v>
      </c>
      <c r="AJ22" s="34">
        <f t="shared" si="17"/>
        <v>0.1403503890161685</v>
      </c>
      <c r="AK22" s="35">
        <f t="shared" si="18"/>
        <v>3.1562468437500004</v>
      </c>
      <c r="AL22" s="35">
        <f t="shared" si="18"/>
        <v>0.18937481062500003</v>
      </c>
      <c r="AM22" s="35">
        <f t="shared" si="18"/>
        <v>0.4323625813356165</v>
      </c>
      <c r="AN22" s="42">
        <f t="shared" si="40"/>
        <v>0.16849684849684848</v>
      </c>
      <c r="AO22" s="36">
        <f t="shared" si="41"/>
        <v>1.2764899999999999</v>
      </c>
      <c r="AP22" s="34">
        <f t="shared" si="19"/>
        <v>0.1122803112129348</v>
      </c>
      <c r="AQ22" s="35">
        <f t="shared" si="20"/>
        <v>2.2300769699999998</v>
      </c>
      <c r="AR22" s="35">
        <f t="shared" si="20"/>
        <v>0.13380461819999998</v>
      </c>
      <c r="AS22" s="35">
        <f t="shared" si="20"/>
        <v>0.30548999589041093</v>
      </c>
      <c r="AT22" s="42">
        <f t="shared" si="42"/>
        <v>0.12140743397749182</v>
      </c>
      <c r="AU22" s="36">
        <f t="shared" si="43"/>
        <v>0.64985999999999999</v>
      </c>
      <c r="AV22" s="34">
        <f t="shared" si="21"/>
        <v>9.3566926010778997E-2</v>
      </c>
      <c r="AW22" s="35">
        <f t="shared" si="22"/>
        <v>1.8180390112500002</v>
      </c>
      <c r="AX22" s="35">
        <f t="shared" si="22"/>
        <v>0.10908234067500001</v>
      </c>
      <c r="AY22" s="35">
        <f t="shared" si="22"/>
        <v>0.2490464398972603</v>
      </c>
      <c r="AZ22" s="42">
        <f t="shared" si="44"/>
        <v>0.16953844532086082</v>
      </c>
      <c r="BA22" s="36">
        <f t="shared" si="45"/>
        <v>0.73982000000000003</v>
      </c>
      <c r="BB22" s="34">
        <f t="shared" si="23"/>
        <v>8.0200222294953424E-2</v>
      </c>
      <c r="BC22" s="35">
        <f t="shared" si="24"/>
        <v>1.1657542462500001</v>
      </c>
      <c r="BD22" s="35">
        <f t="shared" si="24"/>
        <v>6.9945254775000007E-2</v>
      </c>
      <c r="BE22" s="35">
        <f t="shared" si="24"/>
        <v>0.15969236250000002</v>
      </c>
      <c r="BF22" s="42">
        <f t="shared" si="46"/>
        <v>0.25654285601964194</v>
      </c>
      <c r="BG22" s="36">
        <f t="shared" si="47"/>
        <v>0.71782999999999997</v>
      </c>
      <c r="BH22" s="34">
        <f t="shared" si="25"/>
        <v>7.0175194508084252E-2</v>
      </c>
      <c r="BI22" s="35">
        <f t="shared" si="26"/>
        <v>1.1733118237500002</v>
      </c>
      <c r="BJ22" s="35">
        <f t="shared" si="26"/>
        <v>7.0398709425000011E-2</v>
      </c>
      <c r="BK22" s="35">
        <f t="shared" si="26"/>
        <v>0.16072764708904114</v>
      </c>
      <c r="BL22" s="42">
        <f t="shared" si="48"/>
        <v>0.22122482893797735</v>
      </c>
      <c r="BM22" s="36">
        <f t="shared" si="49"/>
        <v>0.62302000000000002</v>
      </c>
      <c r="BN22" s="34">
        <f t="shared" si="27"/>
        <v>6.237795067385267E-2</v>
      </c>
      <c r="BO22" s="35">
        <f t="shared" si="28"/>
        <v>0.83666215874999972</v>
      </c>
      <c r="BP22" s="35">
        <f t="shared" si="28"/>
        <v>5.0199729524999979E-2</v>
      </c>
      <c r="BQ22" s="35">
        <f t="shared" si="28"/>
        <v>0.11461125462328764</v>
      </c>
      <c r="BR22" s="42">
        <f t="shared" si="50"/>
        <v>0.37884861492189498</v>
      </c>
      <c r="BS22" s="36">
        <f t="shared" si="51"/>
        <v>0.76080000000000003</v>
      </c>
      <c r="BT22" s="34">
        <f t="shared" si="29"/>
        <v>5.6140155606467401E-2</v>
      </c>
      <c r="BU22" s="35">
        <f t="shared" si="30"/>
        <v>1.1899893225</v>
      </c>
      <c r="BV22" s="35">
        <f t="shared" si="30"/>
        <v>7.1399359349999997E-2</v>
      </c>
      <c r="BW22" s="35">
        <f t="shared" si="30"/>
        <v>0.1630122359589041</v>
      </c>
      <c r="BX22" s="42">
        <f t="shared" si="52"/>
        <v>0.22540665065505242</v>
      </c>
      <c r="BY22" s="36">
        <f t="shared" si="53"/>
        <v>0.64381999999999995</v>
      </c>
      <c r="BZ22" s="34">
        <f t="shared" si="31"/>
        <v>3.7426770404311603E-2</v>
      </c>
      <c r="CA22" s="35">
        <f t="shared" si="32"/>
        <v>0.66710828250000043</v>
      </c>
      <c r="CB22" s="35">
        <f t="shared" si="32"/>
        <v>4.0026496950000025E-2</v>
      </c>
      <c r="CC22" s="35">
        <f t="shared" si="32"/>
        <v>9.1384696232876775E-2</v>
      </c>
      <c r="CD22" s="42">
        <f t="shared" si="54"/>
        <v>0.30993242652477465</v>
      </c>
      <c r="CE22" s="36">
        <f t="shared" si="55"/>
        <v>0.49626999999999999</v>
      </c>
      <c r="CF22" s="34">
        <f t="shared" si="33"/>
        <v>2.8070077803233701E-2</v>
      </c>
      <c r="CG22" s="35">
        <f t="shared" si="34"/>
        <v>0.73435572375000002</v>
      </c>
      <c r="CH22" s="35">
        <f t="shared" si="34"/>
        <v>4.4061343424999996E-2</v>
      </c>
      <c r="CI22" s="35">
        <f t="shared" si="34"/>
        <v>0.10059667448630137</v>
      </c>
      <c r="CJ22" s="42">
        <f t="shared" si="56"/>
        <v>0.31091040093496647</v>
      </c>
      <c r="CK22" s="36">
        <f t="shared" si="57"/>
        <v>0.54801999999999995</v>
      </c>
      <c r="CL22" s="34">
        <f t="shared" si="35"/>
        <v>2.245606224258696E-2</v>
      </c>
      <c r="CM22" s="35">
        <f t="shared" si="36"/>
        <v>1.5338132700000002</v>
      </c>
      <c r="CN22" s="35">
        <f t="shared" si="36"/>
        <v>9.2028796200000013E-2</v>
      </c>
      <c r="CO22" s="35">
        <f t="shared" si="36"/>
        <v>0.21011140684931509</v>
      </c>
      <c r="CP22" s="42">
        <f t="shared" si="58"/>
        <v>0.12314207175297158</v>
      </c>
      <c r="CQ22" s="36">
        <f t="shared" si="59"/>
        <v>0.45334999999999998</v>
      </c>
    </row>
    <row r="23" spans="2:95" x14ac:dyDescent="0.3">
      <c r="B23">
        <v>5</v>
      </c>
      <c r="C23">
        <v>15307.3</v>
      </c>
      <c r="D23">
        <v>64575.7</v>
      </c>
      <c r="E23">
        <v>7069.6</v>
      </c>
      <c r="F23">
        <f t="shared" si="60"/>
        <v>6.4575699999999996</v>
      </c>
      <c r="G23">
        <f t="shared" si="61"/>
        <v>1.5307299999999999</v>
      </c>
      <c r="H23">
        <f t="shared" si="62"/>
        <v>4.9268399999999994</v>
      </c>
      <c r="I23">
        <f t="shared" si="64"/>
        <v>0.70696000000000003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0.55332190013679428</v>
      </c>
      <c r="P23" s="4">
        <v>3</v>
      </c>
      <c r="Q23" s="5">
        <f t="shared" si="67"/>
        <v>4.9268399999999994</v>
      </c>
      <c r="R23" s="5">
        <f t="shared" si="67"/>
        <v>0.70696000000000003</v>
      </c>
      <c r="S23" s="5">
        <f t="shared" si="68"/>
        <v>5.4737192399999994</v>
      </c>
      <c r="T23" s="5">
        <f t="shared" si="69"/>
        <v>0.32842315439999997</v>
      </c>
      <c r="U23" s="5">
        <f t="shared" si="70"/>
        <v>0.74982455342465748</v>
      </c>
      <c r="V23" s="5">
        <f t="shared" si="63"/>
        <v>0.55332190013679428</v>
      </c>
      <c r="W23" s="19"/>
      <c r="X23" s="34">
        <f t="shared" si="12"/>
        <v>0.20101496689095116</v>
      </c>
      <c r="Y23" s="35">
        <f t="shared" si="13"/>
        <v>4.4548092364285727</v>
      </c>
      <c r="Z23" s="35">
        <f t="shared" si="13"/>
        <v>0.26728855418571434</v>
      </c>
      <c r="AA23" s="35">
        <f t="shared" si="13"/>
        <v>0.61024784060665382</v>
      </c>
      <c r="AB23" s="42">
        <f t="shared" si="37"/>
        <v>0.13033833242393811</v>
      </c>
      <c r="AC23" s="36">
        <f t="shared" si="14"/>
        <v>2.4388999999999998</v>
      </c>
      <c r="AD23" s="34">
        <f t="shared" si="15"/>
        <v>0.13400997792730077</v>
      </c>
      <c r="AE23" s="35">
        <f t="shared" si="16"/>
        <v>3.1083081857142858</v>
      </c>
      <c r="AF23" s="35">
        <f t="shared" si="16"/>
        <v>0.18649849114285713</v>
      </c>
      <c r="AG23" s="35">
        <f t="shared" si="16"/>
        <v>0.42579564187866931</v>
      </c>
      <c r="AH23" s="42">
        <f t="shared" si="38"/>
        <v>8.2265896662122209E-2</v>
      </c>
      <c r="AI23" s="36">
        <f t="shared" si="39"/>
        <v>1.0740799999999999</v>
      </c>
      <c r="AJ23" s="34">
        <f t="shared" si="17"/>
        <v>0.10050748344547558</v>
      </c>
      <c r="AK23" s="35">
        <f t="shared" si="18"/>
        <v>2.2519009778571437</v>
      </c>
      <c r="AL23" s="35">
        <f t="shared" si="18"/>
        <v>0.13511405867142862</v>
      </c>
      <c r="AM23" s="35">
        <f t="shared" si="18"/>
        <v>0.30847958600782793</v>
      </c>
      <c r="AN23" s="42">
        <f t="shared" si="40"/>
        <v>0.10865922466917503</v>
      </c>
      <c r="AO23" s="36">
        <f t="shared" si="41"/>
        <v>1.0278</v>
      </c>
      <c r="AP23" s="34">
        <f t="shared" si="19"/>
        <v>8.0405986756380471E-2</v>
      </c>
      <c r="AQ23" s="35">
        <f t="shared" si="20"/>
        <v>1.0878602507142858</v>
      </c>
      <c r="AR23" s="35">
        <f t="shared" si="20"/>
        <v>6.5271615042857153E-2</v>
      </c>
      <c r="AS23" s="35">
        <f t="shared" si="20"/>
        <v>0.14902195215264188</v>
      </c>
      <c r="AT23" s="42">
        <f t="shared" si="42"/>
        <v>0.22038660938795962</v>
      </c>
      <c r="AU23" s="36">
        <f t="shared" si="43"/>
        <v>1.00705</v>
      </c>
      <c r="AV23" s="34">
        <f t="shared" si="21"/>
        <v>6.7004988963650383E-2</v>
      </c>
      <c r="AW23" s="35">
        <f t="shared" si="22"/>
        <v>1.2816337285714283</v>
      </c>
      <c r="AX23" s="35">
        <f t="shared" si="22"/>
        <v>7.6898023714285696E-2</v>
      </c>
      <c r="AY23" s="35">
        <f t="shared" si="22"/>
        <v>0.17556626418786689</v>
      </c>
      <c r="AZ23" s="42">
        <f t="shared" si="44"/>
        <v>0.17854329977337746</v>
      </c>
      <c r="BA23" s="36">
        <f t="shared" si="45"/>
        <v>0.96117000000000008</v>
      </c>
      <c r="BB23" s="34">
        <f t="shared" si="23"/>
        <v>5.7432847683128903E-2</v>
      </c>
      <c r="BC23" s="35">
        <f t="shared" si="24"/>
        <v>0.8987172621428573</v>
      </c>
      <c r="BD23" s="35">
        <f t="shared" si="24"/>
        <v>5.3923035728571433E-2</v>
      </c>
      <c r="BE23" s="35">
        <f t="shared" si="24"/>
        <v>0.12311195371819963</v>
      </c>
      <c r="BF23" s="42">
        <f t="shared" si="46"/>
        <v>0.26877422191846867</v>
      </c>
      <c r="BG23" s="36">
        <f t="shared" si="47"/>
        <v>1.0146200000000001</v>
      </c>
      <c r="BH23" s="34">
        <f t="shared" si="25"/>
        <v>5.0253741722737791E-2</v>
      </c>
      <c r="BI23" s="35">
        <f t="shared" si="26"/>
        <v>1.1878026364285716</v>
      </c>
      <c r="BJ23" s="35">
        <f t="shared" si="26"/>
        <v>7.1268158185714289E-2</v>
      </c>
      <c r="BK23" s="35">
        <f t="shared" si="26"/>
        <v>0.16271268992172214</v>
      </c>
      <c r="BL23" s="42">
        <f t="shared" si="48"/>
        <v>0.21798780182271152</v>
      </c>
      <c r="BM23" s="36">
        <f t="shared" si="49"/>
        <v>1.0875999999999999</v>
      </c>
      <c r="BN23" s="34">
        <f t="shared" si="27"/>
        <v>4.4669992642433591E-2</v>
      </c>
      <c r="BO23" s="35">
        <f t="shared" si="28"/>
        <v>0.81316867500000001</v>
      </c>
      <c r="BP23" s="35">
        <f t="shared" si="28"/>
        <v>4.8790120499999999E-2</v>
      </c>
      <c r="BQ23" s="35">
        <f t="shared" si="28"/>
        <v>0.1113929691780822</v>
      </c>
      <c r="BR23" s="42">
        <f t="shared" si="50"/>
        <v>0.28748261677865122</v>
      </c>
      <c r="BS23" s="36">
        <f t="shared" si="51"/>
        <v>0.98193999999999992</v>
      </c>
      <c r="BT23" s="34">
        <f t="shared" si="29"/>
        <v>4.0202993378190235E-2</v>
      </c>
      <c r="BU23" s="35">
        <f t="shared" si="30"/>
        <v>0.6439665492857144</v>
      </c>
      <c r="BV23" s="35">
        <f t="shared" si="30"/>
        <v>3.8637992957142861E-2</v>
      </c>
      <c r="BW23" s="35">
        <f t="shared" si="30"/>
        <v>8.8214595792563619E-2</v>
      </c>
      <c r="BX23" s="42">
        <f t="shared" si="52"/>
        <v>0.34785743069136721</v>
      </c>
      <c r="BY23" s="36">
        <f t="shared" si="53"/>
        <v>0.94092999999999993</v>
      </c>
      <c r="BZ23" s="34">
        <f t="shared" si="31"/>
        <v>2.6801995585460155E-2</v>
      </c>
      <c r="CA23" s="35">
        <f t="shared" si="32"/>
        <v>0.69811589571428578</v>
      </c>
      <c r="CB23" s="35">
        <f t="shared" si="32"/>
        <v>4.1886953742857148E-2</v>
      </c>
      <c r="CC23" s="35">
        <f t="shared" si="32"/>
        <v>9.563231448140902E-2</v>
      </c>
      <c r="CD23" s="42">
        <f t="shared" si="54"/>
        <v>0.2039606053785662</v>
      </c>
      <c r="CE23" s="36">
        <f t="shared" si="55"/>
        <v>0.59809000000000001</v>
      </c>
      <c r="CF23" s="34">
        <f t="shared" si="33"/>
        <v>2.0101496689095118E-2</v>
      </c>
      <c r="CG23" s="35">
        <f t="shared" si="34"/>
        <v>1.2621499628571426</v>
      </c>
      <c r="CH23" s="35">
        <f t="shared" si="34"/>
        <v>7.5728997771428552E-2</v>
      </c>
      <c r="CI23" s="35">
        <f t="shared" si="34"/>
        <v>0.17289725518590995</v>
      </c>
      <c r="CJ23" s="42">
        <f t="shared" si="56"/>
        <v>7.7322523936350807E-2</v>
      </c>
      <c r="CK23" s="36">
        <f t="shared" si="57"/>
        <v>0.40993000000000002</v>
      </c>
      <c r="CL23" s="34">
        <f t="shared" si="35"/>
        <v>1.6081197351276093E-2</v>
      </c>
      <c r="CM23" s="35">
        <f t="shared" si="36"/>
        <v>0.4898438678571429</v>
      </c>
      <c r="CN23" s="35">
        <f t="shared" si="36"/>
        <v>2.9390632071428571E-2</v>
      </c>
      <c r="CO23" s="35">
        <f t="shared" si="36"/>
        <v>6.7101899706457926E-2</v>
      </c>
      <c r="CP23" s="42">
        <f t="shared" si="58"/>
        <v>0.18124468421180526</v>
      </c>
      <c r="CQ23" s="36">
        <f t="shared" si="59"/>
        <v>0.37291999999999997</v>
      </c>
    </row>
    <row r="24" spans="2:95" ht="15" thickBot="1" x14ac:dyDescent="0.35">
      <c r="B24">
        <v>6</v>
      </c>
      <c r="C24">
        <v>12571.3</v>
      </c>
      <c r="D24">
        <v>87657.7</v>
      </c>
      <c r="E24">
        <v>8398.2000000000007</v>
      </c>
      <c r="F24">
        <f t="shared" si="60"/>
        <v>8.7657699999999998</v>
      </c>
      <c r="G24">
        <f t="shared" si="61"/>
        <v>1.2571299999999999</v>
      </c>
      <c r="H24">
        <f t="shared" si="62"/>
        <v>7.5086399999999998</v>
      </c>
      <c r="I24">
        <f t="shared" si="64"/>
        <v>0.83982000000000012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0.38300530434979718</v>
      </c>
      <c r="P24" s="4">
        <v>4</v>
      </c>
      <c r="Q24" s="5">
        <f t="shared" si="67"/>
        <v>7.5086399999999998</v>
      </c>
      <c r="R24" s="5">
        <f t="shared" si="67"/>
        <v>0.83982000000000012</v>
      </c>
      <c r="S24" s="5">
        <f t="shared" si="68"/>
        <v>6.2565742799999997</v>
      </c>
      <c r="T24" s="5">
        <f t="shared" si="69"/>
        <v>0.37539445679999994</v>
      </c>
      <c r="U24" s="5">
        <f t="shared" si="70"/>
        <v>0.85706496986301373</v>
      </c>
      <c r="V24" s="5">
        <f t="shared" si="63"/>
        <v>0.38300530434979718</v>
      </c>
      <c r="W24" s="19"/>
      <c r="X24" s="37">
        <f t="shared" si="12"/>
        <v>0.12963013385450756</v>
      </c>
      <c r="Y24" s="38">
        <f t="shared" si="13"/>
        <v>3.6200300242857142</v>
      </c>
      <c r="Z24" s="38">
        <f t="shared" si="13"/>
        <v>0.21720180145714285</v>
      </c>
      <c r="AA24" s="38">
        <f t="shared" si="13"/>
        <v>0.49589452387475536</v>
      </c>
      <c r="AB24" s="43">
        <f t="shared" si="37"/>
        <v>0.23029909502917117</v>
      </c>
      <c r="AC24" s="39">
        <f t="shared" si="14"/>
        <v>5.2527699999999999</v>
      </c>
      <c r="AD24" s="37">
        <f t="shared" si="15"/>
        <v>8.6420089236338371E-2</v>
      </c>
      <c r="AE24" s="38">
        <f t="shared" si="16"/>
        <v>1.7510534485714286</v>
      </c>
      <c r="AF24" s="38">
        <f t="shared" si="16"/>
        <v>0.10506320691428571</v>
      </c>
      <c r="AG24" s="38">
        <f t="shared" si="16"/>
        <v>0.23987033542074365</v>
      </c>
      <c r="AH24" s="43">
        <f t="shared" si="38"/>
        <v>0.30676423082570603</v>
      </c>
      <c r="AI24" s="39">
        <f t="shared" si="39"/>
        <v>3.3844500000000002</v>
      </c>
      <c r="AJ24" s="37">
        <f t="shared" si="17"/>
        <v>6.4815066927253778E-2</v>
      </c>
      <c r="AK24" s="38">
        <f t="shared" si="18"/>
        <v>0.49013193428571433</v>
      </c>
      <c r="AL24" s="38">
        <f t="shared" si="18"/>
        <v>2.9407916057142859E-2</v>
      </c>
      <c r="AM24" s="38">
        <f t="shared" si="18"/>
        <v>6.7141360861056765E-2</v>
      </c>
      <c r="AN24" s="43">
        <f t="shared" si="40"/>
        <v>0.66279702345100922</v>
      </c>
      <c r="AO24" s="39">
        <f t="shared" si="41"/>
        <v>2.0468099999999998</v>
      </c>
      <c r="AP24" s="37">
        <f t="shared" si="19"/>
        <v>5.1852053541803021E-2</v>
      </c>
      <c r="AQ24" s="38">
        <f t="shared" si="20"/>
        <v>1.333199999999994E-3</v>
      </c>
      <c r="AR24" s="38">
        <f t="shared" si="20"/>
        <v>7.9991999999999637E-5</v>
      </c>
      <c r="AS24" s="38">
        <f t="shared" si="20"/>
        <v>1.8263013698630056E-4</v>
      </c>
      <c r="AT24" s="43">
        <f t="shared" si="42"/>
        <v>220.71190476190571</v>
      </c>
      <c r="AU24" s="39">
        <f t="shared" si="43"/>
        <v>1.85398</v>
      </c>
      <c r="AV24" s="37">
        <f t="shared" si="21"/>
        <v>4.3210044618169186E-2</v>
      </c>
      <c r="AW24" s="38">
        <f t="shared" si="22"/>
        <v>0.12174655428571431</v>
      </c>
      <c r="AX24" s="38">
        <f t="shared" si="22"/>
        <v>7.3047932571428578E-3</v>
      </c>
      <c r="AY24" s="38">
        <f t="shared" si="22"/>
        <v>1.6677610176125249E-2</v>
      </c>
      <c r="AZ24" s="43">
        <f t="shared" si="44"/>
        <v>1.9005970694060592</v>
      </c>
      <c r="BA24" s="39">
        <f t="shared" si="45"/>
        <v>1.45791</v>
      </c>
      <c r="BB24" s="37">
        <f t="shared" si="23"/>
        <v>3.7037181101287876E-2</v>
      </c>
      <c r="BC24" s="38">
        <f t="shared" si="24"/>
        <v>5.7930714285714252E-3</v>
      </c>
      <c r="BD24" s="38">
        <f t="shared" si="24"/>
        <v>3.4758428571428552E-4</v>
      </c>
      <c r="BE24" s="38">
        <f t="shared" si="24"/>
        <v>7.935714285714281E-4</v>
      </c>
      <c r="BF24" s="43">
        <f t="shared" si="46"/>
        <v>32.296712328767136</v>
      </c>
      <c r="BG24" s="39">
        <f t="shared" si="47"/>
        <v>1.1788299999999998</v>
      </c>
      <c r="BH24" s="37">
        <f t="shared" si="25"/>
        <v>3.2407533463626889E-2</v>
      </c>
      <c r="BI24" s="38">
        <f t="shared" si="26"/>
        <v>0.22002244000000001</v>
      </c>
      <c r="BJ24" s="38">
        <f t="shared" si="26"/>
        <v>1.3201346400000001E-2</v>
      </c>
      <c r="BK24" s="38">
        <f t="shared" si="26"/>
        <v>3.0140060273972605E-2</v>
      </c>
      <c r="BL24" s="43">
        <f t="shared" si="48"/>
        <v>0.36248809764261192</v>
      </c>
      <c r="BM24" s="39">
        <f t="shared" si="49"/>
        <v>0.50251000000000001</v>
      </c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11589.3</v>
      </c>
      <c r="D25">
        <v>83837</v>
      </c>
      <c r="E25">
        <v>6645.6</v>
      </c>
      <c r="F25">
        <f t="shared" si="60"/>
        <v>8.3836999999999993</v>
      </c>
      <c r="G25">
        <f t="shared" si="61"/>
        <v>1.15893</v>
      </c>
      <c r="H25">
        <f t="shared" si="62"/>
        <v>7.2247699999999995</v>
      </c>
      <c r="I25">
        <f t="shared" si="64"/>
        <v>0.66456000000000004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0.27688071320084778</v>
      </c>
      <c r="P25" s="4">
        <v>4</v>
      </c>
      <c r="Q25" s="5">
        <f t="shared" si="67"/>
        <v>7.2247699999999995</v>
      </c>
      <c r="R25" s="5">
        <f t="shared" si="67"/>
        <v>0.66456000000000004</v>
      </c>
      <c r="S25" s="5">
        <f t="shared" si="68"/>
        <v>6.0200396024999998</v>
      </c>
      <c r="T25" s="5">
        <f t="shared" si="69"/>
        <v>0.36120237614999995</v>
      </c>
      <c r="U25" s="5">
        <f t="shared" si="70"/>
        <v>0.82466295924657529</v>
      </c>
      <c r="V25" s="5">
        <f t="shared" si="63"/>
        <v>0.27688071320084778</v>
      </c>
      <c r="W25" s="19"/>
      <c r="X25" s="20"/>
      <c r="Y25" s="21"/>
      <c r="Z25" s="18"/>
      <c r="AA25" s="22">
        <f>MAX(AA14:AA24)</f>
        <v>1.2749303328767119</v>
      </c>
      <c r="AB25" s="17"/>
      <c r="AC25" s="26">
        <f>MIN(AC14:AC24)</f>
        <v>0.43521000000000004</v>
      </c>
      <c r="AG25" s="22">
        <f>MAX(AG14:AG24)</f>
        <v>0.85706496986301373</v>
      </c>
      <c r="AI25" s="26">
        <f>MIN(AI14:AI24)</f>
        <v>0.36893000000000004</v>
      </c>
      <c r="AM25" s="22">
        <f>MAX(AM14:AM24)</f>
        <v>0.6766964027397262</v>
      </c>
      <c r="AO25" s="26">
        <f>MIN(AO14:AO24)</f>
        <v>0.65043000000000006</v>
      </c>
      <c r="AS25" s="22">
        <f>MAX(AS14:AS24)</f>
        <v>0.58750440958904127</v>
      </c>
      <c r="AU25" s="26">
        <f>MIN(AU14:AU24)</f>
        <v>0.50423999999999991</v>
      </c>
      <c r="AY25" s="22">
        <f>MAX(AY14:AY24)</f>
        <v>0.55301318630136997</v>
      </c>
      <c r="BA25" s="26">
        <f>MIN(BA14:BA24)</f>
        <v>0.55474000000000001</v>
      </c>
      <c r="BE25" s="22">
        <f>MAX(BE14:BE24)</f>
        <v>0.57722385479452054</v>
      </c>
      <c r="BG25" s="26">
        <f>MIN(BG14:BG24)</f>
        <v>0.49813999999999997</v>
      </c>
      <c r="BK25" s="22">
        <f>MAX(BK14:BK24)</f>
        <v>0.56838607808219177</v>
      </c>
      <c r="BM25" s="26">
        <f>MIN(BM14:BM24)</f>
        <v>0.50251000000000001</v>
      </c>
      <c r="BQ25" s="22">
        <f>MAX(BQ14:BQ24)</f>
        <v>0.57588608904109584</v>
      </c>
      <c r="BS25" s="26">
        <f>MIN(BS14:BS24)</f>
        <v>0.54320000000000002</v>
      </c>
      <c r="BW25" s="22">
        <f>MAX(BW14:BW24)</f>
        <v>0.58256578630136979</v>
      </c>
      <c r="BY25" s="26">
        <f>MIN(BY14:BY24)</f>
        <v>0.55447999999999997</v>
      </c>
      <c r="CC25" s="22">
        <f>MAX(CC14:CC24)</f>
        <v>0.62228479726027408</v>
      </c>
      <c r="CE25" s="26">
        <f>MIN(CE14:CE24)</f>
        <v>0.48583999999999994</v>
      </c>
      <c r="CI25" s="22">
        <f>MAX(CI14:CI24)</f>
        <v>0.62034891780821932</v>
      </c>
      <c r="CK25" s="26">
        <f>MIN(CK14:CK24)</f>
        <v>0.40993000000000002</v>
      </c>
      <c r="CO25" s="22">
        <f>MAX(CO14:CO24)</f>
        <v>0.6956397136986302</v>
      </c>
      <c r="CQ25" s="26">
        <f>MIN(CQ14:CQ24)</f>
        <v>0.37291999999999997</v>
      </c>
    </row>
    <row r="26" spans="2:95" x14ac:dyDescent="0.3">
      <c r="B26">
        <v>8</v>
      </c>
      <c r="C26">
        <v>14362.5</v>
      </c>
      <c r="D26">
        <v>94660.1</v>
      </c>
      <c r="E26">
        <v>5556.9</v>
      </c>
      <c r="F26">
        <f t="shared" si="60"/>
        <v>9.4660100000000007</v>
      </c>
      <c r="G26">
        <f t="shared" si="61"/>
        <v>1.43625</v>
      </c>
      <c r="H26">
        <f t="shared" si="62"/>
        <v>8.0297600000000013</v>
      </c>
      <c r="I26">
        <f t="shared" si="64"/>
        <v>0.55569000000000002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0.23219647994067658</v>
      </c>
      <c r="P26" s="4">
        <v>5</v>
      </c>
      <c r="Q26" s="5">
        <f t="shared" si="67"/>
        <v>8.0297600000000013</v>
      </c>
      <c r="R26" s="5">
        <f t="shared" si="67"/>
        <v>0.55569000000000002</v>
      </c>
      <c r="S26" s="5">
        <f t="shared" si="68"/>
        <v>5.352638016000002</v>
      </c>
      <c r="T26" s="5">
        <f t="shared" si="69"/>
        <v>0.3211582809600001</v>
      </c>
      <c r="U26" s="5">
        <f t="shared" si="70"/>
        <v>0.73323808438356197</v>
      </c>
      <c r="V26" s="5">
        <f t="shared" si="63"/>
        <v>0.23219647994067658</v>
      </c>
      <c r="W26" s="19"/>
      <c r="X26" s="20"/>
      <c r="Y26" s="21"/>
      <c r="Z26" s="18"/>
    </row>
    <row r="27" spans="2:95" x14ac:dyDescent="0.3">
      <c r="B27">
        <v>9</v>
      </c>
      <c r="C27">
        <v>23029.8</v>
      </c>
      <c r="D27">
        <v>126263.9</v>
      </c>
      <c r="E27">
        <v>3689.3</v>
      </c>
      <c r="F27">
        <f t="shared" si="60"/>
        <v>12.626389999999999</v>
      </c>
      <c r="G27">
        <f t="shared" si="61"/>
        <v>2.3029799999999998</v>
      </c>
      <c r="H27">
        <f t="shared" si="62"/>
        <v>10.323409999999999</v>
      </c>
      <c r="I27">
        <f t="shared" si="64"/>
        <v>0.36893000000000004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0.18713385202155799</v>
      </c>
      <c r="P27" s="4">
        <v>8</v>
      </c>
      <c r="Q27" s="5">
        <f t="shared" si="67"/>
        <v>10.323409999999999</v>
      </c>
      <c r="R27" s="5">
        <f t="shared" si="67"/>
        <v>0.36893000000000004</v>
      </c>
      <c r="S27" s="5">
        <f t="shared" si="68"/>
        <v>4.30099069125</v>
      </c>
      <c r="T27" s="5">
        <f t="shared" si="69"/>
        <v>0.25805944147499998</v>
      </c>
      <c r="U27" s="5">
        <f t="shared" si="70"/>
        <v>0.58917680702054798</v>
      </c>
      <c r="V27" s="5">
        <f t="shared" si="63"/>
        <v>0.18713385202155799</v>
      </c>
      <c r="W27" s="19"/>
      <c r="X27" s="20"/>
      <c r="Y27" s="21"/>
      <c r="Z27" s="17"/>
    </row>
    <row r="28" spans="2:95" x14ac:dyDescent="0.3">
      <c r="B28">
        <v>10</v>
      </c>
      <c r="C28">
        <v>18729.3</v>
      </c>
      <c r="D28">
        <v>149291.29999999999</v>
      </c>
      <c r="E28">
        <v>10740.8</v>
      </c>
      <c r="F28">
        <f t="shared" si="60"/>
        <v>14.929129999999999</v>
      </c>
      <c r="G28">
        <f t="shared" si="61"/>
        <v>1.87293</v>
      </c>
      <c r="H28">
        <f t="shared" si="62"/>
        <v>13.056199999999999</v>
      </c>
      <c r="I28">
        <f t="shared" si="64"/>
        <v>1.0740799999999999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0.13400997792730077</v>
      </c>
      <c r="P28" s="4">
        <v>14</v>
      </c>
      <c r="Q28" s="5">
        <f t="shared" si="67"/>
        <v>13.056199999999999</v>
      </c>
      <c r="R28" s="5">
        <f t="shared" si="67"/>
        <v>1.0740799999999999</v>
      </c>
      <c r="S28" s="5">
        <f t="shared" si="68"/>
        <v>3.1083081857142858</v>
      </c>
      <c r="T28" s="5">
        <f t="shared" si="69"/>
        <v>0.18649849114285713</v>
      </c>
      <c r="U28" s="5">
        <f t="shared" si="70"/>
        <v>0.42579564187866931</v>
      </c>
      <c r="V28" s="5">
        <f t="shared" si="63"/>
        <v>0.13400997792730077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4618.7</v>
      </c>
      <c r="D29">
        <v>114946.1</v>
      </c>
      <c r="E29">
        <v>33844.5</v>
      </c>
      <c r="F29">
        <f t="shared" si="60"/>
        <v>11.49461</v>
      </c>
      <c r="G29">
        <f t="shared" si="61"/>
        <v>0.46187</v>
      </c>
      <c r="H29">
        <f t="shared" si="62"/>
        <v>11.03274</v>
      </c>
      <c r="I29">
        <f t="shared" si="64"/>
        <v>3.3844500000000002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8.6420089236338371E-2</v>
      </c>
      <c r="P29" s="7">
        <v>21</v>
      </c>
      <c r="Q29" s="6">
        <f t="shared" si="67"/>
        <v>11.03274</v>
      </c>
      <c r="R29" s="6">
        <f t="shared" si="67"/>
        <v>3.3844500000000002</v>
      </c>
      <c r="S29" s="6">
        <f t="shared" si="68"/>
        <v>1.7510534485714286</v>
      </c>
      <c r="T29" s="6">
        <f t="shared" si="69"/>
        <v>0.10506320691428571</v>
      </c>
      <c r="U29" s="6">
        <f t="shared" si="70"/>
        <v>0.23987033542074365</v>
      </c>
      <c r="V29" s="6">
        <f t="shared" si="63"/>
        <v>8.6420089236338371E-2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5706.6</v>
      </c>
      <c r="D33">
        <v>40279.5</v>
      </c>
      <c r="E33">
        <v>6942.7</v>
      </c>
      <c r="F33">
        <f t="shared" ref="F33:F43" si="72">D33/10000</f>
        <v>4.0279499999999997</v>
      </c>
      <c r="G33">
        <f t="shared" ref="G33:G43" si="73">C33/10000</f>
        <v>0.57066000000000006</v>
      </c>
      <c r="H33">
        <f t="shared" ref="H33:H43" si="74">F33-G33</f>
        <v>3.4572899999999995</v>
      </c>
      <c r="I33">
        <f>E33/10000</f>
        <v>0.69426999999999994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1.238807515875354</v>
      </c>
      <c r="P33" s="2">
        <v>3</v>
      </c>
      <c r="Q33" s="8">
        <f>H33</f>
        <v>3.4572899999999995</v>
      </c>
      <c r="R33" s="8">
        <f>I33</f>
        <v>0.69426999999999994</v>
      </c>
      <c r="S33" s="8">
        <f>Q33/10^6*$Z$4*$Z$3/P33*10^12</f>
        <v>3.8410491899999992</v>
      </c>
      <c r="T33" s="8">
        <f>S33*0.06</f>
        <v>0.23046295139999995</v>
      </c>
      <c r="U33" s="8">
        <f>S33/$Z$1</f>
        <v>0.52617112191780813</v>
      </c>
      <c r="V33" s="12">
        <f t="shared" ref="V33:V43" si="75">O33</f>
        <v>1.238807515875354</v>
      </c>
    </row>
    <row r="34" spans="2:22" x14ac:dyDescent="0.3">
      <c r="B34">
        <v>2</v>
      </c>
      <c r="C34">
        <v>4226.7</v>
      </c>
      <c r="D34">
        <v>46527.3</v>
      </c>
      <c r="E34">
        <v>6921.2</v>
      </c>
      <c r="F34">
        <f t="shared" si="72"/>
        <v>4.65273</v>
      </c>
      <c r="G34">
        <f t="shared" si="73"/>
        <v>0.42266999999999999</v>
      </c>
      <c r="H34">
        <f t="shared" si="74"/>
        <v>4.2300599999999999</v>
      </c>
      <c r="I34">
        <f t="shared" ref="I34:I43" si="76">E34/10000</f>
        <v>0.69211999999999996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1.0988697363115913</v>
      </c>
      <c r="P34" s="4">
        <v>3</v>
      </c>
      <c r="Q34" s="5">
        <f t="shared" ref="Q34:R43" si="79">H34</f>
        <v>4.2300599999999999</v>
      </c>
      <c r="R34" s="5">
        <f t="shared" si="79"/>
        <v>0.69211999999999996</v>
      </c>
      <c r="S34" s="5">
        <f t="shared" ref="S34:S43" si="80">Q34/10^6*$Z$4*$Z$3/P34*10^12</f>
        <v>4.6995966600000001</v>
      </c>
      <c r="T34" s="5">
        <f t="shared" ref="T34:T43" si="81">S34*0.06</f>
        <v>0.28197579960000002</v>
      </c>
      <c r="U34" s="5">
        <f t="shared" ref="U34:U43" si="82">S34/$Z$1</f>
        <v>0.64378036438356168</v>
      </c>
      <c r="V34" s="5">
        <f t="shared" si="75"/>
        <v>1.0988697363115913</v>
      </c>
    </row>
    <row r="35" spans="2:22" x14ac:dyDescent="0.3">
      <c r="B35">
        <v>3</v>
      </c>
      <c r="C35">
        <v>9820.7999999999993</v>
      </c>
      <c r="D35">
        <v>53531.6</v>
      </c>
      <c r="E35">
        <v>6700.4</v>
      </c>
      <c r="F35">
        <f t="shared" si="72"/>
        <v>5.3531599999999999</v>
      </c>
      <c r="G35">
        <f t="shared" si="73"/>
        <v>0.98207999999999995</v>
      </c>
      <c r="H35">
        <f t="shared" si="74"/>
        <v>4.3710800000000001</v>
      </c>
      <c r="I35">
        <f t="shared" si="76"/>
        <v>0.67003999999999997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0.94798801713418823</v>
      </c>
      <c r="P35" s="4">
        <v>3</v>
      </c>
      <c r="Q35" s="5">
        <f t="shared" si="79"/>
        <v>4.3710800000000001</v>
      </c>
      <c r="R35" s="5">
        <f t="shared" si="79"/>
        <v>0.67003999999999997</v>
      </c>
      <c r="S35" s="5">
        <f t="shared" si="80"/>
        <v>4.8562698800000001</v>
      </c>
      <c r="T35" s="5">
        <f t="shared" si="81"/>
        <v>0.29137619279999999</v>
      </c>
      <c r="U35" s="5">
        <f t="shared" si="82"/>
        <v>0.66524244931506848</v>
      </c>
      <c r="V35" s="5">
        <f t="shared" si="75"/>
        <v>0.94798801713418823</v>
      </c>
    </row>
    <row r="36" spans="2:22" x14ac:dyDescent="0.3">
      <c r="B36">
        <v>4</v>
      </c>
      <c r="C36">
        <v>16933.2</v>
      </c>
      <c r="D36">
        <v>53331.3</v>
      </c>
      <c r="E36">
        <v>7373.7</v>
      </c>
      <c r="F36">
        <f t="shared" si="72"/>
        <v>5.3331300000000006</v>
      </c>
      <c r="G36">
        <f t="shared" si="73"/>
        <v>1.6933200000000002</v>
      </c>
      <c r="H36">
        <f t="shared" si="74"/>
        <v>3.6398100000000007</v>
      </c>
      <c r="I36">
        <f t="shared" si="76"/>
        <v>0.73736999999999997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0.57417331261814231</v>
      </c>
      <c r="P36" s="4">
        <v>3</v>
      </c>
      <c r="Q36" s="5">
        <f t="shared" si="79"/>
        <v>3.6398100000000007</v>
      </c>
      <c r="R36" s="5">
        <f t="shared" si="79"/>
        <v>0.73736999999999997</v>
      </c>
      <c r="S36" s="5">
        <f t="shared" si="80"/>
        <v>4.0438289100000002</v>
      </c>
      <c r="T36" s="5">
        <f t="shared" si="81"/>
        <v>0.24262973460000001</v>
      </c>
      <c r="U36" s="5">
        <f t="shared" si="82"/>
        <v>0.55394916575342468</v>
      </c>
      <c r="V36" s="5">
        <f t="shared" si="75"/>
        <v>0.57417331261814231</v>
      </c>
    </row>
    <row r="37" spans="2:22" x14ac:dyDescent="0.3">
      <c r="B37">
        <v>5</v>
      </c>
      <c r="C37">
        <v>16741</v>
      </c>
      <c r="D37">
        <v>61204.4</v>
      </c>
      <c r="E37">
        <v>7189.4</v>
      </c>
      <c r="F37">
        <f t="shared" si="72"/>
        <v>6.1204400000000003</v>
      </c>
      <c r="G37">
        <f t="shared" si="73"/>
        <v>1.6740999999999999</v>
      </c>
      <c r="H37">
        <f t="shared" si="74"/>
        <v>4.4463400000000002</v>
      </c>
      <c r="I37">
        <f t="shared" si="76"/>
        <v>0.71893999999999991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0.41499142510259568</v>
      </c>
      <c r="P37" s="4">
        <v>3</v>
      </c>
      <c r="Q37" s="5">
        <f t="shared" si="79"/>
        <v>4.4463400000000002</v>
      </c>
      <c r="R37" s="5">
        <f t="shared" si="79"/>
        <v>0.71893999999999991</v>
      </c>
      <c r="S37" s="5">
        <f t="shared" si="80"/>
        <v>4.9398837400000009</v>
      </c>
      <c r="T37" s="5">
        <f t="shared" si="81"/>
        <v>0.29639302440000004</v>
      </c>
      <c r="U37" s="5">
        <f t="shared" si="82"/>
        <v>0.6766964027397262</v>
      </c>
      <c r="V37" s="5">
        <f t="shared" si="75"/>
        <v>0.41499142510259568</v>
      </c>
    </row>
    <row r="38" spans="2:22" x14ac:dyDescent="0.3">
      <c r="B38">
        <v>6</v>
      </c>
      <c r="C38">
        <v>26366.1</v>
      </c>
      <c r="D38">
        <v>74132.100000000006</v>
      </c>
      <c r="E38">
        <v>7890.8</v>
      </c>
      <c r="F38">
        <f t="shared" si="72"/>
        <v>7.4132100000000003</v>
      </c>
      <c r="G38">
        <f t="shared" si="73"/>
        <v>2.6366099999999997</v>
      </c>
      <c r="H38">
        <f t="shared" si="74"/>
        <v>4.7766000000000002</v>
      </c>
      <c r="I38">
        <f t="shared" si="76"/>
        <v>0.78908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0.28725397826234789</v>
      </c>
      <c r="P38" s="4">
        <v>4</v>
      </c>
      <c r="Q38" s="5">
        <f t="shared" si="79"/>
        <v>4.7766000000000002</v>
      </c>
      <c r="R38" s="5">
        <f t="shared" si="79"/>
        <v>0.78908</v>
      </c>
      <c r="S38" s="5">
        <f t="shared" si="80"/>
        <v>3.9801019500000003</v>
      </c>
      <c r="T38" s="5">
        <f t="shared" si="81"/>
        <v>0.23880611700000001</v>
      </c>
      <c r="U38" s="5">
        <f t="shared" si="82"/>
        <v>0.54521944520547949</v>
      </c>
      <c r="V38" s="5">
        <f t="shared" si="75"/>
        <v>0.28725397826234789</v>
      </c>
    </row>
    <row r="39" spans="2:22" x14ac:dyDescent="0.3">
      <c r="B39">
        <v>7</v>
      </c>
      <c r="C39">
        <v>33086.1</v>
      </c>
      <c r="D39">
        <v>73867.100000000006</v>
      </c>
      <c r="E39">
        <v>6504.3</v>
      </c>
      <c r="F39">
        <f t="shared" si="72"/>
        <v>7.3867100000000008</v>
      </c>
      <c r="G39">
        <f t="shared" si="73"/>
        <v>3.3086099999999998</v>
      </c>
      <c r="H39">
        <f t="shared" si="74"/>
        <v>4.0781000000000009</v>
      </c>
      <c r="I39">
        <f t="shared" si="76"/>
        <v>0.65043000000000006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0.20766053490063582</v>
      </c>
      <c r="P39" s="4">
        <v>4</v>
      </c>
      <c r="Q39" s="5">
        <f t="shared" si="79"/>
        <v>4.0781000000000009</v>
      </c>
      <c r="R39" s="5">
        <f t="shared" si="79"/>
        <v>0.65043000000000006</v>
      </c>
      <c r="S39" s="5">
        <f t="shared" si="80"/>
        <v>3.3980768250000004</v>
      </c>
      <c r="T39" s="5">
        <f t="shared" si="81"/>
        <v>0.20388460950000001</v>
      </c>
      <c r="U39" s="5">
        <f t="shared" si="82"/>
        <v>0.46548997602739733</v>
      </c>
      <c r="V39" s="5">
        <f t="shared" si="75"/>
        <v>0.20766053490063582</v>
      </c>
    </row>
    <row r="40" spans="2:22" x14ac:dyDescent="0.3">
      <c r="B40">
        <v>8</v>
      </c>
      <c r="C40">
        <v>31609.8</v>
      </c>
      <c r="D40">
        <v>84059.199999999997</v>
      </c>
      <c r="E40">
        <v>6759.8</v>
      </c>
      <c r="F40">
        <f t="shared" si="72"/>
        <v>8.4059200000000001</v>
      </c>
      <c r="G40">
        <f t="shared" si="73"/>
        <v>3.1609799999999999</v>
      </c>
      <c r="H40">
        <f t="shared" si="74"/>
        <v>5.2449399999999997</v>
      </c>
      <c r="I40">
        <f t="shared" si="76"/>
        <v>0.67598000000000003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0.17414735995550742</v>
      </c>
      <c r="P40" s="4">
        <v>5</v>
      </c>
      <c r="Q40" s="5">
        <f t="shared" si="79"/>
        <v>5.2449399999999997</v>
      </c>
      <c r="R40" s="5">
        <f t="shared" si="79"/>
        <v>0.67598000000000003</v>
      </c>
      <c r="S40" s="5">
        <f t="shared" si="80"/>
        <v>3.4962770039999995</v>
      </c>
      <c r="T40" s="5">
        <f t="shared" si="81"/>
        <v>0.20977662023999996</v>
      </c>
      <c r="U40" s="5">
        <f t="shared" si="82"/>
        <v>0.4789420553424657</v>
      </c>
      <c r="V40" s="5">
        <f t="shared" si="75"/>
        <v>0.17414735995550742</v>
      </c>
    </row>
    <row r="41" spans="2:22" x14ac:dyDescent="0.3">
      <c r="B41">
        <v>9</v>
      </c>
      <c r="C41">
        <v>23252.400000000001</v>
      </c>
      <c r="D41">
        <v>99009.9</v>
      </c>
      <c r="E41">
        <v>12764.9</v>
      </c>
      <c r="F41">
        <f t="shared" si="72"/>
        <v>9.9009900000000002</v>
      </c>
      <c r="G41">
        <f t="shared" si="73"/>
        <v>2.32524</v>
      </c>
      <c r="H41">
        <f t="shared" si="74"/>
        <v>7.5757500000000002</v>
      </c>
      <c r="I41">
        <f t="shared" si="76"/>
        <v>1.2764899999999999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0.1403503890161685</v>
      </c>
      <c r="P41" s="4">
        <v>8</v>
      </c>
      <c r="Q41" s="5">
        <f t="shared" si="79"/>
        <v>7.5757500000000002</v>
      </c>
      <c r="R41" s="5">
        <f t="shared" si="79"/>
        <v>1.2764899999999999</v>
      </c>
      <c r="S41" s="5">
        <f t="shared" si="80"/>
        <v>3.1562468437500004</v>
      </c>
      <c r="T41" s="5">
        <f t="shared" si="81"/>
        <v>0.18937481062500003</v>
      </c>
      <c r="U41" s="5">
        <f t="shared" si="82"/>
        <v>0.4323625813356165</v>
      </c>
      <c r="V41" s="5">
        <f t="shared" si="75"/>
        <v>0.1403503890161685</v>
      </c>
    </row>
    <row r="42" spans="2:22" x14ac:dyDescent="0.3">
      <c r="B42">
        <v>10</v>
      </c>
      <c r="C42">
        <v>17575.8</v>
      </c>
      <c r="D42">
        <v>112165.1</v>
      </c>
      <c r="E42">
        <v>10278</v>
      </c>
      <c r="F42">
        <f t="shared" si="72"/>
        <v>11.216510000000001</v>
      </c>
      <c r="G42">
        <f t="shared" si="73"/>
        <v>1.7575799999999999</v>
      </c>
      <c r="H42">
        <f t="shared" si="74"/>
        <v>9.4589300000000023</v>
      </c>
      <c r="I42">
        <f t="shared" si="76"/>
        <v>1.0278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0.10050748344547558</v>
      </c>
      <c r="P42" s="4">
        <v>14</v>
      </c>
      <c r="Q42" s="5">
        <f t="shared" si="79"/>
        <v>9.4589300000000023</v>
      </c>
      <c r="R42" s="5">
        <f t="shared" si="79"/>
        <v>1.0278</v>
      </c>
      <c r="S42" s="5">
        <f t="shared" si="80"/>
        <v>2.2519009778571437</v>
      </c>
      <c r="T42" s="5">
        <f t="shared" si="81"/>
        <v>0.13511405867142862</v>
      </c>
      <c r="U42" s="5">
        <f t="shared" si="82"/>
        <v>0.30847958600782793</v>
      </c>
      <c r="V42" s="5">
        <f t="shared" si="75"/>
        <v>0.10050748344547558</v>
      </c>
    </row>
    <row r="43" spans="2:22" ht="15" thickBot="1" x14ac:dyDescent="0.35">
      <c r="B43">
        <v>11</v>
      </c>
      <c r="C43">
        <v>13766.4</v>
      </c>
      <c r="D43">
        <v>44647.8</v>
      </c>
      <c r="E43">
        <v>20468.099999999999</v>
      </c>
      <c r="F43">
        <f t="shared" si="72"/>
        <v>4.4647800000000002</v>
      </c>
      <c r="G43">
        <f t="shared" si="73"/>
        <v>1.3766399999999999</v>
      </c>
      <c r="H43">
        <f t="shared" si="74"/>
        <v>3.0881400000000001</v>
      </c>
      <c r="I43">
        <f t="shared" si="76"/>
        <v>2.0468099999999998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6.4815066927253778E-2</v>
      </c>
      <c r="P43" s="7">
        <v>21</v>
      </c>
      <c r="Q43" s="6">
        <f t="shared" si="79"/>
        <v>3.0881400000000001</v>
      </c>
      <c r="R43" s="6">
        <f t="shared" si="79"/>
        <v>2.0468099999999998</v>
      </c>
      <c r="S43" s="6">
        <f t="shared" si="80"/>
        <v>0.49013193428571433</v>
      </c>
      <c r="T43" s="6">
        <f t="shared" si="81"/>
        <v>2.9407916057142859E-2</v>
      </c>
      <c r="U43" s="6">
        <f t="shared" si="82"/>
        <v>6.7141360861056765E-2</v>
      </c>
      <c r="V43" s="6">
        <f t="shared" si="75"/>
        <v>6.4815066927253778E-2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-4278.1000000000004</v>
      </c>
      <c r="D47">
        <v>29465.8</v>
      </c>
      <c r="E47">
        <v>6397</v>
      </c>
      <c r="F47">
        <f t="shared" ref="F47:F57" si="84">D47/10000</f>
        <v>2.94658</v>
      </c>
      <c r="G47">
        <f t="shared" ref="G47:G57" si="85">C47/10000</f>
        <v>-0.42781000000000002</v>
      </c>
      <c r="H47">
        <f t="shared" ref="H47:H57" si="86">F47-G47</f>
        <v>3.37439</v>
      </c>
      <c r="I47">
        <f>E47/10000</f>
        <v>0.63970000000000005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0.99104601270028314</v>
      </c>
      <c r="P47" s="2">
        <v>3</v>
      </c>
      <c r="Q47" s="8">
        <f>H47</f>
        <v>3.37439</v>
      </c>
      <c r="R47" s="8">
        <f>I47</f>
        <v>0.63970000000000005</v>
      </c>
      <c r="S47" s="8">
        <f>Q47/10^6*$Z$4*$Z$3/P47*10^12</f>
        <v>3.7489472900000003</v>
      </c>
      <c r="T47" s="8">
        <f>S47*0.06</f>
        <v>0.22493683740000001</v>
      </c>
      <c r="U47" s="8">
        <f>S47/$Z$1</f>
        <v>0.51355442328767131</v>
      </c>
      <c r="V47" s="12">
        <f t="shared" ref="V47:V57" si="87">O47</f>
        <v>0.99104601270028314</v>
      </c>
    </row>
    <row r="48" spans="2:22" x14ac:dyDescent="0.3">
      <c r="B48">
        <v>2</v>
      </c>
      <c r="C48">
        <v>-654.1</v>
      </c>
      <c r="D48">
        <v>37356.699999999997</v>
      </c>
      <c r="E48">
        <v>7749.3</v>
      </c>
      <c r="F48">
        <f t="shared" si="84"/>
        <v>3.7356699999999998</v>
      </c>
      <c r="G48">
        <f t="shared" si="85"/>
        <v>-6.5409999999999996E-2</v>
      </c>
      <c r="H48">
        <f t="shared" si="86"/>
        <v>3.8010799999999998</v>
      </c>
      <c r="I48">
        <f t="shared" ref="I48:I57" si="88">E48/10000</f>
        <v>0.77493000000000001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0.8790957890492731</v>
      </c>
      <c r="P48" s="4">
        <v>3</v>
      </c>
      <c r="Q48" s="5">
        <f t="shared" ref="Q48:R57" si="91">H48</f>
        <v>3.8010799999999998</v>
      </c>
      <c r="R48" s="5">
        <f t="shared" si="91"/>
        <v>0.77493000000000001</v>
      </c>
      <c r="S48" s="5">
        <f t="shared" ref="S48:S57" si="92">Q48/10^6*$Z$4*$Z$3/P48*10^12</f>
        <v>4.2229998800000006</v>
      </c>
      <c r="T48" s="5">
        <f t="shared" ref="T48:T57" si="93">S48*0.06</f>
        <v>0.25337999280000001</v>
      </c>
      <c r="U48" s="5">
        <f t="shared" ref="U48:U57" si="94">S48/$Z$1</f>
        <v>0.57849313424657545</v>
      </c>
      <c r="V48" s="5">
        <f t="shared" si="87"/>
        <v>0.8790957890492731</v>
      </c>
    </row>
    <row r="49" spans="2:22" x14ac:dyDescent="0.3">
      <c r="B49">
        <v>3</v>
      </c>
      <c r="C49">
        <v>2672.4</v>
      </c>
      <c r="D49">
        <v>41275.300000000003</v>
      </c>
      <c r="E49">
        <v>7259.9</v>
      </c>
      <c r="F49">
        <f t="shared" si="84"/>
        <v>4.1275300000000001</v>
      </c>
      <c r="G49">
        <f t="shared" si="85"/>
        <v>0.26724000000000003</v>
      </c>
      <c r="H49">
        <f t="shared" si="86"/>
        <v>3.86029</v>
      </c>
      <c r="I49">
        <f t="shared" si="88"/>
        <v>0.72598999999999991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0.75839041370735061</v>
      </c>
      <c r="P49" s="4">
        <v>3</v>
      </c>
      <c r="Q49" s="5">
        <f t="shared" si="91"/>
        <v>3.86029</v>
      </c>
      <c r="R49" s="5">
        <f t="shared" si="91"/>
        <v>0.72598999999999991</v>
      </c>
      <c r="S49" s="5">
        <f t="shared" si="92"/>
        <v>4.2887821900000009</v>
      </c>
      <c r="T49" s="5">
        <f t="shared" si="93"/>
        <v>0.25732693140000007</v>
      </c>
      <c r="U49" s="5">
        <f t="shared" si="94"/>
        <v>0.58750440958904127</v>
      </c>
      <c r="V49" s="5">
        <f t="shared" si="87"/>
        <v>0.75839041370735061</v>
      </c>
    </row>
    <row r="50" spans="2:22" x14ac:dyDescent="0.3">
      <c r="B50">
        <v>4</v>
      </c>
      <c r="C50">
        <v>9916</v>
      </c>
      <c r="D50">
        <v>42146</v>
      </c>
      <c r="E50">
        <v>7375</v>
      </c>
      <c r="F50">
        <f t="shared" si="84"/>
        <v>4.2145999999999999</v>
      </c>
      <c r="G50">
        <f t="shared" si="85"/>
        <v>0.99160000000000004</v>
      </c>
      <c r="H50">
        <f t="shared" si="86"/>
        <v>3.2229999999999999</v>
      </c>
      <c r="I50">
        <f t="shared" si="88"/>
        <v>0.73750000000000004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0.45933865009451386</v>
      </c>
      <c r="P50" s="4">
        <v>3</v>
      </c>
      <c r="Q50" s="5">
        <f t="shared" si="91"/>
        <v>3.2229999999999999</v>
      </c>
      <c r="R50" s="5">
        <f t="shared" si="91"/>
        <v>0.73750000000000004</v>
      </c>
      <c r="S50" s="5">
        <f t="shared" si="92"/>
        <v>3.5807530000000001</v>
      </c>
      <c r="T50" s="5">
        <f t="shared" si="93"/>
        <v>0.21484518</v>
      </c>
      <c r="U50" s="5">
        <f t="shared" si="94"/>
        <v>0.49051410958904113</v>
      </c>
      <c r="V50" s="5">
        <f t="shared" si="87"/>
        <v>0.45933865009451386</v>
      </c>
    </row>
    <row r="51" spans="2:22" x14ac:dyDescent="0.3">
      <c r="B51">
        <v>5</v>
      </c>
      <c r="C51">
        <v>11319.8</v>
      </c>
      <c r="D51">
        <v>41556.699999999997</v>
      </c>
      <c r="E51">
        <v>6713.9</v>
      </c>
      <c r="F51">
        <f t="shared" si="84"/>
        <v>4.1556699999999998</v>
      </c>
      <c r="G51">
        <f t="shared" si="85"/>
        <v>1.13198</v>
      </c>
      <c r="H51">
        <f t="shared" si="86"/>
        <v>3.0236899999999998</v>
      </c>
      <c r="I51">
        <f t="shared" si="88"/>
        <v>0.67138999999999993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0.33199314008207653</v>
      </c>
      <c r="P51" s="4">
        <v>3</v>
      </c>
      <c r="Q51" s="5">
        <f t="shared" si="91"/>
        <v>3.0236899999999998</v>
      </c>
      <c r="R51" s="5">
        <f t="shared" si="91"/>
        <v>0.67138999999999993</v>
      </c>
      <c r="S51" s="5">
        <f t="shared" si="92"/>
        <v>3.3593195900000001</v>
      </c>
      <c r="T51" s="5">
        <f t="shared" si="93"/>
        <v>0.20155917540000001</v>
      </c>
      <c r="U51" s="5">
        <f t="shared" si="94"/>
        <v>0.4601807657534247</v>
      </c>
      <c r="V51" s="5">
        <f t="shared" si="87"/>
        <v>0.33199314008207653</v>
      </c>
    </row>
    <row r="52" spans="2:22" x14ac:dyDescent="0.3">
      <c r="B52">
        <v>6</v>
      </c>
      <c r="C52">
        <v>17607.5</v>
      </c>
      <c r="D52">
        <v>56151.7</v>
      </c>
      <c r="E52">
        <v>7467.8</v>
      </c>
      <c r="F52">
        <f t="shared" si="84"/>
        <v>5.61517</v>
      </c>
      <c r="G52">
        <f t="shared" si="85"/>
        <v>1.76075</v>
      </c>
      <c r="H52">
        <f t="shared" si="86"/>
        <v>3.8544200000000002</v>
      </c>
      <c r="I52">
        <f t="shared" si="88"/>
        <v>0.74678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0.22980318260987831</v>
      </c>
      <c r="P52" s="4">
        <v>4</v>
      </c>
      <c r="Q52" s="5">
        <f t="shared" si="91"/>
        <v>3.8544200000000002</v>
      </c>
      <c r="R52" s="5">
        <f t="shared" si="91"/>
        <v>0.74678</v>
      </c>
      <c r="S52" s="5">
        <f t="shared" si="92"/>
        <v>3.2116954650000005</v>
      </c>
      <c r="T52" s="5">
        <f t="shared" si="93"/>
        <v>0.19270172790000001</v>
      </c>
      <c r="U52" s="5">
        <f t="shared" si="94"/>
        <v>0.4399582828767124</v>
      </c>
      <c r="V52" s="5">
        <f t="shared" si="87"/>
        <v>0.22980318260987831</v>
      </c>
    </row>
    <row r="53" spans="2:22" x14ac:dyDescent="0.3">
      <c r="B53">
        <v>7</v>
      </c>
      <c r="C53">
        <v>15444.8</v>
      </c>
      <c r="D53">
        <v>53815</v>
      </c>
      <c r="E53">
        <v>5042.3999999999996</v>
      </c>
      <c r="F53">
        <f t="shared" si="84"/>
        <v>5.3815</v>
      </c>
      <c r="G53">
        <f t="shared" si="85"/>
        <v>1.5444799999999999</v>
      </c>
      <c r="H53">
        <f t="shared" si="86"/>
        <v>3.8370199999999999</v>
      </c>
      <c r="I53">
        <f t="shared" si="88"/>
        <v>0.50423999999999991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0.16612842792050866</v>
      </c>
      <c r="P53" s="4">
        <v>4</v>
      </c>
      <c r="Q53" s="5">
        <f t="shared" si="91"/>
        <v>3.8370199999999999</v>
      </c>
      <c r="R53" s="5">
        <f t="shared" si="91"/>
        <v>0.50423999999999991</v>
      </c>
      <c r="S53" s="5">
        <f t="shared" si="92"/>
        <v>3.1971969149999997</v>
      </c>
      <c r="T53" s="5">
        <f t="shared" si="93"/>
        <v>0.19183181489999998</v>
      </c>
      <c r="U53" s="5">
        <f t="shared" si="94"/>
        <v>0.43797218013698624</v>
      </c>
      <c r="V53" s="5">
        <f t="shared" si="87"/>
        <v>0.16612842792050866</v>
      </c>
    </row>
    <row r="54" spans="2:22" x14ac:dyDescent="0.3">
      <c r="B54">
        <v>8</v>
      </c>
      <c r="C54">
        <v>19561.5</v>
      </c>
      <c r="D54">
        <v>57046.6</v>
      </c>
      <c r="E54">
        <v>5977.8</v>
      </c>
      <c r="F54">
        <f t="shared" si="84"/>
        <v>5.7046599999999996</v>
      </c>
      <c r="G54">
        <f t="shared" si="85"/>
        <v>1.9561500000000001</v>
      </c>
      <c r="H54">
        <f t="shared" si="86"/>
        <v>3.7485099999999996</v>
      </c>
      <c r="I54">
        <f t="shared" si="88"/>
        <v>0.59777999999999998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0.13931788796440595</v>
      </c>
      <c r="P54" s="4">
        <v>5</v>
      </c>
      <c r="Q54" s="5">
        <f t="shared" si="91"/>
        <v>3.7485099999999996</v>
      </c>
      <c r="R54" s="5">
        <f t="shared" si="91"/>
        <v>0.59777999999999998</v>
      </c>
      <c r="S54" s="5">
        <f t="shared" si="92"/>
        <v>2.4987567659999996</v>
      </c>
      <c r="T54" s="5">
        <f t="shared" si="93"/>
        <v>0.14992540595999998</v>
      </c>
      <c r="U54" s="5">
        <f t="shared" si="94"/>
        <v>0.34229544739726026</v>
      </c>
      <c r="V54" s="5">
        <f t="shared" si="87"/>
        <v>0.13931788796440595</v>
      </c>
    </row>
    <row r="55" spans="2:22" x14ac:dyDescent="0.3">
      <c r="B55">
        <v>9</v>
      </c>
      <c r="C55">
        <v>9282.5</v>
      </c>
      <c r="D55">
        <v>62809.7</v>
      </c>
      <c r="E55">
        <v>6498.6</v>
      </c>
      <c r="F55">
        <f t="shared" si="84"/>
        <v>6.2809699999999999</v>
      </c>
      <c r="G55">
        <f t="shared" si="85"/>
        <v>0.92825000000000002</v>
      </c>
      <c r="H55">
        <f t="shared" si="86"/>
        <v>5.3527199999999997</v>
      </c>
      <c r="I55">
        <f t="shared" si="88"/>
        <v>0.64985999999999999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0.1122803112129348</v>
      </c>
      <c r="P55" s="4">
        <v>8</v>
      </c>
      <c r="Q55" s="5">
        <f t="shared" si="91"/>
        <v>5.3527199999999997</v>
      </c>
      <c r="R55" s="5">
        <f t="shared" si="91"/>
        <v>0.64985999999999999</v>
      </c>
      <c r="S55" s="5">
        <f t="shared" si="92"/>
        <v>2.2300769699999998</v>
      </c>
      <c r="T55" s="5">
        <f t="shared" si="93"/>
        <v>0.13380461819999998</v>
      </c>
      <c r="U55" s="5">
        <f t="shared" si="94"/>
        <v>0.30548999589041093</v>
      </c>
      <c r="V55" s="5">
        <f t="shared" si="87"/>
        <v>0.1122803112129348</v>
      </c>
    </row>
    <row r="56" spans="2:22" x14ac:dyDescent="0.3">
      <c r="B56">
        <v>10</v>
      </c>
      <c r="C56">
        <v>15575.1</v>
      </c>
      <c r="D56">
        <v>61269.8</v>
      </c>
      <c r="E56">
        <v>10070.5</v>
      </c>
      <c r="F56">
        <f t="shared" si="84"/>
        <v>6.1269800000000005</v>
      </c>
      <c r="G56">
        <f t="shared" si="85"/>
        <v>1.55751</v>
      </c>
      <c r="H56">
        <f t="shared" si="86"/>
        <v>4.5694700000000008</v>
      </c>
      <c r="I56">
        <f t="shared" si="88"/>
        <v>1.00705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8.0405986756380471E-2</v>
      </c>
      <c r="P56" s="4">
        <v>14</v>
      </c>
      <c r="Q56" s="5">
        <f t="shared" si="91"/>
        <v>4.5694700000000008</v>
      </c>
      <c r="R56" s="5">
        <f t="shared" si="91"/>
        <v>1.00705</v>
      </c>
      <c r="S56" s="5">
        <f t="shared" si="92"/>
        <v>1.0878602507142858</v>
      </c>
      <c r="T56" s="5">
        <f t="shared" si="93"/>
        <v>6.5271615042857153E-2</v>
      </c>
      <c r="U56" s="5">
        <f t="shared" si="94"/>
        <v>0.14902195215264188</v>
      </c>
      <c r="V56" s="5">
        <f t="shared" si="87"/>
        <v>8.0405986756380471E-2</v>
      </c>
    </row>
    <row r="57" spans="2:22" ht="15" thickBot="1" x14ac:dyDescent="0.35">
      <c r="B57">
        <v>11</v>
      </c>
      <c r="C57">
        <v>6820.5</v>
      </c>
      <c r="D57">
        <v>6904.5</v>
      </c>
      <c r="E57">
        <v>18539.8</v>
      </c>
      <c r="F57">
        <f t="shared" si="84"/>
        <v>0.69045000000000001</v>
      </c>
      <c r="G57">
        <f t="shared" si="85"/>
        <v>0.68205000000000005</v>
      </c>
      <c r="H57">
        <f t="shared" si="86"/>
        <v>8.3999999999999631E-3</v>
      </c>
      <c r="I57">
        <f t="shared" si="88"/>
        <v>1.85398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5.1852053541803021E-2</v>
      </c>
      <c r="P57" s="7">
        <v>21</v>
      </c>
      <c r="Q57" s="6">
        <f t="shared" si="91"/>
        <v>8.3999999999999631E-3</v>
      </c>
      <c r="R57" s="6">
        <f t="shared" si="91"/>
        <v>1.85398</v>
      </c>
      <c r="S57" s="6">
        <f t="shared" si="92"/>
        <v>1.333199999999994E-3</v>
      </c>
      <c r="T57" s="6">
        <f t="shared" si="93"/>
        <v>7.9991999999999637E-5</v>
      </c>
      <c r="U57" s="6">
        <f t="shared" si="94"/>
        <v>1.8263013698630056E-4</v>
      </c>
      <c r="V57" s="6">
        <f t="shared" si="87"/>
        <v>5.1852053541803021E-2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4961.1000000000004</v>
      </c>
      <c r="D61">
        <v>38025.800000000003</v>
      </c>
      <c r="E61">
        <v>6838.6</v>
      </c>
      <c r="F61">
        <f t="shared" ref="F61:F71" si="96">D61/10000</f>
        <v>3.8025800000000003</v>
      </c>
      <c r="G61">
        <f t="shared" ref="G61:G71" si="97">C61/10000</f>
        <v>0.49611000000000005</v>
      </c>
      <c r="H61">
        <f t="shared" ref="H61:H71" si="98">F61-G61</f>
        <v>3.30647</v>
      </c>
      <c r="I61">
        <f>E61/10000</f>
        <v>0.68386000000000002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0.82587167725023602</v>
      </c>
      <c r="P61" s="2">
        <v>3</v>
      </c>
      <c r="Q61" s="8">
        <f>H61</f>
        <v>3.30647</v>
      </c>
      <c r="R61" s="8">
        <f>I61</f>
        <v>0.68386000000000002</v>
      </c>
      <c r="S61" s="8">
        <f>Q61/10^6*$Z$4*$Z$3/P61*10^12</f>
        <v>3.6734881700000002</v>
      </c>
      <c r="T61" s="8">
        <f>S61*0.06</f>
        <v>0.2204092902</v>
      </c>
      <c r="U61" s="8">
        <f>S61/$Z$1</f>
        <v>0.50321755753424657</v>
      </c>
      <c r="V61" s="12">
        <f t="shared" ref="V61:V71" si="99">O61</f>
        <v>0.82587167725023602</v>
      </c>
    </row>
    <row r="62" spans="2:22" x14ac:dyDescent="0.3">
      <c r="B62">
        <v>2</v>
      </c>
      <c r="C62">
        <v>11399.3</v>
      </c>
      <c r="D62">
        <v>44934.7</v>
      </c>
      <c r="E62">
        <v>6108.3</v>
      </c>
      <c r="F62">
        <f t="shared" si="96"/>
        <v>4.4934699999999994</v>
      </c>
      <c r="G62">
        <f t="shared" si="97"/>
        <v>1.1399299999999999</v>
      </c>
      <c r="H62">
        <f t="shared" si="98"/>
        <v>3.3535399999999997</v>
      </c>
      <c r="I62">
        <f t="shared" ref="I62:I71" si="100">E62/10000</f>
        <v>0.61082999999999998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0.7325798242077276</v>
      </c>
      <c r="P62" s="4">
        <v>3</v>
      </c>
      <c r="Q62" s="5">
        <f t="shared" ref="Q62:R71" si="103">H62</f>
        <v>3.3535399999999997</v>
      </c>
      <c r="R62" s="5">
        <f t="shared" si="103"/>
        <v>0.61082999999999998</v>
      </c>
      <c r="S62" s="5">
        <f t="shared" ref="S62:S71" si="104">Q62/10^6*$Z$4*$Z$3/P62*10^12</f>
        <v>3.7257829399999993</v>
      </c>
      <c r="T62" s="5">
        <f t="shared" ref="T62:T71" si="105">S62*0.06</f>
        <v>0.22354697639999996</v>
      </c>
      <c r="U62" s="5">
        <f t="shared" ref="U62:U71" si="106">S62/$Z$1</f>
        <v>0.51038122465753422</v>
      </c>
      <c r="V62" s="5">
        <f t="shared" si="99"/>
        <v>0.7325798242077276</v>
      </c>
    </row>
    <row r="63" spans="2:22" x14ac:dyDescent="0.3">
      <c r="B63">
        <v>3</v>
      </c>
      <c r="C63">
        <v>12397.3</v>
      </c>
      <c r="D63">
        <v>48733.9</v>
      </c>
      <c r="E63">
        <v>7373.2</v>
      </c>
      <c r="F63">
        <f t="shared" si="96"/>
        <v>4.8733900000000006</v>
      </c>
      <c r="G63">
        <f t="shared" si="97"/>
        <v>1.23973</v>
      </c>
      <c r="H63">
        <f t="shared" si="98"/>
        <v>3.6336600000000008</v>
      </c>
      <c r="I63">
        <f t="shared" si="100"/>
        <v>0.73731999999999998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0.63199201142279215</v>
      </c>
      <c r="P63" s="4">
        <v>3</v>
      </c>
      <c r="Q63" s="5">
        <f t="shared" si="103"/>
        <v>3.6336600000000008</v>
      </c>
      <c r="R63" s="5">
        <f t="shared" si="103"/>
        <v>0.73731999999999998</v>
      </c>
      <c r="S63" s="5">
        <f t="shared" si="104"/>
        <v>4.0369962600000004</v>
      </c>
      <c r="T63" s="5">
        <f t="shared" si="105"/>
        <v>0.24221977560000002</v>
      </c>
      <c r="U63" s="5">
        <f t="shared" si="106"/>
        <v>0.55301318630136997</v>
      </c>
      <c r="V63" s="5">
        <f t="shared" si="99"/>
        <v>0.63199201142279215</v>
      </c>
    </row>
    <row r="64" spans="2:22" x14ac:dyDescent="0.3">
      <c r="B64">
        <v>4</v>
      </c>
      <c r="C64">
        <v>19347.2</v>
      </c>
      <c r="D64">
        <v>51037.8</v>
      </c>
      <c r="E64">
        <v>8297.1</v>
      </c>
      <c r="F64">
        <f t="shared" si="96"/>
        <v>5.1037800000000004</v>
      </c>
      <c r="G64">
        <f t="shared" si="97"/>
        <v>1.93472</v>
      </c>
      <c r="H64">
        <f t="shared" si="98"/>
        <v>3.1690600000000004</v>
      </c>
      <c r="I64">
        <f t="shared" si="100"/>
        <v>0.82971000000000006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0.38278220841209487</v>
      </c>
      <c r="P64" s="4">
        <v>3</v>
      </c>
      <c r="Q64" s="5">
        <f t="shared" si="103"/>
        <v>3.1690600000000004</v>
      </c>
      <c r="R64" s="5">
        <f t="shared" si="103"/>
        <v>0.82971000000000006</v>
      </c>
      <c r="S64" s="5">
        <f t="shared" si="104"/>
        <v>3.5208256600000003</v>
      </c>
      <c r="T64" s="5">
        <f t="shared" si="105"/>
        <v>0.21124953960000001</v>
      </c>
      <c r="U64" s="5">
        <f t="shared" si="106"/>
        <v>0.48230488493150692</v>
      </c>
      <c r="V64" s="5">
        <f t="shared" si="99"/>
        <v>0.38278220841209487</v>
      </c>
    </row>
    <row r="65" spans="2:22" x14ac:dyDescent="0.3">
      <c r="B65">
        <v>5</v>
      </c>
      <c r="C65">
        <v>18173.3</v>
      </c>
      <c r="D65">
        <v>52771</v>
      </c>
      <c r="E65">
        <v>6309.5</v>
      </c>
      <c r="F65">
        <f t="shared" si="96"/>
        <v>5.2770999999999999</v>
      </c>
      <c r="G65">
        <f t="shared" si="97"/>
        <v>1.8173299999999999</v>
      </c>
      <c r="H65">
        <f t="shared" si="98"/>
        <v>3.4597699999999998</v>
      </c>
      <c r="I65">
        <f t="shared" si="100"/>
        <v>0.63095000000000001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0.27666095006839714</v>
      </c>
      <c r="P65" s="4">
        <v>3</v>
      </c>
      <c r="Q65" s="5">
        <f t="shared" si="103"/>
        <v>3.4597699999999998</v>
      </c>
      <c r="R65" s="5">
        <f t="shared" si="103"/>
        <v>0.63095000000000001</v>
      </c>
      <c r="S65" s="5">
        <f t="shared" si="104"/>
        <v>3.8438044699999998</v>
      </c>
      <c r="T65" s="5">
        <f t="shared" si="105"/>
        <v>0.23062826819999999</v>
      </c>
      <c r="U65" s="5">
        <f t="shared" si="106"/>
        <v>0.52654855753424656</v>
      </c>
      <c r="V65" s="5">
        <f t="shared" si="99"/>
        <v>0.27666095006839714</v>
      </c>
    </row>
    <row r="66" spans="2:22" x14ac:dyDescent="0.3">
      <c r="B66">
        <v>6</v>
      </c>
      <c r="C66">
        <v>26461.200000000001</v>
      </c>
      <c r="D66">
        <v>60233.599999999999</v>
      </c>
      <c r="E66">
        <v>7021.2</v>
      </c>
      <c r="F66">
        <f t="shared" si="96"/>
        <v>6.0233600000000003</v>
      </c>
      <c r="G66">
        <f t="shared" si="97"/>
        <v>2.6461200000000002</v>
      </c>
      <c r="H66">
        <f t="shared" si="98"/>
        <v>3.37724</v>
      </c>
      <c r="I66">
        <f t="shared" si="100"/>
        <v>0.70211999999999997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0.19150265217489859</v>
      </c>
      <c r="P66" s="4">
        <v>4</v>
      </c>
      <c r="Q66" s="5">
        <f t="shared" si="103"/>
        <v>3.37724</v>
      </c>
      <c r="R66" s="5">
        <f t="shared" si="103"/>
        <v>0.70211999999999997</v>
      </c>
      <c r="S66" s="5">
        <f t="shared" si="104"/>
        <v>2.8140852299999999</v>
      </c>
      <c r="T66" s="5">
        <f t="shared" si="105"/>
        <v>0.16884511379999997</v>
      </c>
      <c r="U66" s="5">
        <f t="shared" si="106"/>
        <v>0.38549112739726027</v>
      </c>
      <c r="V66" s="5">
        <f t="shared" si="99"/>
        <v>0.19150265217489859</v>
      </c>
    </row>
    <row r="67" spans="2:22" x14ac:dyDescent="0.3">
      <c r="B67">
        <v>7</v>
      </c>
      <c r="C67">
        <v>29769</v>
      </c>
      <c r="D67">
        <v>54560</v>
      </c>
      <c r="E67">
        <v>6452.9</v>
      </c>
      <c r="F67">
        <f t="shared" si="96"/>
        <v>5.4560000000000004</v>
      </c>
      <c r="G67">
        <f t="shared" si="97"/>
        <v>2.9769000000000001</v>
      </c>
      <c r="H67">
        <f t="shared" si="98"/>
        <v>2.4791000000000003</v>
      </c>
      <c r="I67">
        <f t="shared" si="100"/>
        <v>0.64528999999999992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0.13844035660042389</v>
      </c>
      <c r="P67" s="4">
        <v>4</v>
      </c>
      <c r="Q67" s="5">
        <f t="shared" si="103"/>
        <v>2.4791000000000003</v>
      </c>
      <c r="R67" s="5">
        <f t="shared" si="103"/>
        <v>0.64528999999999992</v>
      </c>
      <c r="S67" s="5">
        <f t="shared" si="104"/>
        <v>2.0657100750000001</v>
      </c>
      <c r="T67" s="5">
        <f t="shared" si="105"/>
        <v>0.1239426045</v>
      </c>
      <c r="U67" s="5">
        <f t="shared" si="106"/>
        <v>0.28297398287671238</v>
      </c>
      <c r="V67" s="5">
        <f t="shared" si="99"/>
        <v>0.13844035660042389</v>
      </c>
    </row>
    <row r="68" spans="2:22" x14ac:dyDescent="0.3">
      <c r="B68">
        <v>8</v>
      </c>
      <c r="C68">
        <v>30669.1</v>
      </c>
      <c r="D68">
        <v>58293.5</v>
      </c>
      <c r="E68">
        <v>5547.4</v>
      </c>
      <c r="F68">
        <f t="shared" si="96"/>
        <v>5.8293499999999998</v>
      </c>
      <c r="G68">
        <f t="shared" si="97"/>
        <v>3.06691</v>
      </c>
      <c r="H68">
        <f t="shared" si="98"/>
        <v>2.7624399999999998</v>
      </c>
      <c r="I68">
        <f t="shared" si="100"/>
        <v>0.55474000000000001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0.11609823997033829</v>
      </c>
      <c r="P68" s="4">
        <v>5</v>
      </c>
      <c r="Q68" s="5">
        <f t="shared" si="103"/>
        <v>2.7624399999999998</v>
      </c>
      <c r="R68" s="5">
        <f t="shared" si="103"/>
        <v>0.55474000000000001</v>
      </c>
      <c r="S68" s="5">
        <f t="shared" si="104"/>
        <v>1.841442504</v>
      </c>
      <c r="T68" s="5">
        <f t="shared" si="105"/>
        <v>0.11048655023999999</v>
      </c>
      <c r="U68" s="5">
        <f t="shared" si="106"/>
        <v>0.25225239780821918</v>
      </c>
      <c r="V68" s="5">
        <f t="shared" si="99"/>
        <v>0.11609823997033829</v>
      </c>
    </row>
    <row r="69" spans="2:22" x14ac:dyDescent="0.3">
      <c r="B69">
        <v>9</v>
      </c>
      <c r="C69">
        <v>17154.599999999999</v>
      </c>
      <c r="D69">
        <v>60791.9</v>
      </c>
      <c r="E69">
        <v>7398.2</v>
      </c>
      <c r="F69">
        <f t="shared" si="96"/>
        <v>6.0791900000000005</v>
      </c>
      <c r="G69">
        <f t="shared" si="97"/>
        <v>1.7154599999999998</v>
      </c>
      <c r="H69">
        <f t="shared" si="98"/>
        <v>4.3637300000000003</v>
      </c>
      <c r="I69">
        <f t="shared" si="100"/>
        <v>0.73982000000000003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9.3566926010778997E-2</v>
      </c>
      <c r="P69" s="4">
        <v>8</v>
      </c>
      <c r="Q69" s="5">
        <f t="shared" si="103"/>
        <v>4.3637300000000003</v>
      </c>
      <c r="R69" s="5">
        <f t="shared" si="103"/>
        <v>0.73982000000000003</v>
      </c>
      <c r="S69" s="5">
        <f t="shared" si="104"/>
        <v>1.8180390112500002</v>
      </c>
      <c r="T69" s="5">
        <f t="shared" si="105"/>
        <v>0.10908234067500001</v>
      </c>
      <c r="U69" s="5">
        <f t="shared" si="106"/>
        <v>0.2490464398972603</v>
      </c>
      <c r="V69" s="5">
        <f t="shared" si="99"/>
        <v>9.3566926010778997E-2</v>
      </c>
    </row>
    <row r="70" spans="2:22" x14ac:dyDescent="0.3">
      <c r="B70">
        <v>10</v>
      </c>
      <c r="C70">
        <v>15416.9</v>
      </c>
      <c r="D70">
        <v>69250.899999999994</v>
      </c>
      <c r="E70">
        <v>9611.7000000000007</v>
      </c>
      <c r="F70">
        <f t="shared" si="96"/>
        <v>6.9250899999999991</v>
      </c>
      <c r="G70">
        <f t="shared" si="97"/>
        <v>1.54169</v>
      </c>
      <c r="H70">
        <f t="shared" si="98"/>
        <v>5.3833999999999991</v>
      </c>
      <c r="I70">
        <f t="shared" si="100"/>
        <v>0.96117000000000008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6.7004988963650383E-2</v>
      </c>
      <c r="P70" s="4">
        <v>14</v>
      </c>
      <c r="Q70" s="5">
        <f t="shared" si="103"/>
        <v>5.3833999999999991</v>
      </c>
      <c r="R70" s="5">
        <f t="shared" si="103"/>
        <v>0.96117000000000008</v>
      </c>
      <c r="S70" s="5">
        <f t="shared" si="104"/>
        <v>1.2816337285714283</v>
      </c>
      <c r="T70" s="5">
        <f t="shared" si="105"/>
        <v>7.6898023714285696E-2</v>
      </c>
      <c r="U70" s="5">
        <f t="shared" si="106"/>
        <v>0.17556626418786689</v>
      </c>
      <c r="V70" s="5">
        <f t="shared" si="99"/>
        <v>6.7004988963650383E-2</v>
      </c>
    </row>
    <row r="71" spans="2:22" ht="15" thickBot="1" x14ac:dyDescent="0.35">
      <c r="B71">
        <v>11</v>
      </c>
      <c r="C71">
        <v>9021.1</v>
      </c>
      <c r="D71">
        <v>16691.900000000001</v>
      </c>
      <c r="E71">
        <v>14579.1</v>
      </c>
      <c r="F71">
        <f t="shared" si="96"/>
        <v>1.6691900000000002</v>
      </c>
      <c r="G71">
        <f t="shared" si="97"/>
        <v>0.90211000000000008</v>
      </c>
      <c r="H71">
        <f t="shared" si="98"/>
        <v>0.7670800000000001</v>
      </c>
      <c r="I71">
        <f t="shared" si="100"/>
        <v>1.45791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4.3210044618169186E-2</v>
      </c>
      <c r="P71" s="7">
        <v>21</v>
      </c>
      <c r="Q71" s="6">
        <f t="shared" si="103"/>
        <v>0.7670800000000001</v>
      </c>
      <c r="R71" s="6">
        <f t="shared" si="103"/>
        <v>1.45791</v>
      </c>
      <c r="S71" s="6">
        <f t="shared" si="104"/>
        <v>0.12174655428571431</v>
      </c>
      <c r="T71" s="6">
        <f t="shared" si="105"/>
        <v>7.3047932571428578E-3</v>
      </c>
      <c r="U71" s="6">
        <f t="shared" si="106"/>
        <v>1.6677610176125249E-2</v>
      </c>
      <c r="V71" s="6">
        <f t="shared" si="99"/>
        <v>4.3210044618169186E-2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-2275.3000000000002</v>
      </c>
      <c r="D75">
        <v>32781.5</v>
      </c>
      <c r="E75">
        <v>4981.3999999999996</v>
      </c>
      <c r="F75">
        <f t="shared" ref="F75:F85" si="108">D75/10000</f>
        <v>3.2781500000000001</v>
      </c>
      <c r="G75">
        <f t="shared" ref="G75:G85" si="109">C75/10000</f>
        <v>-0.22753000000000001</v>
      </c>
      <c r="H75">
        <f t="shared" ref="H75:H85" si="110">F75-G75</f>
        <v>3.5056799999999999</v>
      </c>
      <c r="I75">
        <f>E75/10000</f>
        <v>0.49813999999999997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0.7078900090716308</v>
      </c>
      <c r="P75" s="2">
        <v>3</v>
      </c>
      <c r="Q75" s="8">
        <f>H75</f>
        <v>3.5056799999999999</v>
      </c>
      <c r="R75" s="8">
        <f>I75</f>
        <v>0.49813999999999997</v>
      </c>
      <c r="S75" s="8">
        <f>Q75/10^6*$Z$4*$Z$3/P75*10^12</f>
        <v>3.8948104800000003</v>
      </c>
      <c r="T75" s="8">
        <f>S75*0.06</f>
        <v>0.23368862880000002</v>
      </c>
      <c r="U75" s="8">
        <f>S75/$Z$1</f>
        <v>0.53353568219178082</v>
      </c>
      <c r="V75" s="12">
        <f t="shared" ref="V75:V85" si="111">O75</f>
        <v>0.7078900090716308</v>
      </c>
    </row>
    <row r="76" spans="2:22" x14ac:dyDescent="0.3">
      <c r="B76">
        <v>2</v>
      </c>
      <c r="C76">
        <v>2640.6</v>
      </c>
      <c r="D76">
        <v>40568</v>
      </c>
      <c r="E76">
        <v>6237.6</v>
      </c>
      <c r="F76">
        <f t="shared" si="108"/>
        <v>4.0568</v>
      </c>
      <c r="G76">
        <f t="shared" si="109"/>
        <v>0.26406000000000002</v>
      </c>
      <c r="H76">
        <f t="shared" si="110"/>
        <v>3.7927399999999998</v>
      </c>
      <c r="I76">
        <f t="shared" ref="I76:I85" si="112">E76/10000</f>
        <v>0.62375999999999998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0.62792556360662366</v>
      </c>
      <c r="P76" s="4">
        <v>3</v>
      </c>
      <c r="Q76" s="5">
        <f t="shared" ref="Q76:R85" si="115">H76</f>
        <v>3.7927399999999998</v>
      </c>
      <c r="R76" s="5">
        <f t="shared" si="115"/>
        <v>0.62375999999999998</v>
      </c>
      <c r="S76" s="5">
        <f t="shared" ref="S76:S85" si="116">Q76/10^6*$Z$4*$Z$3/P76*10^12</f>
        <v>4.2137341399999997</v>
      </c>
      <c r="T76" s="5">
        <f t="shared" ref="T76:T85" si="117">S76*0.06</f>
        <v>0.25282404839999995</v>
      </c>
      <c r="U76" s="5">
        <f t="shared" ref="U76:U85" si="118">S76/$Z$1</f>
        <v>0.57722385479452054</v>
      </c>
      <c r="V76" s="5">
        <f t="shared" si="111"/>
        <v>0.62792556360662366</v>
      </c>
    </row>
    <row r="77" spans="2:22" x14ac:dyDescent="0.3">
      <c r="B77">
        <v>3</v>
      </c>
      <c r="C77">
        <v>8707</v>
      </c>
      <c r="D77">
        <v>45400.9</v>
      </c>
      <c r="E77">
        <v>5922</v>
      </c>
      <c r="F77">
        <f t="shared" si="108"/>
        <v>4.5400900000000002</v>
      </c>
      <c r="G77">
        <f t="shared" si="109"/>
        <v>0.87070000000000003</v>
      </c>
      <c r="H77">
        <f t="shared" si="110"/>
        <v>3.6693899999999999</v>
      </c>
      <c r="I77">
        <f t="shared" si="112"/>
        <v>0.59219999999999995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0.54170743836239332</v>
      </c>
      <c r="P77" s="4">
        <v>3</v>
      </c>
      <c r="Q77" s="5">
        <f t="shared" si="115"/>
        <v>3.6693899999999999</v>
      </c>
      <c r="R77" s="5">
        <f t="shared" si="115"/>
        <v>0.59219999999999995</v>
      </c>
      <c r="S77" s="5">
        <f t="shared" si="116"/>
        <v>4.0766922900000004</v>
      </c>
      <c r="T77" s="5">
        <f t="shared" si="117"/>
        <v>0.24460153740000001</v>
      </c>
      <c r="U77" s="5">
        <f t="shared" si="118"/>
        <v>0.55845099863013703</v>
      </c>
      <c r="V77" s="5">
        <f t="shared" si="111"/>
        <v>0.54170743836239332</v>
      </c>
    </row>
    <row r="78" spans="2:22" x14ac:dyDescent="0.3">
      <c r="B78">
        <v>4</v>
      </c>
      <c r="C78">
        <v>19231.599999999999</v>
      </c>
      <c r="D78">
        <v>44781.7</v>
      </c>
      <c r="E78">
        <v>7765.5</v>
      </c>
      <c r="F78">
        <f t="shared" si="108"/>
        <v>4.4781699999999995</v>
      </c>
      <c r="G78">
        <f t="shared" si="109"/>
        <v>1.9231599999999998</v>
      </c>
      <c r="H78">
        <f t="shared" si="110"/>
        <v>2.5550099999999998</v>
      </c>
      <c r="I78">
        <f t="shared" si="112"/>
        <v>0.77654999999999996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0.32809903578179561</v>
      </c>
      <c r="P78" s="4">
        <v>3</v>
      </c>
      <c r="Q78" s="5">
        <f t="shared" si="115"/>
        <v>2.5550099999999998</v>
      </c>
      <c r="R78" s="5">
        <f t="shared" si="115"/>
        <v>0.77654999999999996</v>
      </c>
      <c r="S78" s="5">
        <f t="shared" si="116"/>
        <v>2.8386161100000002</v>
      </c>
      <c r="T78" s="5">
        <f t="shared" si="117"/>
        <v>0.17031696660000001</v>
      </c>
      <c r="U78" s="5">
        <f t="shared" si="118"/>
        <v>0.38885152191780825</v>
      </c>
      <c r="V78" s="5">
        <f t="shared" si="111"/>
        <v>0.32809903578179561</v>
      </c>
    </row>
    <row r="79" spans="2:22" x14ac:dyDescent="0.3">
      <c r="B79">
        <v>5</v>
      </c>
      <c r="C79">
        <v>15279</v>
      </c>
      <c r="D79">
        <v>39103.4</v>
      </c>
      <c r="E79">
        <v>7022.1</v>
      </c>
      <c r="F79">
        <f t="shared" si="108"/>
        <v>3.9103400000000001</v>
      </c>
      <c r="G79">
        <f t="shared" si="109"/>
        <v>1.5279</v>
      </c>
      <c r="H79">
        <f t="shared" si="110"/>
        <v>2.3824399999999999</v>
      </c>
      <c r="I79">
        <f t="shared" si="112"/>
        <v>0.70221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0.23713795720148326</v>
      </c>
      <c r="P79" s="4">
        <v>3</v>
      </c>
      <c r="Q79" s="5">
        <f t="shared" si="115"/>
        <v>2.3824399999999999</v>
      </c>
      <c r="R79" s="5">
        <f t="shared" si="115"/>
        <v>0.70221</v>
      </c>
      <c r="S79" s="5">
        <f t="shared" si="116"/>
        <v>2.6468908400000002</v>
      </c>
      <c r="T79" s="5">
        <f t="shared" si="117"/>
        <v>0.1588134504</v>
      </c>
      <c r="U79" s="5">
        <f t="shared" si="118"/>
        <v>0.3625877863013699</v>
      </c>
      <c r="V79" s="5">
        <f t="shared" si="111"/>
        <v>0.23713795720148326</v>
      </c>
    </row>
    <row r="80" spans="2:22" x14ac:dyDescent="0.3">
      <c r="B80">
        <v>6</v>
      </c>
      <c r="C80">
        <v>13556.1</v>
      </c>
      <c r="D80">
        <v>51916.9</v>
      </c>
      <c r="E80">
        <v>5902.3</v>
      </c>
      <c r="F80">
        <f t="shared" si="108"/>
        <v>5.1916900000000004</v>
      </c>
      <c r="G80">
        <f t="shared" si="109"/>
        <v>1.35561</v>
      </c>
      <c r="H80">
        <f t="shared" si="110"/>
        <v>3.8360800000000004</v>
      </c>
      <c r="I80">
        <f t="shared" si="112"/>
        <v>0.59023000000000003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0.16414513043562737</v>
      </c>
      <c r="P80" s="4">
        <v>4</v>
      </c>
      <c r="Q80" s="5">
        <f t="shared" si="115"/>
        <v>3.8360800000000004</v>
      </c>
      <c r="R80" s="5">
        <f t="shared" si="115"/>
        <v>0.59023000000000003</v>
      </c>
      <c r="S80" s="5">
        <f t="shared" si="116"/>
        <v>3.196413660000001</v>
      </c>
      <c r="T80" s="5">
        <f t="shared" si="117"/>
        <v>0.19178481960000004</v>
      </c>
      <c r="U80" s="5">
        <f t="shared" si="118"/>
        <v>0.43786488493150699</v>
      </c>
      <c r="V80" s="5">
        <f t="shared" si="111"/>
        <v>0.16414513043562737</v>
      </c>
    </row>
    <row r="81" spans="2:22" x14ac:dyDescent="0.3">
      <c r="B81">
        <v>7</v>
      </c>
      <c r="C81">
        <v>11409.7</v>
      </c>
      <c r="D81">
        <v>41465</v>
      </c>
      <c r="E81">
        <v>7295.9</v>
      </c>
      <c r="F81">
        <f t="shared" si="108"/>
        <v>4.1464999999999996</v>
      </c>
      <c r="G81">
        <f t="shared" si="109"/>
        <v>1.14097</v>
      </c>
      <c r="H81">
        <f t="shared" si="110"/>
        <v>3.0055299999999994</v>
      </c>
      <c r="I81">
        <f t="shared" si="112"/>
        <v>0.72958999999999996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0.11866316280036333</v>
      </c>
      <c r="P81" s="4">
        <v>4</v>
      </c>
      <c r="Q81" s="5">
        <f t="shared" si="115"/>
        <v>3.0055299999999994</v>
      </c>
      <c r="R81" s="5">
        <f t="shared" si="115"/>
        <v>0.72958999999999996</v>
      </c>
      <c r="S81" s="5">
        <f t="shared" si="116"/>
        <v>2.5043578724999995</v>
      </c>
      <c r="T81" s="5">
        <f t="shared" si="117"/>
        <v>0.15026147234999995</v>
      </c>
      <c r="U81" s="5">
        <f t="shared" si="118"/>
        <v>0.3430627222602739</v>
      </c>
      <c r="V81" s="5">
        <f t="shared" si="111"/>
        <v>0.11866316280036333</v>
      </c>
    </row>
    <row r="82" spans="2:22" x14ac:dyDescent="0.3">
      <c r="B82">
        <v>8</v>
      </c>
      <c r="C82">
        <v>12632.4</v>
      </c>
      <c r="D82">
        <v>45800.800000000003</v>
      </c>
      <c r="E82">
        <v>6535.8</v>
      </c>
      <c r="F82">
        <f t="shared" si="108"/>
        <v>4.5800800000000006</v>
      </c>
      <c r="G82">
        <f t="shared" si="109"/>
        <v>1.2632399999999999</v>
      </c>
      <c r="H82">
        <f t="shared" si="110"/>
        <v>3.3168400000000009</v>
      </c>
      <c r="I82">
        <f t="shared" si="112"/>
        <v>0.65358000000000005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9.951277711743281E-2</v>
      </c>
      <c r="P82" s="4">
        <v>5</v>
      </c>
      <c r="Q82" s="5">
        <f t="shared" si="115"/>
        <v>3.3168400000000009</v>
      </c>
      <c r="R82" s="5">
        <f t="shared" si="115"/>
        <v>0.65358000000000005</v>
      </c>
      <c r="S82" s="5">
        <f t="shared" si="116"/>
        <v>2.2110055440000007</v>
      </c>
      <c r="T82" s="5">
        <f t="shared" si="117"/>
        <v>0.13266033264000004</v>
      </c>
      <c r="U82" s="5">
        <f t="shared" si="118"/>
        <v>0.30287747178082203</v>
      </c>
      <c r="V82" s="5">
        <f t="shared" si="111"/>
        <v>9.951277711743281E-2</v>
      </c>
    </row>
    <row r="83" spans="2:22" x14ac:dyDescent="0.3">
      <c r="B83">
        <v>9</v>
      </c>
      <c r="C83">
        <v>16913.900000000001</v>
      </c>
      <c r="D83">
        <v>44894.8</v>
      </c>
      <c r="E83">
        <v>7178.3</v>
      </c>
      <c r="F83">
        <f t="shared" si="108"/>
        <v>4.4894800000000004</v>
      </c>
      <c r="G83">
        <f t="shared" si="109"/>
        <v>1.6913900000000002</v>
      </c>
      <c r="H83">
        <f t="shared" si="110"/>
        <v>2.7980900000000002</v>
      </c>
      <c r="I83">
        <f t="shared" si="112"/>
        <v>0.71782999999999997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8.0200222294953424E-2</v>
      </c>
      <c r="P83" s="4">
        <v>8</v>
      </c>
      <c r="Q83" s="5">
        <f t="shared" si="115"/>
        <v>2.7980900000000002</v>
      </c>
      <c r="R83" s="5">
        <f t="shared" si="115"/>
        <v>0.71782999999999997</v>
      </c>
      <c r="S83" s="5">
        <f t="shared" si="116"/>
        <v>1.1657542462500001</v>
      </c>
      <c r="T83" s="5">
        <f t="shared" si="117"/>
        <v>6.9945254775000007E-2</v>
      </c>
      <c r="U83" s="5">
        <f t="shared" si="118"/>
        <v>0.15969236250000002</v>
      </c>
      <c r="V83" s="5">
        <f t="shared" si="111"/>
        <v>8.0200222294953424E-2</v>
      </c>
    </row>
    <row r="84" spans="2:22" x14ac:dyDescent="0.3">
      <c r="B84">
        <v>10</v>
      </c>
      <c r="C84">
        <v>11005.5</v>
      </c>
      <c r="D84">
        <v>48755.4</v>
      </c>
      <c r="E84">
        <v>10146.200000000001</v>
      </c>
      <c r="F84">
        <f t="shared" si="108"/>
        <v>4.87554</v>
      </c>
      <c r="G84">
        <f t="shared" si="109"/>
        <v>1.1005499999999999</v>
      </c>
      <c r="H84">
        <f t="shared" si="110"/>
        <v>3.7749899999999998</v>
      </c>
      <c r="I84">
        <f t="shared" si="112"/>
        <v>1.0146200000000001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5.7432847683128903E-2</v>
      </c>
      <c r="P84" s="4">
        <v>14</v>
      </c>
      <c r="Q84" s="5">
        <f t="shared" si="115"/>
        <v>3.7749899999999998</v>
      </c>
      <c r="R84" s="5">
        <f t="shared" si="115"/>
        <v>1.0146200000000001</v>
      </c>
      <c r="S84" s="5">
        <f t="shared" si="116"/>
        <v>0.8987172621428573</v>
      </c>
      <c r="T84" s="5">
        <f t="shared" si="117"/>
        <v>5.3923035728571433E-2</v>
      </c>
      <c r="U84" s="5">
        <f t="shared" si="118"/>
        <v>0.12311195371819963</v>
      </c>
      <c r="V84" s="5">
        <f t="shared" si="111"/>
        <v>5.7432847683128903E-2</v>
      </c>
    </row>
    <row r="85" spans="2:22" ht="15" thickBot="1" x14ac:dyDescent="0.35">
      <c r="B85">
        <v>11</v>
      </c>
      <c r="C85">
        <v>-6093</v>
      </c>
      <c r="D85">
        <v>-5728</v>
      </c>
      <c r="E85">
        <v>11788.3</v>
      </c>
      <c r="F85">
        <f t="shared" si="108"/>
        <v>-0.57279999999999998</v>
      </c>
      <c r="G85">
        <f t="shared" si="109"/>
        <v>-0.60929999999999995</v>
      </c>
      <c r="H85">
        <f t="shared" si="110"/>
        <v>3.6499999999999977E-2</v>
      </c>
      <c r="I85">
        <f t="shared" si="112"/>
        <v>1.1788299999999998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3.7037181101287876E-2</v>
      </c>
      <c r="P85" s="7">
        <v>21</v>
      </c>
      <c r="Q85" s="6">
        <f t="shared" si="115"/>
        <v>3.6499999999999977E-2</v>
      </c>
      <c r="R85" s="6">
        <f t="shared" si="115"/>
        <v>1.1788299999999998</v>
      </c>
      <c r="S85" s="6">
        <f t="shared" si="116"/>
        <v>5.7930714285714252E-3</v>
      </c>
      <c r="T85" s="6">
        <f t="shared" si="117"/>
        <v>3.4758428571428552E-4</v>
      </c>
      <c r="U85" s="6">
        <f t="shared" si="118"/>
        <v>7.935714285714281E-4</v>
      </c>
      <c r="V85" s="6">
        <f t="shared" si="111"/>
        <v>3.7037181101287876E-2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-7090</v>
      </c>
      <c r="D89">
        <v>30256.7</v>
      </c>
      <c r="E89">
        <v>6552.6</v>
      </c>
      <c r="F89">
        <f t="shared" ref="F89:F99" si="120">D89/10000</f>
        <v>3.0256699999999999</v>
      </c>
      <c r="G89">
        <f t="shared" ref="G89:G99" si="121">C89/10000</f>
        <v>-0.70899999999999996</v>
      </c>
      <c r="H89">
        <f t="shared" ref="H89:H99" si="122">F89-G89</f>
        <v>3.7346699999999999</v>
      </c>
      <c r="I89">
        <f>E89/10000</f>
        <v>0.65526000000000006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0.61940375793767699</v>
      </c>
      <c r="P89" s="2">
        <v>3</v>
      </c>
      <c r="Q89" s="8">
        <f>H89</f>
        <v>3.7346699999999999</v>
      </c>
      <c r="R89" s="8">
        <f>I89</f>
        <v>0.65526000000000006</v>
      </c>
      <c r="S89" s="8">
        <f>Q89/10^6*$Z$4*$Z$3/P89*10^12</f>
        <v>4.1492183699999998</v>
      </c>
      <c r="T89" s="8">
        <f>S89*0.06</f>
        <v>0.24895310219999997</v>
      </c>
      <c r="U89" s="8">
        <f>S89/$Z$1</f>
        <v>0.56838607808219177</v>
      </c>
      <c r="V89" s="12">
        <f t="shared" ref="V89:V99" si="123">O89</f>
        <v>0.61940375793767699</v>
      </c>
    </row>
    <row r="90" spans="2:22" x14ac:dyDescent="0.3">
      <c r="B90">
        <v>2</v>
      </c>
      <c r="C90">
        <v>4150.1000000000004</v>
      </c>
      <c r="D90">
        <v>39961.300000000003</v>
      </c>
      <c r="E90">
        <v>6719.4</v>
      </c>
      <c r="F90">
        <f t="shared" si="120"/>
        <v>3.9961300000000004</v>
      </c>
      <c r="G90">
        <f t="shared" si="121"/>
        <v>0.41501000000000005</v>
      </c>
      <c r="H90">
        <f t="shared" si="122"/>
        <v>3.5811200000000003</v>
      </c>
      <c r="I90">
        <f t="shared" ref="I90:I99" si="124">E90/10000</f>
        <v>0.67193999999999998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0.54943486815579567</v>
      </c>
      <c r="P90" s="4">
        <v>3</v>
      </c>
      <c r="Q90" s="5">
        <f t="shared" ref="Q90:R99" si="127">H90</f>
        <v>3.5811200000000003</v>
      </c>
      <c r="R90" s="5">
        <f t="shared" si="127"/>
        <v>0.67193999999999998</v>
      </c>
      <c r="S90" s="5">
        <f t="shared" ref="S90:S99" si="128">Q90/10^6*$Z$4*$Z$3/P90*10^12</f>
        <v>3.9786243200000007</v>
      </c>
      <c r="T90" s="5">
        <f t="shared" ref="T90:T99" si="129">S90*0.06</f>
        <v>0.23871745920000004</v>
      </c>
      <c r="U90" s="5">
        <f t="shared" ref="U90:U99" si="130">S90/$Z$1</f>
        <v>0.54501703013698644</v>
      </c>
      <c r="V90" s="5">
        <f t="shared" si="123"/>
        <v>0.54943486815579567</v>
      </c>
    </row>
    <row r="91" spans="2:22" x14ac:dyDescent="0.3">
      <c r="B91">
        <v>3</v>
      </c>
      <c r="C91">
        <v>10647.1</v>
      </c>
      <c r="D91">
        <v>44642.3</v>
      </c>
      <c r="E91">
        <v>6664.2</v>
      </c>
      <c r="F91">
        <f t="shared" si="120"/>
        <v>4.4642300000000006</v>
      </c>
      <c r="G91">
        <f t="shared" si="121"/>
        <v>1.06471</v>
      </c>
      <c r="H91">
        <f t="shared" si="122"/>
        <v>3.3995200000000008</v>
      </c>
      <c r="I91">
        <f t="shared" si="124"/>
        <v>0.66642000000000001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0.47399400856709412</v>
      </c>
      <c r="P91" s="4">
        <v>3</v>
      </c>
      <c r="Q91" s="5">
        <f t="shared" si="127"/>
        <v>3.3995200000000008</v>
      </c>
      <c r="R91" s="5">
        <f t="shared" si="127"/>
        <v>0.66642000000000001</v>
      </c>
      <c r="S91" s="5">
        <f t="shared" si="128"/>
        <v>3.7768667200000015</v>
      </c>
      <c r="T91" s="5">
        <f t="shared" si="129"/>
        <v>0.22661200320000008</v>
      </c>
      <c r="U91" s="5">
        <f t="shared" si="130"/>
        <v>0.51737900273972626</v>
      </c>
      <c r="V91" s="5">
        <f t="shared" si="123"/>
        <v>0.47399400856709412</v>
      </c>
    </row>
    <row r="92" spans="2:22" x14ac:dyDescent="0.3">
      <c r="B92">
        <v>4</v>
      </c>
      <c r="C92">
        <v>15792.8</v>
      </c>
      <c r="D92">
        <v>47059.9</v>
      </c>
      <c r="E92">
        <v>5742.8</v>
      </c>
      <c r="F92">
        <f t="shared" si="120"/>
        <v>4.7059899999999999</v>
      </c>
      <c r="G92">
        <f t="shared" si="121"/>
        <v>1.57928</v>
      </c>
      <c r="H92">
        <f t="shared" si="122"/>
        <v>3.1267100000000001</v>
      </c>
      <c r="I92">
        <f t="shared" si="124"/>
        <v>0.57428000000000001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0.28708665630907115</v>
      </c>
      <c r="P92" s="4">
        <v>3</v>
      </c>
      <c r="Q92" s="5">
        <f t="shared" si="127"/>
        <v>3.1267100000000001</v>
      </c>
      <c r="R92" s="5">
        <f t="shared" si="127"/>
        <v>0.57428000000000001</v>
      </c>
      <c r="S92" s="5">
        <f t="shared" si="128"/>
        <v>3.4737748099999997</v>
      </c>
      <c r="T92" s="5">
        <f t="shared" si="129"/>
        <v>0.20842648859999996</v>
      </c>
      <c r="U92" s="5">
        <f t="shared" si="130"/>
        <v>0.47585956301369858</v>
      </c>
      <c r="V92" s="5">
        <f t="shared" si="123"/>
        <v>0.28708665630907115</v>
      </c>
    </row>
    <row r="93" spans="2:22" x14ac:dyDescent="0.3">
      <c r="B93">
        <v>5</v>
      </c>
      <c r="C93">
        <v>20108.7</v>
      </c>
      <c r="D93">
        <v>50380.3</v>
      </c>
      <c r="E93">
        <v>6120.2</v>
      </c>
      <c r="F93">
        <f t="shared" si="120"/>
        <v>5.03803</v>
      </c>
      <c r="G93">
        <f t="shared" si="121"/>
        <v>2.0108700000000002</v>
      </c>
      <c r="H93">
        <f t="shared" si="122"/>
        <v>3.0271599999999999</v>
      </c>
      <c r="I93">
        <f t="shared" si="124"/>
        <v>0.61202000000000001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0.20749571255129784</v>
      </c>
      <c r="P93" s="4">
        <v>3</v>
      </c>
      <c r="Q93" s="5">
        <f t="shared" si="127"/>
        <v>3.0271599999999999</v>
      </c>
      <c r="R93" s="5">
        <f t="shared" si="127"/>
        <v>0.61202000000000001</v>
      </c>
      <c r="S93" s="5">
        <f t="shared" si="128"/>
        <v>3.3631747600000002</v>
      </c>
      <c r="T93" s="5">
        <f t="shared" si="129"/>
        <v>0.20179048560000001</v>
      </c>
      <c r="U93" s="5">
        <f t="shared" si="130"/>
        <v>0.46070887123287674</v>
      </c>
      <c r="V93" s="5">
        <f t="shared" si="123"/>
        <v>0.20749571255129784</v>
      </c>
    </row>
    <row r="94" spans="2:22" x14ac:dyDescent="0.3">
      <c r="B94">
        <v>6</v>
      </c>
      <c r="C94">
        <v>21292.3</v>
      </c>
      <c r="D94">
        <v>59133.5</v>
      </c>
      <c r="E94">
        <v>5734.4</v>
      </c>
      <c r="F94">
        <f t="shared" si="120"/>
        <v>5.9133500000000003</v>
      </c>
      <c r="G94">
        <f t="shared" si="121"/>
        <v>2.1292299999999997</v>
      </c>
      <c r="H94">
        <f t="shared" si="122"/>
        <v>3.7841200000000006</v>
      </c>
      <c r="I94">
        <f t="shared" si="124"/>
        <v>0.57343999999999995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0.14362698913117394</v>
      </c>
      <c r="P94" s="4">
        <v>4</v>
      </c>
      <c r="Q94" s="5">
        <f t="shared" si="127"/>
        <v>3.7841200000000006</v>
      </c>
      <c r="R94" s="5">
        <f t="shared" si="127"/>
        <v>0.57343999999999995</v>
      </c>
      <c r="S94" s="5">
        <f t="shared" si="128"/>
        <v>3.1531179900000006</v>
      </c>
      <c r="T94" s="5">
        <f t="shared" si="129"/>
        <v>0.18918707940000004</v>
      </c>
      <c r="U94" s="5">
        <f t="shared" si="130"/>
        <v>0.4319339712328768</v>
      </c>
      <c r="V94" s="5">
        <f t="shared" si="123"/>
        <v>0.14362698913117394</v>
      </c>
    </row>
    <row r="95" spans="2:22" x14ac:dyDescent="0.3">
      <c r="B95">
        <v>7</v>
      </c>
      <c r="C95">
        <v>27883.4</v>
      </c>
      <c r="D95">
        <v>52782.400000000001</v>
      </c>
      <c r="E95">
        <v>5429.7</v>
      </c>
      <c r="F95">
        <f t="shared" si="120"/>
        <v>5.2782400000000003</v>
      </c>
      <c r="G95">
        <f t="shared" si="121"/>
        <v>2.7883400000000003</v>
      </c>
      <c r="H95">
        <f t="shared" si="122"/>
        <v>2.4899</v>
      </c>
      <c r="I95">
        <f t="shared" si="124"/>
        <v>0.54296999999999995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0.10383026745031791</v>
      </c>
      <c r="P95" s="4">
        <v>4</v>
      </c>
      <c r="Q95" s="5">
        <f t="shared" si="127"/>
        <v>2.4899</v>
      </c>
      <c r="R95" s="5">
        <f t="shared" si="127"/>
        <v>0.54296999999999995</v>
      </c>
      <c r="S95" s="5">
        <f t="shared" si="128"/>
        <v>2.0747091750000002</v>
      </c>
      <c r="T95" s="5">
        <f t="shared" si="129"/>
        <v>0.12448255050000001</v>
      </c>
      <c r="U95" s="5">
        <f t="shared" si="130"/>
        <v>0.28420673630136989</v>
      </c>
      <c r="V95" s="5">
        <f t="shared" si="123"/>
        <v>0.10383026745031791</v>
      </c>
    </row>
    <row r="96" spans="2:22" x14ac:dyDescent="0.3">
      <c r="B96">
        <v>8</v>
      </c>
      <c r="C96">
        <v>24175.3</v>
      </c>
      <c r="D96">
        <v>55561.5</v>
      </c>
      <c r="E96">
        <v>5316.9</v>
      </c>
      <c r="F96">
        <f t="shared" si="120"/>
        <v>5.5561499999999997</v>
      </c>
      <c r="G96">
        <f t="shared" si="121"/>
        <v>2.4175299999999997</v>
      </c>
      <c r="H96">
        <f t="shared" si="122"/>
        <v>3.13862</v>
      </c>
      <c r="I96">
        <f t="shared" si="124"/>
        <v>0.53169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8.7073679977753712E-2</v>
      </c>
      <c r="P96" s="4">
        <v>5</v>
      </c>
      <c r="Q96" s="5">
        <f t="shared" si="127"/>
        <v>3.13862</v>
      </c>
      <c r="R96" s="5">
        <f t="shared" si="127"/>
        <v>0.53169</v>
      </c>
      <c r="S96" s="5">
        <f t="shared" si="128"/>
        <v>2.0922040920000002</v>
      </c>
      <c r="T96" s="5">
        <f t="shared" si="129"/>
        <v>0.12553224552</v>
      </c>
      <c r="U96" s="5">
        <f t="shared" si="130"/>
        <v>0.28660330027397263</v>
      </c>
      <c r="V96" s="5">
        <f t="shared" si="123"/>
        <v>8.7073679977753712E-2</v>
      </c>
    </row>
    <row r="97" spans="2:22" x14ac:dyDescent="0.3">
      <c r="B97">
        <v>9</v>
      </c>
      <c r="C97">
        <v>29940.5</v>
      </c>
      <c r="D97">
        <v>58102.8</v>
      </c>
      <c r="E97">
        <v>6230.2</v>
      </c>
      <c r="F97">
        <f t="shared" si="120"/>
        <v>5.8102800000000006</v>
      </c>
      <c r="G97">
        <f t="shared" si="121"/>
        <v>2.9940500000000001</v>
      </c>
      <c r="H97">
        <f t="shared" si="122"/>
        <v>2.8162300000000005</v>
      </c>
      <c r="I97">
        <f t="shared" si="124"/>
        <v>0.62302000000000002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7.0175194508084252E-2</v>
      </c>
      <c r="P97" s="4">
        <v>8</v>
      </c>
      <c r="Q97" s="5">
        <f t="shared" si="127"/>
        <v>2.8162300000000005</v>
      </c>
      <c r="R97" s="5">
        <f t="shared" si="127"/>
        <v>0.62302000000000002</v>
      </c>
      <c r="S97" s="5">
        <f t="shared" si="128"/>
        <v>1.1733118237500002</v>
      </c>
      <c r="T97" s="5">
        <f t="shared" si="129"/>
        <v>7.0398709425000011E-2</v>
      </c>
      <c r="U97" s="5">
        <f t="shared" si="130"/>
        <v>0.16072764708904114</v>
      </c>
      <c r="V97" s="5">
        <f t="shared" si="123"/>
        <v>7.0175194508084252E-2</v>
      </c>
    </row>
    <row r="98" spans="2:22" x14ac:dyDescent="0.3">
      <c r="B98">
        <v>10</v>
      </c>
      <c r="C98">
        <v>13795.1</v>
      </c>
      <c r="D98">
        <v>63687.8</v>
      </c>
      <c r="E98">
        <v>10876</v>
      </c>
      <c r="F98">
        <f t="shared" si="120"/>
        <v>6.3687800000000001</v>
      </c>
      <c r="G98">
        <f t="shared" si="121"/>
        <v>1.37951</v>
      </c>
      <c r="H98">
        <f t="shared" si="122"/>
        <v>4.9892700000000003</v>
      </c>
      <c r="I98">
        <f t="shared" si="124"/>
        <v>1.0875999999999999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5.0253741722737791E-2</v>
      </c>
      <c r="P98" s="4">
        <v>14</v>
      </c>
      <c r="Q98" s="5">
        <f t="shared" si="127"/>
        <v>4.9892700000000003</v>
      </c>
      <c r="R98" s="5">
        <f t="shared" si="127"/>
        <v>1.0875999999999999</v>
      </c>
      <c r="S98" s="5">
        <f t="shared" si="128"/>
        <v>1.1878026364285716</v>
      </c>
      <c r="T98" s="5">
        <f t="shared" si="129"/>
        <v>7.1268158185714289E-2</v>
      </c>
      <c r="U98" s="5">
        <f t="shared" si="130"/>
        <v>0.16271268992172214</v>
      </c>
      <c r="V98" s="5">
        <f t="shared" si="123"/>
        <v>5.0253741722737791E-2</v>
      </c>
    </row>
    <row r="99" spans="2:22" ht="15" thickBot="1" x14ac:dyDescent="0.35">
      <c r="B99">
        <v>11</v>
      </c>
      <c r="C99">
        <v>5175.5</v>
      </c>
      <c r="D99">
        <v>19038.3</v>
      </c>
      <c r="E99">
        <v>5025.1000000000004</v>
      </c>
      <c r="F99">
        <f t="shared" si="120"/>
        <v>1.9038299999999999</v>
      </c>
      <c r="G99">
        <f t="shared" si="121"/>
        <v>0.51754999999999995</v>
      </c>
      <c r="H99">
        <f t="shared" si="122"/>
        <v>1.38628</v>
      </c>
      <c r="I99">
        <f t="shared" si="124"/>
        <v>0.50251000000000001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3.2407533463626889E-2</v>
      </c>
      <c r="P99" s="7">
        <v>21</v>
      </c>
      <c r="Q99" s="6">
        <f t="shared" si="127"/>
        <v>1.38628</v>
      </c>
      <c r="R99" s="6">
        <f t="shared" si="127"/>
        <v>0.50251000000000001</v>
      </c>
      <c r="S99" s="6">
        <f t="shared" si="128"/>
        <v>0.22002244000000001</v>
      </c>
      <c r="T99" s="6">
        <f t="shared" si="129"/>
        <v>1.3201346400000001E-2</v>
      </c>
      <c r="U99" s="6">
        <f t="shared" si="130"/>
        <v>3.0140060273972605E-2</v>
      </c>
      <c r="V99" s="6">
        <f t="shared" si="123"/>
        <v>3.2407533463626889E-2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4929.1000000000004</v>
      </c>
      <c r="D103">
        <v>42377.2</v>
      </c>
      <c r="E103">
        <v>5913.8</v>
      </c>
      <c r="F103">
        <f t="shared" ref="F103:F113" si="132">D103/10000</f>
        <v>4.2377199999999995</v>
      </c>
      <c r="G103">
        <f t="shared" ref="G103:G113" si="133">C103/10000</f>
        <v>0.49291000000000001</v>
      </c>
      <c r="H103">
        <f t="shared" ref="H103:H113" si="134">F103-G103</f>
        <v>3.7448099999999993</v>
      </c>
      <c r="I103">
        <f>E103/10000</f>
        <v>0.59138000000000002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0.55058111816682398</v>
      </c>
      <c r="P103" s="2">
        <v>3</v>
      </c>
      <c r="Q103" s="8">
        <f>H103</f>
        <v>3.7448099999999993</v>
      </c>
      <c r="R103" s="8">
        <f>I103</f>
        <v>0.59138000000000002</v>
      </c>
      <c r="S103" s="8">
        <f>Q103/10^6*$Z$4*$Z$3/P103*10^12</f>
        <v>4.1604839099999991</v>
      </c>
      <c r="T103" s="8">
        <f>S103*0.06</f>
        <v>0.24962903459999994</v>
      </c>
      <c r="U103" s="8">
        <f>S103/$Z$1</f>
        <v>0.56992930273972586</v>
      </c>
      <c r="V103" s="12">
        <f t="shared" ref="V103:V113" si="135">O103</f>
        <v>0.55058111816682398</v>
      </c>
    </row>
    <row r="104" spans="2:22" x14ac:dyDescent="0.3">
      <c r="B104">
        <v>2</v>
      </c>
      <c r="C104">
        <v>16679.8</v>
      </c>
      <c r="D104">
        <v>54519.3</v>
      </c>
      <c r="E104">
        <v>7372.3</v>
      </c>
      <c r="F104">
        <f t="shared" si="132"/>
        <v>5.4519299999999999</v>
      </c>
      <c r="G104">
        <f t="shared" si="133"/>
        <v>1.66798</v>
      </c>
      <c r="H104">
        <f t="shared" si="134"/>
        <v>3.7839499999999999</v>
      </c>
      <c r="I104">
        <f t="shared" ref="I104:I113" si="136">E104/10000</f>
        <v>0.73723000000000005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0.48838654947181837</v>
      </c>
      <c r="P104" s="4">
        <v>3</v>
      </c>
      <c r="Q104" s="5">
        <f t="shared" ref="Q104:R113" si="139">H104</f>
        <v>3.7839499999999999</v>
      </c>
      <c r="R104" s="5">
        <f t="shared" si="139"/>
        <v>0.73723000000000005</v>
      </c>
      <c r="S104" s="5">
        <f t="shared" ref="S104:S113" si="140">Q104/10^6*$Z$4*$Z$3/P104*10^12</f>
        <v>4.2039684499999996</v>
      </c>
      <c r="T104" s="5">
        <f t="shared" ref="T104:T113" si="141">S104*0.06</f>
        <v>0.25223810699999999</v>
      </c>
      <c r="U104" s="5">
        <f t="shared" ref="U104:U113" si="142">S104/$Z$1</f>
        <v>0.57588608904109584</v>
      </c>
      <c r="V104" s="5">
        <f t="shared" si="135"/>
        <v>0.48838654947181837</v>
      </c>
    </row>
    <row r="105" spans="2:22" x14ac:dyDescent="0.3">
      <c r="B105">
        <v>3</v>
      </c>
      <c r="C105">
        <v>23558.2</v>
      </c>
      <c r="D105">
        <v>57695.4</v>
      </c>
      <c r="E105">
        <v>5432</v>
      </c>
      <c r="F105">
        <f t="shared" si="132"/>
        <v>5.7695400000000001</v>
      </c>
      <c r="G105">
        <f t="shared" si="133"/>
        <v>2.35582</v>
      </c>
      <c r="H105">
        <f t="shared" si="134"/>
        <v>3.4137200000000001</v>
      </c>
      <c r="I105">
        <f t="shared" si="136"/>
        <v>0.54320000000000002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0.42132800761519479</v>
      </c>
      <c r="P105" s="4">
        <v>3</v>
      </c>
      <c r="Q105" s="5">
        <f t="shared" si="139"/>
        <v>3.4137200000000001</v>
      </c>
      <c r="R105" s="5">
        <f t="shared" si="139"/>
        <v>0.54320000000000002</v>
      </c>
      <c r="S105" s="5">
        <f t="shared" si="140"/>
        <v>3.7926429199999996</v>
      </c>
      <c r="T105" s="5">
        <f t="shared" si="141"/>
        <v>0.22755857519999997</v>
      </c>
      <c r="U105" s="5">
        <f t="shared" si="142"/>
        <v>0.51954012602739719</v>
      </c>
      <c r="V105" s="5">
        <f t="shared" si="135"/>
        <v>0.42132800761519479</v>
      </c>
    </row>
    <row r="106" spans="2:22" x14ac:dyDescent="0.3">
      <c r="B106">
        <v>4</v>
      </c>
      <c r="C106">
        <v>31964</v>
      </c>
      <c r="D106">
        <v>63690.3</v>
      </c>
      <c r="E106">
        <v>7018.4</v>
      </c>
      <c r="F106">
        <f t="shared" si="132"/>
        <v>6.3690300000000004</v>
      </c>
      <c r="G106">
        <f t="shared" si="133"/>
        <v>3.1964000000000001</v>
      </c>
      <c r="H106">
        <f t="shared" si="134"/>
        <v>3.1726300000000003</v>
      </c>
      <c r="I106">
        <f t="shared" si="136"/>
        <v>0.70183999999999991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0.25518813894139658</v>
      </c>
      <c r="P106" s="4">
        <v>3</v>
      </c>
      <c r="Q106" s="5">
        <f t="shared" si="139"/>
        <v>3.1726300000000003</v>
      </c>
      <c r="R106" s="5">
        <f t="shared" si="139"/>
        <v>0.70183999999999991</v>
      </c>
      <c r="S106" s="5">
        <f t="shared" si="140"/>
        <v>3.5247919300000006</v>
      </c>
      <c r="T106" s="5">
        <f t="shared" si="141"/>
        <v>0.21148751580000003</v>
      </c>
      <c r="U106" s="5">
        <f t="shared" si="142"/>
        <v>0.48284820958904118</v>
      </c>
      <c r="V106" s="5">
        <f t="shared" si="135"/>
        <v>0.25518813894139658</v>
      </c>
    </row>
    <row r="107" spans="2:22" x14ac:dyDescent="0.3">
      <c r="B107">
        <v>5</v>
      </c>
      <c r="C107">
        <v>30897.8</v>
      </c>
      <c r="D107">
        <v>58690.9</v>
      </c>
      <c r="E107">
        <v>7254.9</v>
      </c>
      <c r="F107">
        <f t="shared" si="132"/>
        <v>5.8690899999999999</v>
      </c>
      <c r="G107">
        <f t="shared" si="133"/>
        <v>3.0897799999999997</v>
      </c>
      <c r="H107">
        <f t="shared" si="134"/>
        <v>2.7793100000000002</v>
      </c>
      <c r="I107">
        <f t="shared" si="136"/>
        <v>0.72548999999999997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0.18444063337893141</v>
      </c>
      <c r="P107" s="4">
        <v>3</v>
      </c>
      <c r="Q107" s="5">
        <f t="shared" si="139"/>
        <v>2.7793100000000002</v>
      </c>
      <c r="R107" s="5">
        <f t="shared" si="139"/>
        <v>0.72548999999999997</v>
      </c>
      <c r="S107" s="5">
        <f t="shared" si="140"/>
        <v>3.0878134100000003</v>
      </c>
      <c r="T107" s="5">
        <f t="shared" si="141"/>
        <v>0.1852688046</v>
      </c>
      <c r="U107" s="5">
        <f t="shared" si="142"/>
        <v>0.42298813835616444</v>
      </c>
      <c r="V107" s="5">
        <f t="shared" si="135"/>
        <v>0.18444063337893141</v>
      </c>
    </row>
    <row r="108" spans="2:22" x14ac:dyDescent="0.3">
      <c r="B108">
        <v>6</v>
      </c>
      <c r="C108">
        <v>32566</v>
      </c>
      <c r="D108">
        <v>67049.399999999994</v>
      </c>
      <c r="E108">
        <v>5826.5</v>
      </c>
      <c r="F108">
        <f t="shared" si="132"/>
        <v>6.7049399999999997</v>
      </c>
      <c r="G108">
        <f t="shared" si="133"/>
        <v>3.2566000000000002</v>
      </c>
      <c r="H108">
        <f t="shared" si="134"/>
        <v>3.4483399999999995</v>
      </c>
      <c r="I108">
        <f t="shared" si="136"/>
        <v>0.58265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0.12766843478326573</v>
      </c>
      <c r="P108" s="4">
        <v>4</v>
      </c>
      <c r="Q108" s="5">
        <f t="shared" si="139"/>
        <v>3.4483399999999995</v>
      </c>
      <c r="R108" s="5">
        <f t="shared" si="139"/>
        <v>0.58265</v>
      </c>
      <c r="S108" s="5">
        <f t="shared" si="140"/>
        <v>2.8733293049999995</v>
      </c>
      <c r="T108" s="5">
        <f t="shared" si="141"/>
        <v>0.17239975829999996</v>
      </c>
      <c r="U108" s="5">
        <f t="shared" si="142"/>
        <v>0.39360675410958901</v>
      </c>
      <c r="V108" s="5">
        <f t="shared" si="135"/>
        <v>0.12766843478326573</v>
      </c>
    </row>
    <row r="109" spans="2:22" x14ac:dyDescent="0.3">
      <c r="B109">
        <v>7</v>
      </c>
      <c r="C109">
        <v>29673.5</v>
      </c>
      <c r="D109">
        <v>56355</v>
      </c>
      <c r="E109">
        <v>5948.2</v>
      </c>
      <c r="F109">
        <f t="shared" si="132"/>
        <v>5.6355000000000004</v>
      </c>
      <c r="G109">
        <f t="shared" si="133"/>
        <v>2.9673500000000002</v>
      </c>
      <c r="H109">
        <f t="shared" si="134"/>
        <v>2.6681500000000002</v>
      </c>
      <c r="I109">
        <f t="shared" si="136"/>
        <v>0.59482000000000002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9.2293571066949256E-2</v>
      </c>
      <c r="P109" s="4">
        <v>4</v>
      </c>
      <c r="Q109" s="5">
        <f t="shared" si="139"/>
        <v>2.6681500000000002</v>
      </c>
      <c r="R109" s="5">
        <f t="shared" si="139"/>
        <v>0.59482000000000002</v>
      </c>
      <c r="S109" s="5">
        <f t="shared" si="140"/>
        <v>2.2232359875000007</v>
      </c>
      <c r="T109" s="5">
        <f t="shared" si="141"/>
        <v>0.13339415925000003</v>
      </c>
      <c r="U109" s="5">
        <f t="shared" si="142"/>
        <v>0.30455287500000011</v>
      </c>
      <c r="V109" s="5">
        <f t="shared" si="135"/>
        <v>9.2293571066949256E-2</v>
      </c>
    </row>
    <row r="110" spans="2:22" x14ac:dyDescent="0.3">
      <c r="B110">
        <v>8</v>
      </c>
      <c r="C110">
        <v>31174.3</v>
      </c>
      <c r="D110">
        <v>53419.8</v>
      </c>
      <c r="E110">
        <v>6006.2</v>
      </c>
      <c r="F110">
        <f t="shared" si="132"/>
        <v>5.3419800000000004</v>
      </c>
      <c r="G110">
        <f t="shared" si="133"/>
        <v>3.1174300000000001</v>
      </c>
      <c r="H110">
        <f t="shared" si="134"/>
        <v>2.2245500000000002</v>
      </c>
      <c r="I110">
        <f t="shared" si="136"/>
        <v>0.60061999999999993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7.7398826646892183E-2</v>
      </c>
      <c r="P110" s="4">
        <v>5</v>
      </c>
      <c r="Q110" s="5">
        <f t="shared" si="139"/>
        <v>2.2245500000000002</v>
      </c>
      <c r="R110" s="5">
        <f t="shared" si="139"/>
        <v>0.60061999999999993</v>
      </c>
      <c r="S110" s="5">
        <f t="shared" si="140"/>
        <v>1.48288503</v>
      </c>
      <c r="T110" s="5">
        <f t="shared" si="141"/>
        <v>8.8973101799999996E-2</v>
      </c>
      <c r="U110" s="5">
        <f t="shared" si="142"/>
        <v>0.20313493561643836</v>
      </c>
      <c r="V110" s="5">
        <f t="shared" si="135"/>
        <v>7.7398826646892183E-2</v>
      </c>
    </row>
    <row r="111" spans="2:22" x14ac:dyDescent="0.3">
      <c r="B111">
        <v>9</v>
      </c>
      <c r="C111">
        <v>32537.200000000001</v>
      </c>
      <c r="D111">
        <v>52619.1</v>
      </c>
      <c r="E111">
        <v>7608</v>
      </c>
      <c r="F111">
        <f t="shared" si="132"/>
        <v>5.2619099999999994</v>
      </c>
      <c r="G111">
        <f t="shared" si="133"/>
        <v>3.2537199999999999</v>
      </c>
      <c r="H111">
        <f t="shared" si="134"/>
        <v>2.0081899999999995</v>
      </c>
      <c r="I111">
        <f t="shared" si="136"/>
        <v>0.76080000000000003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6.237795067385267E-2</v>
      </c>
      <c r="P111" s="4">
        <v>8</v>
      </c>
      <c r="Q111" s="5">
        <f t="shared" si="139"/>
        <v>2.0081899999999995</v>
      </c>
      <c r="R111" s="5">
        <f t="shared" si="139"/>
        <v>0.76080000000000003</v>
      </c>
      <c r="S111" s="5">
        <f t="shared" si="140"/>
        <v>0.83666215874999972</v>
      </c>
      <c r="T111" s="5">
        <f t="shared" si="141"/>
        <v>5.0199729524999979E-2</v>
      </c>
      <c r="U111" s="5">
        <f t="shared" si="142"/>
        <v>0.11461125462328764</v>
      </c>
      <c r="V111" s="5">
        <f t="shared" si="135"/>
        <v>6.237795067385267E-2</v>
      </c>
    </row>
    <row r="112" spans="2:22" x14ac:dyDescent="0.3">
      <c r="B112">
        <v>10</v>
      </c>
      <c r="C112">
        <v>27088.2</v>
      </c>
      <c r="D112">
        <v>61244.7</v>
      </c>
      <c r="E112">
        <v>9819.4</v>
      </c>
      <c r="F112">
        <f t="shared" si="132"/>
        <v>6.1244699999999996</v>
      </c>
      <c r="G112">
        <f t="shared" si="133"/>
        <v>2.7088200000000002</v>
      </c>
      <c r="H112">
        <f t="shared" si="134"/>
        <v>3.4156499999999994</v>
      </c>
      <c r="I112">
        <f t="shared" si="136"/>
        <v>0.98193999999999992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4.4669992642433591E-2</v>
      </c>
      <c r="P112" s="4">
        <v>14</v>
      </c>
      <c r="Q112" s="5">
        <f t="shared" si="139"/>
        <v>3.4156499999999994</v>
      </c>
      <c r="R112" s="5">
        <f t="shared" si="139"/>
        <v>0.98193999999999992</v>
      </c>
      <c r="S112" s="5">
        <f t="shared" si="140"/>
        <v>0.81316867500000001</v>
      </c>
      <c r="T112" s="5">
        <f t="shared" si="141"/>
        <v>4.8790120499999999E-2</v>
      </c>
      <c r="U112" s="5">
        <f t="shared" si="142"/>
        <v>0.1113929691780822</v>
      </c>
      <c r="V112" s="5">
        <f t="shared" si="135"/>
        <v>4.4669992642433591E-2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2.8806696412112791E-2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2.8806696412112791E-2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1311.2</v>
      </c>
      <c r="D117">
        <v>39589.599999999999</v>
      </c>
      <c r="E117">
        <v>6977.1</v>
      </c>
      <c r="F117">
        <f t="shared" ref="F117:F127" si="144">D117/10000</f>
        <v>3.9589599999999998</v>
      </c>
      <c r="G117">
        <f t="shared" ref="G117:G127" si="145">C117/10000</f>
        <v>0.13112000000000001</v>
      </c>
      <c r="H117">
        <f t="shared" ref="H117:H127" si="146">F117-G117</f>
        <v>3.8278399999999997</v>
      </c>
      <c r="I117">
        <f>E117/10000</f>
        <v>0.69771000000000005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0.49552300635014157</v>
      </c>
      <c r="P117" s="2">
        <v>3</v>
      </c>
      <c r="Q117" s="8">
        <f>H117</f>
        <v>3.8278399999999997</v>
      </c>
      <c r="R117" s="8">
        <f>I117</f>
        <v>0.69771000000000005</v>
      </c>
      <c r="S117" s="8">
        <f>Q117/10^6*$Z$4*$Z$3/P117*10^12</f>
        <v>4.2527302399999991</v>
      </c>
      <c r="T117" s="8">
        <f>S117*0.06</f>
        <v>0.25516381439999991</v>
      </c>
      <c r="U117" s="8">
        <f>S117/$Z$1</f>
        <v>0.58256578630136979</v>
      </c>
      <c r="V117" s="12">
        <f t="shared" ref="V117:V127" si="147">O117</f>
        <v>0.49552300635014157</v>
      </c>
    </row>
    <row r="118" spans="2:22" x14ac:dyDescent="0.3">
      <c r="B118">
        <v>2</v>
      </c>
      <c r="C118">
        <v>10505.4</v>
      </c>
      <c r="D118">
        <v>47541</v>
      </c>
      <c r="E118">
        <v>7090.7</v>
      </c>
      <c r="F118">
        <f t="shared" si="144"/>
        <v>4.7541000000000002</v>
      </c>
      <c r="G118">
        <f t="shared" si="145"/>
        <v>1.05054</v>
      </c>
      <c r="H118">
        <f t="shared" si="146"/>
        <v>3.7035600000000004</v>
      </c>
      <c r="I118">
        <f t="shared" ref="I118:I127" si="148">E118/10000</f>
        <v>0.70906999999999998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0.43954789452463655</v>
      </c>
      <c r="P118" s="4">
        <v>3</v>
      </c>
      <c r="Q118" s="5">
        <f t="shared" ref="Q118:R127" si="151">H118</f>
        <v>3.7035600000000004</v>
      </c>
      <c r="R118" s="5">
        <f t="shared" si="151"/>
        <v>0.70906999999999998</v>
      </c>
      <c r="S118" s="5">
        <f t="shared" ref="S118:S127" si="152">Q118/10^6*$Z$4*$Z$3/P118*10^12</f>
        <v>4.1146551599999999</v>
      </c>
      <c r="T118" s="5">
        <f t="shared" ref="T118:T127" si="153">S118*0.06</f>
        <v>0.24687930959999999</v>
      </c>
      <c r="U118" s="5">
        <f t="shared" ref="U118:U127" si="154">S118/$Z$1</f>
        <v>0.56365139178082191</v>
      </c>
      <c r="V118" s="5">
        <f t="shared" si="147"/>
        <v>0.43954789452463655</v>
      </c>
    </row>
    <row r="119" spans="2:22" x14ac:dyDescent="0.3">
      <c r="B119">
        <v>3</v>
      </c>
      <c r="C119">
        <v>16117.6</v>
      </c>
      <c r="D119">
        <v>51418</v>
      </c>
      <c r="E119">
        <v>5578.4</v>
      </c>
      <c r="F119">
        <f t="shared" si="144"/>
        <v>5.1417999999999999</v>
      </c>
      <c r="G119">
        <f t="shared" si="145"/>
        <v>1.6117600000000001</v>
      </c>
      <c r="H119">
        <f t="shared" si="146"/>
        <v>3.5300399999999996</v>
      </c>
      <c r="I119">
        <f t="shared" si="148"/>
        <v>0.55784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0.3791952068536753</v>
      </c>
      <c r="P119" s="4">
        <v>3</v>
      </c>
      <c r="Q119" s="5">
        <f t="shared" si="151"/>
        <v>3.5300399999999996</v>
      </c>
      <c r="R119" s="5">
        <f t="shared" si="151"/>
        <v>0.55784</v>
      </c>
      <c r="S119" s="5">
        <f t="shared" si="152"/>
        <v>3.9218744399999994</v>
      </c>
      <c r="T119" s="5">
        <f t="shared" si="153"/>
        <v>0.23531246639999995</v>
      </c>
      <c r="U119" s="5">
        <f t="shared" si="154"/>
        <v>0.53724307397260262</v>
      </c>
      <c r="V119" s="5">
        <f t="shared" si="147"/>
        <v>0.3791952068536753</v>
      </c>
    </row>
    <row r="120" spans="2:22" x14ac:dyDescent="0.3">
      <c r="B120">
        <v>4</v>
      </c>
      <c r="C120">
        <v>21936.400000000001</v>
      </c>
      <c r="D120">
        <v>55909.9</v>
      </c>
      <c r="E120">
        <v>5934.7</v>
      </c>
      <c r="F120">
        <f t="shared" si="144"/>
        <v>5.5909900000000006</v>
      </c>
      <c r="G120">
        <f t="shared" si="145"/>
        <v>2.1936400000000003</v>
      </c>
      <c r="H120">
        <f t="shared" si="146"/>
        <v>3.3973500000000003</v>
      </c>
      <c r="I120">
        <f t="shared" si="148"/>
        <v>0.59346999999999994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0.22966932504725693</v>
      </c>
      <c r="P120" s="4">
        <v>3</v>
      </c>
      <c r="Q120" s="5">
        <f t="shared" si="151"/>
        <v>3.3973500000000003</v>
      </c>
      <c r="R120" s="5">
        <f t="shared" si="151"/>
        <v>0.59346999999999994</v>
      </c>
      <c r="S120" s="5">
        <f t="shared" si="152"/>
        <v>3.7744558500000003</v>
      </c>
      <c r="T120" s="5">
        <f t="shared" si="153"/>
        <v>0.22646735100000001</v>
      </c>
      <c r="U120" s="5">
        <f t="shared" si="154"/>
        <v>0.5170487465753425</v>
      </c>
      <c r="V120" s="5">
        <f t="shared" si="147"/>
        <v>0.22966932504725693</v>
      </c>
    </row>
    <row r="121" spans="2:22" x14ac:dyDescent="0.3">
      <c r="B121">
        <v>5</v>
      </c>
      <c r="C121">
        <v>18502.099999999999</v>
      </c>
      <c r="D121">
        <v>53531</v>
      </c>
      <c r="E121">
        <v>6370.2</v>
      </c>
      <c r="F121">
        <f t="shared" si="144"/>
        <v>5.3531000000000004</v>
      </c>
      <c r="G121">
        <f t="shared" si="145"/>
        <v>1.8502099999999999</v>
      </c>
      <c r="H121">
        <f t="shared" si="146"/>
        <v>3.5028900000000007</v>
      </c>
      <c r="I121">
        <f t="shared" si="148"/>
        <v>0.63702000000000003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0.16599657004103827</v>
      </c>
      <c r="P121" s="4">
        <v>3</v>
      </c>
      <c r="Q121" s="5">
        <f t="shared" si="151"/>
        <v>3.5028900000000007</v>
      </c>
      <c r="R121" s="5">
        <f t="shared" si="151"/>
        <v>0.63702000000000003</v>
      </c>
      <c r="S121" s="5">
        <f t="shared" si="152"/>
        <v>3.8917107900000008</v>
      </c>
      <c r="T121" s="5">
        <f t="shared" si="153"/>
        <v>0.23350264740000004</v>
      </c>
      <c r="U121" s="5">
        <f t="shared" si="154"/>
        <v>0.53311106712328782</v>
      </c>
      <c r="V121" s="5">
        <f t="shared" si="147"/>
        <v>0.16599657004103827</v>
      </c>
    </row>
    <row r="122" spans="2:22" x14ac:dyDescent="0.3">
      <c r="B122">
        <v>6</v>
      </c>
      <c r="C122">
        <v>32377.200000000001</v>
      </c>
      <c r="D122">
        <v>58534.2</v>
      </c>
      <c r="E122">
        <v>6660.8</v>
      </c>
      <c r="F122">
        <f t="shared" si="144"/>
        <v>5.8534199999999998</v>
      </c>
      <c r="G122">
        <f t="shared" si="145"/>
        <v>3.2377199999999999</v>
      </c>
      <c r="H122">
        <f t="shared" si="146"/>
        <v>2.6156999999999999</v>
      </c>
      <c r="I122">
        <f t="shared" si="148"/>
        <v>0.66608000000000001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0.11490159130493915</v>
      </c>
      <c r="P122" s="4">
        <v>4</v>
      </c>
      <c r="Q122" s="5">
        <f t="shared" si="151"/>
        <v>2.6156999999999999</v>
      </c>
      <c r="R122" s="5">
        <f t="shared" si="151"/>
        <v>0.66608000000000001</v>
      </c>
      <c r="S122" s="5">
        <f t="shared" si="152"/>
        <v>2.1795320249999999</v>
      </c>
      <c r="T122" s="5">
        <f t="shared" si="153"/>
        <v>0.1307719215</v>
      </c>
      <c r="U122" s="5">
        <f t="shared" si="154"/>
        <v>0.29856603082191779</v>
      </c>
      <c r="V122" s="5">
        <f t="shared" si="147"/>
        <v>0.11490159130493915</v>
      </c>
    </row>
    <row r="123" spans="2:22" x14ac:dyDescent="0.3">
      <c r="B123">
        <v>7</v>
      </c>
      <c r="C123">
        <v>33495.199999999997</v>
      </c>
      <c r="D123">
        <v>49483.5</v>
      </c>
      <c r="E123">
        <v>6185.1</v>
      </c>
      <c r="F123">
        <f t="shared" si="144"/>
        <v>4.9483499999999996</v>
      </c>
      <c r="G123">
        <f t="shared" si="145"/>
        <v>3.3495199999999996</v>
      </c>
      <c r="H123">
        <f t="shared" si="146"/>
        <v>1.59883</v>
      </c>
      <c r="I123">
        <f t="shared" si="148"/>
        <v>0.61851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8.3064213960254332E-2</v>
      </c>
      <c r="P123" s="4">
        <v>4</v>
      </c>
      <c r="Q123" s="5">
        <f t="shared" si="151"/>
        <v>1.59883</v>
      </c>
      <c r="R123" s="5">
        <f t="shared" si="151"/>
        <v>0.61851</v>
      </c>
      <c r="S123" s="5">
        <f t="shared" si="152"/>
        <v>1.3322250975000001</v>
      </c>
      <c r="T123" s="5">
        <f t="shared" si="153"/>
        <v>7.9933505850000003E-2</v>
      </c>
      <c r="U123" s="5">
        <f t="shared" si="154"/>
        <v>0.18249658869863014</v>
      </c>
      <c r="V123" s="5">
        <f t="shared" si="147"/>
        <v>8.3064213960254332E-2</v>
      </c>
    </row>
    <row r="124" spans="2:22" x14ac:dyDescent="0.3">
      <c r="B124">
        <v>8</v>
      </c>
      <c r="C124">
        <v>35885.300000000003</v>
      </c>
      <c r="D124">
        <v>49860.9</v>
      </c>
      <c r="E124">
        <v>5544.8</v>
      </c>
      <c r="F124">
        <f t="shared" si="144"/>
        <v>4.9860899999999999</v>
      </c>
      <c r="G124">
        <f t="shared" si="145"/>
        <v>3.5885300000000004</v>
      </c>
      <c r="H124">
        <f t="shared" si="146"/>
        <v>1.3975599999999995</v>
      </c>
      <c r="I124">
        <f t="shared" si="148"/>
        <v>0.55447999999999997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6.9658943982202973E-2</v>
      </c>
      <c r="P124" s="4">
        <v>5</v>
      </c>
      <c r="Q124" s="5">
        <f t="shared" si="151"/>
        <v>1.3975599999999995</v>
      </c>
      <c r="R124" s="5">
        <f t="shared" si="151"/>
        <v>0.55447999999999997</v>
      </c>
      <c r="S124" s="5">
        <f t="shared" si="152"/>
        <v>0.93161349599999987</v>
      </c>
      <c r="T124" s="5">
        <f t="shared" si="153"/>
        <v>5.5896809759999992E-2</v>
      </c>
      <c r="U124" s="5">
        <f t="shared" si="154"/>
        <v>0.12761828712328765</v>
      </c>
      <c r="V124" s="5">
        <f t="shared" si="147"/>
        <v>6.9658943982202973E-2</v>
      </c>
    </row>
    <row r="125" spans="2:22" x14ac:dyDescent="0.3">
      <c r="B125">
        <v>9</v>
      </c>
      <c r="C125">
        <v>17058.099999999999</v>
      </c>
      <c r="D125">
        <v>45620.7</v>
      </c>
      <c r="E125">
        <v>6438.2</v>
      </c>
      <c r="F125">
        <f t="shared" si="144"/>
        <v>4.5620699999999994</v>
      </c>
      <c r="G125">
        <f t="shared" si="145"/>
        <v>1.7058099999999998</v>
      </c>
      <c r="H125">
        <f t="shared" si="146"/>
        <v>2.8562599999999998</v>
      </c>
      <c r="I125">
        <f t="shared" si="148"/>
        <v>0.64381999999999995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5.6140155606467401E-2</v>
      </c>
      <c r="P125" s="4">
        <v>8</v>
      </c>
      <c r="Q125" s="5">
        <f t="shared" si="151"/>
        <v>2.8562599999999998</v>
      </c>
      <c r="R125" s="5">
        <f t="shared" si="151"/>
        <v>0.64381999999999995</v>
      </c>
      <c r="S125" s="5">
        <f t="shared" si="152"/>
        <v>1.1899893225</v>
      </c>
      <c r="T125" s="5">
        <f t="shared" si="153"/>
        <v>7.1399359349999997E-2</v>
      </c>
      <c r="U125" s="5">
        <f t="shared" si="154"/>
        <v>0.1630122359589041</v>
      </c>
      <c r="V125" s="5">
        <f t="shared" si="147"/>
        <v>5.6140155606467401E-2</v>
      </c>
    </row>
    <row r="126" spans="2:22" x14ac:dyDescent="0.3">
      <c r="B126">
        <v>10</v>
      </c>
      <c r="C126">
        <v>25621.7</v>
      </c>
      <c r="D126">
        <v>52671</v>
      </c>
      <c r="E126">
        <v>9409.2999999999993</v>
      </c>
      <c r="F126">
        <f t="shared" si="144"/>
        <v>5.2671000000000001</v>
      </c>
      <c r="G126">
        <f t="shared" si="145"/>
        <v>2.5621700000000001</v>
      </c>
      <c r="H126">
        <f t="shared" si="146"/>
        <v>2.7049300000000001</v>
      </c>
      <c r="I126">
        <f t="shared" si="148"/>
        <v>0.94092999999999993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4.0202993378190235E-2</v>
      </c>
      <c r="P126" s="4">
        <v>14</v>
      </c>
      <c r="Q126" s="5">
        <f t="shared" si="151"/>
        <v>2.7049300000000001</v>
      </c>
      <c r="R126" s="5">
        <f t="shared" si="151"/>
        <v>0.94092999999999993</v>
      </c>
      <c r="S126" s="5">
        <f t="shared" si="152"/>
        <v>0.6439665492857144</v>
      </c>
      <c r="T126" s="5">
        <f t="shared" si="153"/>
        <v>3.8637992957142861E-2</v>
      </c>
      <c r="U126" s="5">
        <f t="shared" si="154"/>
        <v>8.8214595792563619E-2</v>
      </c>
      <c r="V126" s="5">
        <f t="shared" si="147"/>
        <v>4.0202993378190235E-2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2.5926026770901511E-2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2.5926026770901511E-2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3882</v>
      </c>
      <c r="D131">
        <v>40768.400000000001</v>
      </c>
      <c r="E131">
        <v>6863.2</v>
      </c>
      <c r="F131">
        <f t="shared" ref="F131:F141" si="156">D131/10000</f>
        <v>4.0768399999999998</v>
      </c>
      <c r="G131">
        <f t="shared" ref="G131:G141" si="157">C131/10000</f>
        <v>0.38819999999999999</v>
      </c>
      <c r="H131">
        <f t="shared" ref="H131:H141" si="158">F131-G131</f>
        <v>3.6886399999999999</v>
      </c>
      <c r="I131">
        <f>E131/10000</f>
        <v>0.68631999999999993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0.3303486709000944</v>
      </c>
      <c r="P131" s="2">
        <v>3</v>
      </c>
      <c r="Q131" s="8">
        <f>H131</f>
        <v>3.6886399999999999</v>
      </c>
      <c r="R131" s="8">
        <f>I131</f>
        <v>0.68631999999999993</v>
      </c>
      <c r="S131" s="8">
        <f>Q131/10^6*$Z$4*$Z$3/P131*10^12</f>
        <v>4.09807904</v>
      </c>
      <c r="T131" s="8">
        <f>S131*0.06</f>
        <v>0.24588474239999999</v>
      </c>
      <c r="U131" s="8">
        <f>S131/$Z$1</f>
        <v>0.56138069041095895</v>
      </c>
      <c r="V131" s="12">
        <f t="shared" ref="V131:V141" si="159">O131</f>
        <v>0.3303486709000944</v>
      </c>
    </row>
    <row r="132" spans="2:22" x14ac:dyDescent="0.3">
      <c r="B132">
        <v>2</v>
      </c>
      <c r="C132">
        <v>14826.5</v>
      </c>
      <c r="D132">
        <v>55714.7</v>
      </c>
      <c r="E132">
        <v>6934.2</v>
      </c>
      <c r="F132">
        <f t="shared" si="156"/>
        <v>5.5714699999999997</v>
      </c>
      <c r="G132">
        <f t="shared" si="157"/>
        <v>1.48265</v>
      </c>
      <c r="H132">
        <f t="shared" si="158"/>
        <v>4.0888200000000001</v>
      </c>
      <c r="I132">
        <f t="shared" ref="I132:I141" si="160">E132/10000</f>
        <v>0.69342000000000004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0.29303192968309105</v>
      </c>
      <c r="P132" s="4">
        <v>3</v>
      </c>
      <c r="Q132" s="5">
        <f t="shared" ref="Q132:R141" si="163">H132</f>
        <v>4.0888200000000001</v>
      </c>
      <c r="R132" s="5">
        <f t="shared" si="163"/>
        <v>0.69342000000000004</v>
      </c>
      <c r="S132" s="5">
        <f t="shared" ref="S132:S141" si="164">Q132/10^6*$Z$4*$Z$3/P132*10^12</f>
        <v>4.5426790200000005</v>
      </c>
      <c r="T132" s="5">
        <f t="shared" ref="T132:T141" si="165">S132*0.06</f>
        <v>0.27256074120000001</v>
      </c>
      <c r="U132" s="5">
        <f t="shared" ref="U132:U141" si="166">S132/$Z$1</f>
        <v>0.62228479726027408</v>
      </c>
      <c r="V132" s="5">
        <f t="shared" si="159"/>
        <v>0.29303192968309105</v>
      </c>
    </row>
    <row r="133" spans="2:22" x14ac:dyDescent="0.3">
      <c r="B133">
        <v>3</v>
      </c>
      <c r="C133">
        <v>21798.2</v>
      </c>
      <c r="D133">
        <v>62101.4</v>
      </c>
      <c r="E133">
        <v>7521.5</v>
      </c>
      <c r="F133">
        <f t="shared" si="156"/>
        <v>6.21014</v>
      </c>
      <c r="G133">
        <f t="shared" si="157"/>
        <v>2.1798199999999999</v>
      </c>
      <c r="H133">
        <f t="shared" si="158"/>
        <v>4.0303199999999997</v>
      </c>
      <c r="I133">
        <f t="shared" si="160"/>
        <v>0.75214999999999999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0.25279680456911685</v>
      </c>
      <c r="P133" s="4">
        <v>3</v>
      </c>
      <c r="Q133" s="5">
        <f t="shared" si="163"/>
        <v>4.0303199999999997</v>
      </c>
      <c r="R133" s="5">
        <f t="shared" si="163"/>
        <v>0.75214999999999999</v>
      </c>
      <c r="S133" s="5">
        <f t="shared" si="164"/>
        <v>4.4776855200000005</v>
      </c>
      <c r="T133" s="5">
        <f t="shared" si="165"/>
        <v>0.26866113120000001</v>
      </c>
      <c r="U133" s="5">
        <f t="shared" si="166"/>
        <v>0.61338157808219185</v>
      </c>
      <c r="V133" s="5">
        <f t="shared" si="159"/>
        <v>0.25279680456911685</v>
      </c>
    </row>
    <row r="134" spans="2:22" x14ac:dyDescent="0.3">
      <c r="B134">
        <v>4</v>
      </c>
      <c r="C134">
        <v>28231</v>
      </c>
      <c r="D134">
        <v>59937.2</v>
      </c>
      <c r="E134">
        <v>7128.2</v>
      </c>
      <c r="F134">
        <f t="shared" si="156"/>
        <v>5.9937199999999997</v>
      </c>
      <c r="G134">
        <f t="shared" si="157"/>
        <v>2.8231000000000002</v>
      </c>
      <c r="H134">
        <f t="shared" si="158"/>
        <v>3.1706199999999995</v>
      </c>
      <c r="I134">
        <f t="shared" si="160"/>
        <v>0.71282000000000001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0.15311288336483794</v>
      </c>
      <c r="P134" s="4">
        <v>3</v>
      </c>
      <c r="Q134" s="5">
        <f t="shared" si="163"/>
        <v>3.1706199999999995</v>
      </c>
      <c r="R134" s="5">
        <f t="shared" si="163"/>
        <v>0.71282000000000001</v>
      </c>
      <c r="S134" s="5">
        <f t="shared" si="164"/>
        <v>3.5225588199999995</v>
      </c>
      <c r="T134" s="5">
        <f t="shared" si="165"/>
        <v>0.21135352919999997</v>
      </c>
      <c r="U134" s="5">
        <f t="shared" si="166"/>
        <v>0.48254230410958898</v>
      </c>
      <c r="V134" s="5">
        <f t="shared" si="159"/>
        <v>0.15311288336483794</v>
      </c>
    </row>
    <row r="135" spans="2:22" x14ac:dyDescent="0.3">
      <c r="B135">
        <v>5</v>
      </c>
      <c r="C135">
        <v>30028.7</v>
      </c>
      <c r="D135">
        <v>58168.5</v>
      </c>
      <c r="E135">
        <v>6244.8</v>
      </c>
      <c r="F135">
        <f t="shared" si="156"/>
        <v>5.8168499999999996</v>
      </c>
      <c r="G135">
        <f t="shared" si="157"/>
        <v>3.0028700000000002</v>
      </c>
      <c r="H135">
        <f t="shared" si="158"/>
        <v>2.8139799999999995</v>
      </c>
      <c r="I135">
        <f t="shared" si="160"/>
        <v>0.62448000000000004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0.11066438002735884</v>
      </c>
      <c r="P135" s="4">
        <v>3</v>
      </c>
      <c r="Q135" s="5">
        <f t="shared" si="163"/>
        <v>2.8139799999999995</v>
      </c>
      <c r="R135" s="5">
        <f t="shared" si="163"/>
        <v>0.62448000000000004</v>
      </c>
      <c r="S135" s="5">
        <f t="shared" si="164"/>
        <v>3.1263317799999992</v>
      </c>
      <c r="T135" s="5">
        <f t="shared" si="165"/>
        <v>0.18757990679999995</v>
      </c>
      <c r="U135" s="5">
        <f t="shared" si="166"/>
        <v>0.42826462739726018</v>
      </c>
      <c r="V135" s="5">
        <f t="shared" si="159"/>
        <v>0.11066438002735884</v>
      </c>
    </row>
    <row r="136" spans="2:22" x14ac:dyDescent="0.3">
      <c r="B136">
        <v>6</v>
      </c>
      <c r="C136">
        <v>29878</v>
      </c>
      <c r="D136">
        <v>63548.4</v>
      </c>
      <c r="E136">
        <v>8098.6</v>
      </c>
      <c r="F136">
        <f t="shared" si="156"/>
        <v>6.3548400000000003</v>
      </c>
      <c r="G136">
        <f t="shared" si="157"/>
        <v>2.9878</v>
      </c>
      <c r="H136">
        <f t="shared" si="158"/>
        <v>3.3670400000000003</v>
      </c>
      <c r="I136">
        <f t="shared" si="160"/>
        <v>0.80986000000000002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7.6601060869959436E-2</v>
      </c>
      <c r="P136" s="4">
        <v>4</v>
      </c>
      <c r="Q136" s="5">
        <f t="shared" si="163"/>
        <v>3.3670400000000003</v>
      </c>
      <c r="R136" s="5">
        <f t="shared" si="163"/>
        <v>0.80986000000000002</v>
      </c>
      <c r="S136" s="5">
        <f t="shared" si="164"/>
        <v>2.8055860800000008</v>
      </c>
      <c r="T136" s="5">
        <f t="shared" si="165"/>
        <v>0.16833516480000005</v>
      </c>
      <c r="U136" s="5">
        <f t="shared" si="166"/>
        <v>0.38432686027397273</v>
      </c>
      <c r="V136" s="5">
        <f t="shared" si="159"/>
        <v>7.6601060869959436E-2</v>
      </c>
    </row>
    <row r="137" spans="2:22" x14ac:dyDescent="0.3">
      <c r="B137">
        <v>7</v>
      </c>
      <c r="C137">
        <v>27333.200000000001</v>
      </c>
      <c r="D137">
        <v>54456.800000000003</v>
      </c>
      <c r="E137">
        <v>5026.8</v>
      </c>
      <c r="F137">
        <f t="shared" si="156"/>
        <v>5.4456800000000003</v>
      </c>
      <c r="G137">
        <f t="shared" si="157"/>
        <v>2.73332</v>
      </c>
      <c r="H137">
        <f t="shared" si="158"/>
        <v>2.7123600000000003</v>
      </c>
      <c r="I137">
        <f t="shared" si="160"/>
        <v>0.50268000000000002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5.5376142640169553E-2</v>
      </c>
      <c r="P137" s="4">
        <v>4</v>
      </c>
      <c r="Q137" s="5">
        <f t="shared" si="163"/>
        <v>2.7123600000000003</v>
      </c>
      <c r="R137" s="5">
        <f t="shared" si="163"/>
        <v>0.50268000000000002</v>
      </c>
      <c r="S137" s="5">
        <f t="shared" si="164"/>
        <v>2.2600739700000005</v>
      </c>
      <c r="T137" s="5">
        <f t="shared" si="165"/>
        <v>0.13560443820000004</v>
      </c>
      <c r="U137" s="5">
        <f t="shared" si="166"/>
        <v>0.30959917397260284</v>
      </c>
      <c r="V137" s="5">
        <f t="shared" si="159"/>
        <v>5.5376142640169553E-2</v>
      </c>
    </row>
    <row r="138" spans="2:22" x14ac:dyDescent="0.3">
      <c r="B138">
        <v>8</v>
      </c>
      <c r="C138">
        <v>32284.3</v>
      </c>
      <c r="D138">
        <v>50136.800000000003</v>
      </c>
      <c r="E138">
        <v>4858.3999999999996</v>
      </c>
      <c r="F138">
        <f t="shared" si="156"/>
        <v>5.0136799999999999</v>
      </c>
      <c r="G138">
        <f t="shared" si="157"/>
        <v>3.2284299999999999</v>
      </c>
      <c r="H138">
        <f t="shared" si="158"/>
        <v>1.78525</v>
      </c>
      <c r="I138">
        <f t="shared" si="160"/>
        <v>0.48583999999999994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4.6439295988135315E-2</v>
      </c>
      <c r="P138" s="4">
        <v>5</v>
      </c>
      <c r="Q138" s="5">
        <f t="shared" si="163"/>
        <v>1.78525</v>
      </c>
      <c r="R138" s="5">
        <f t="shared" si="163"/>
        <v>0.48583999999999994</v>
      </c>
      <c r="S138" s="5">
        <f t="shared" si="164"/>
        <v>1.1900476500000001</v>
      </c>
      <c r="T138" s="5">
        <f t="shared" si="165"/>
        <v>7.1402858999999999E-2</v>
      </c>
      <c r="U138" s="5">
        <f t="shared" si="166"/>
        <v>0.16302022602739727</v>
      </c>
      <c r="V138" s="5">
        <f t="shared" si="159"/>
        <v>4.6439295988135315E-2</v>
      </c>
    </row>
    <row r="139" spans="2:22" x14ac:dyDescent="0.3">
      <c r="B139">
        <v>9</v>
      </c>
      <c r="C139">
        <v>27277.1</v>
      </c>
      <c r="D139">
        <v>43289.3</v>
      </c>
      <c r="E139">
        <v>4962.7</v>
      </c>
      <c r="F139">
        <f t="shared" si="156"/>
        <v>4.3289300000000006</v>
      </c>
      <c r="G139">
        <f t="shared" si="157"/>
        <v>2.7277099999999996</v>
      </c>
      <c r="H139">
        <f t="shared" si="158"/>
        <v>1.601220000000001</v>
      </c>
      <c r="I139">
        <f t="shared" si="160"/>
        <v>0.49626999999999999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3.7426770404311603E-2</v>
      </c>
      <c r="P139" s="4">
        <v>8</v>
      </c>
      <c r="Q139" s="5">
        <f t="shared" si="163"/>
        <v>1.601220000000001</v>
      </c>
      <c r="R139" s="5">
        <f t="shared" si="163"/>
        <v>0.49626999999999999</v>
      </c>
      <c r="S139" s="5">
        <f t="shared" si="164"/>
        <v>0.66710828250000043</v>
      </c>
      <c r="T139" s="5">
        <f t="shared" si="165"/>
        <v>4.0026496950000025E-2</v>
      </c>
      <c r="U139" s="5">
        <f t="shared" si="166"/>
        <v>9.1384696232876775E-2</v>
      </c>
      <c r="V139" s="5">
        <f t="shared" si="159"/>
        <v>3.7426770404311603E-2</v>
      </c>
    </row>
    <row r="140" spans="2:22" x14ac:dyDescent="0.3">
      <c r="B140">
        <v>10</v>
      </c>
      <c r="C140">
        <v>27491.1</v>
      </c>
      <c r="D140">
        <v>56814.9</v>
      </c>
      <c r="E140">
        <v>5980.9</v>
      </c>
      <c r="F140">
        <f t="shared" si="156"/>
        <v>5.6814900000000002</v>
      </c>
      <c r="G140">
        <f t="shared" si="157"/>
        <v>2.7491099999999999</v>
      </c>
      <c r="H140">
        <f t="shared" si="158"/>
        <v>2.9323800000000002</v>
      </c>
      <c r="I140">
        <f t="shared" si="160"/>
        <v>0.59809000000000001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2.6801995585460155E-2</v>
      </c>
      <c r="P140" s="4">
        <v>14</v>
      </c>
      <c r="Q140" s="5">
        <f t="shared" si="163"/>
        <v>2.9323800000000002</v>
      </c>
      <c r="R140" s="5">
        <f t="shared" si="163"/>
        <v>0.59809000000000001</v>
      </c>
      <c r="S140" s="5">
        <f t="shared" si="164"/>
        <v>0.69811589571428578</v>
      </c>
      <c r="T140" s="5">
        <f t="shared" si="165"/>
        <v>4.1886953742857148E-2</v>
      </c>
      <c r="U140" s="5">
        <f t="shared" si="166"/>
        <v>9.563231448140902E-2</v>
      </c>
      <c r="V140" s="5">
        <f t="shared" si="159"/>
        <v>2.6801995585460155E-2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1.7284017847267675E-2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1.7284017847267675E-2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898.5</v>
      </c>
      <c r="D145">
        <v>38831.4</v>
      </c>
      <c r="E145">
        <v>7871.5</v>
      </c>
      <c r="F145">
        <f t="shared" ref="F145:F155" si="168">D145/10000</f>
        <v>3.88314</v>
      </c>
      <c r="G145">
        <f t="shared" ref="G145:G155" si="169">C145/10000</f>
        <v>8.9849999999999999E-2</v>
      </c>
      <c r="H145">
        <f t="shared" ref="H145:H155" si="170">F145-G145</f>
        <v>3.7932899999999998</v>
      </c>
      <c r="I145">
        <f>E145/10000</f>
        <v>0.78715000000000002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0.24776150317507079</v>
      </c>
      <c r="P145" s="2">
        <v>3</v>
      </c>
      <c r="Q145" s="8">
        <f>H145</f>
        <v>3.7932899999999998</v>
      </c>
      <c r="R145" s="8">
        <f>I145</f>
        <v>0.78715000000000002</v>
      </c>
      <c r="S145" s="8">
        <f>Q145/10^6*$Z$4*$Z$3/P145*10^12</f>
        <v>4.2143451899999995</v>
      </c>
      <c r="T145" s="8">
        <f>S145*0.06</f>
        <v>0.25286071139999994</v>
      </c>
      <c r="U145" s="8">
        <f>S145/$Z$1</f>
        <v>0.57730756027397256</v>
      </c>
      <c r="V145" s="12">
        <f t="shared" ref="V145:V155" si="171">O145</f>
        <v>0.24776150317507079</v>
      </c>
    </row>
    <row r="146" spans="2:22" x14ac:dyDescent="0.3">
      <c r="B146">
        <v>2</v>
      </c>
      <c r="C146">
        <v>13023.4</v>
      </c>
      <c r="D146">
        <v>53784.4</v>
      </c>
      <c r="E146">
        <v>7069.5</v>
      </c>
      <c r="F146">
        <f t="shared" si="168"/>
        <v>5.3784400000000003</v>
      </c>
      <c r="G146">
        <f t="shared" si="169"/>
        <v>1.3023400000000001</v>
      </c>
      <c r="H146">
        <f t="shared" si="170"/>
        <v>4.0761000000000003</v>
      </c>
      <c r="I146">
        <f t="shared" ref="I146:I155" si="172">E146/10000</f>
        <v>0.70694999999999997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0.21977394726231828</v>
      </c>
      <c r="P146" s="4">
        <v>3</v>
      </c>
      <c r="Q146" s="5">
        <f t="shared" ref="Q146:R155" si="175">H146</f>
        <v>4.0761000000000003</v>
      </c>
      <c r="R146" s="5">
        <f t="shared" si="175"/>
        <v>0.70694999999999997</v>
      </c>
      <c r="S146" s="5">
        <f t="shared" ref="S146:S155" si="176">Q146/10^6*$Z$4*$Z$3/P146*10^12</f>
        <v>4.5285471000000008</v>
      </c>
      <c r="T146" s="5">
        <f t="shared" ref="T146:T155" si="177">S146*0.06</f>
        <v>0.27171282600000002</v>
      </c>
      <c r="U146" s="5">
        <f t="shared" ref="U146:U155" si="178">S146/$Z$1</f>
        <v>0.62034891780821932</v>
      </c>
      <c r="V146" s="5">
        <f t="shared" si="171"/>
        <v>0.21977394726231828</v>
      </c>
    </row>
    <row r="147" spans="2:22" x14ac:dyDescent="0.3">
      <c r="B147">
        <v>3</v>
      </c>
      <c r="C147">
        <v>22399.7</v>
      </c>
      <c r="D147">
        <v>57812</v>
      </c>
      <c r="E147">
        <v>6958</v>
      </c>
      <c r="F147">
        <f t="shared" si="168"/>
        <v>5.7812000000000001</v>
      </c>
      <c r="G147">
        <f t="shared" si="169"/>
        <v>2.23997</v>
      </c>
      <c r="H147">
        <f t="shared" si="170"/>
        <v>3.5412300000000001</v>
      </c>
      <c r="I147">
        <f t="shared" si="172"/>
        <v>0.69579999999999997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0.18959760342683765</v>
      </c>
      <c r="P147" s="4">
        <v>3</v>
      </c>
      <c r="Q147" s="5">
        <f t="shared" si="175"/>
        <v>3.5412300000000001</v>
      </c>
      <c r="R147" s="5">
        <f t="shared" si="175"/>
        <v>0.69579999999999997</v>
      </c>
      <c r="S147" s="5">
        <f t="shared" si="176"/>
        <v>3.9343065300000006</v>
      </c>
      <c r="T147" s="5">
        <f t="shared" si="177"/>
        <v>0.23605839180000002</v>
      </c>
      <c r="U147" s="5">
        <f t="shared" si="178"/>
        <v>0.53894610000000009</v>
      </c>
      <c r="V147" s="5">
        <f t="shared" si="171"/>
        <v>0.18959760342683765</v>
      </c>
    </row>
    <row r="148" spans="2:22" x14ac:dyDescent="0.3">
      <c r="B148">
        <v>4</v>
      </c>
      <c r="C148">
        <v>23633.599999999999</v>
      </c>
      <c r="D148">
        <v>55292</v>
      </c>
      <c r="E148">
        <v>6916.5</v>
      </c>
      <c r="F148">
        <f t="shared" si="168"/>
        <v>5.5292000000000003</v>
      </c>
      <c r="G148">
        <f t="shared" si="169"/>
        <v>2.3633599999999997</v>
      </c>
      <c r="H148">
        <f t="shared" si="170"/>
        <v>3.1658400000000007</v>
      </c>
      <c r="I148">
        <f t="shared" si="172"/>
        <v>0.69164999999999999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0.11483466252362846</v>
      </c>
      <c r="P148" s="4">
        <v>3</v>
      </c>
      <c r="Q148" s="5">
        <f t="shared" si="175"/>
        <v>3.1658400000000007</v>
      </c>
      <c r="R148" s="5">
        <f t="shared" si="175"/>
        <v>0.69164999999999999</v>
      </c>
      <c r="S148" s="5">
        <f t="shared" si="176"/>
        <v>3.5172482400000011</v>
      </c>
      <c r="T148" s="5">
        <f t="shared" si="177"/>
        <v>0.21103489440000006</v>
      </c>
      <c r="U148" s="5">
        <f t="shared" si="178"/>
        <v>0.48181482739726045</v>
      </c>
      <c r="V148" s="5">
        <f t="shared" si="171"/>
        <v>0.11483466252362846</v>
      </c>
    </row>
    <row r="149" spans="2:22" x14ac:dyDescent="0.3">
      <c r="B149">
        <v>5</v>
      </c>
      <c r="C149">
        <v>28051.599999999999</v>
      </c>
      <c r="D149">
        <v>52868.800000000003</v>
      </c>
      <c r="E149">
        <v>8457.5</v>
      </c>
      <c r="F149">
        <f t="shared" si="168"/>
        <v>5.28688</v>
      </c>
      <c r="G149">
        <f t="shared" si="169"/>
        <v>2.8051599999999999</v>
      </c>
      <c r="H149">
        <f t="shared" si="170"/>
        <v>2.4817200000000001</v>
      </c>
      <c r="I149">
        <f t="shared" si="172"/>
        <v>0.84575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8.2998285020519133E-2</v>
      </c>
      <c r="P149" s="4">
        <v>3</v>
      </c>
      <c r="Q149" s="5">
        <f t="shared" si="175"/>
        <v>2.4817200000000001</v>
      </c>
      <c r="R149" s="5">
        <f t="shared" si="175"/>
        <v>0.84575</v>
      </c>
      <c r="S149" s="5">
        <f t="shared" si="176"/>
        <v>2.7571909200000002</v>
      </c>
      <c r="T149" s="5">
        <f t="shared" si="177"/>
        <v>0.16543145519999999</v>
      </c>
      <c r="U149" s="5">
        <f t="shared" si="178"/>
        <v>0.3776973863013699</v>
      </c>
      <c r="V149" s="5">
        <f t="shared" si="171"/>
        <v>8.2998285020519133E-2</v>
      </c>
    </row>
    <row r="150" spans="2:22" x14ac:dyDescent="0.3">
      <c r="B150">
        <v>6</v>
      </c>
      <c r="C150">
        <v>24698.5</v>
      </c>
      <c r="D150">
        <v>39607.300000000003</v>
      </c>
      <c r="E150">
        <v>15036.2</v>
      </c>
      <c r="F150">
        <f t="shared" si="168"/>
        <v>3.9607300000000003</v>
      </c>
      <c r="G150">
        <f t="shared" si="169"/>
        <v>2.4698500000000001</v>
      </c>
      <c r="H150">
        <f t="shared" si="170"/>
        <v>1.4908800000000002</v>
      </c>
      <c r="I150">
        <f t="shared" si="172"/>
        <v>1.5036200000000002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5.7450795652469577E-2</v>
      </c>
      <c r="P150" s="4">
        <v>4</v>
      </c>
      <c r="Q150" s="5">
        <f t="shared" si="175"/>
        <v>1.4908800000000002</v>
      </c>
      <c r="R150" s="5">
        <f t="shared" si="175"/>
        <v>1.5036200000000002</v>
      </c>
      <c r="S150" s="5">
        <f t="shared" si="176"/>
        <v>1.2422757600000003</v>
      </c>
      <c r="T150" s="5">
        <f t="shared" si="177"/>
        <v>7.4536545600000018E-2</v>
      </c>
      <c r="U150" s="5">
        <f t="shared" si="178"/>
        <v>0.17017476164383566</v>
      </c>
      <c r="V150" s="5">
        <f t="shared" si="171"/>
        <v>5.7450795652469577E-2</v>
      </c>
    </row>
    <row r="151" spans="2:22" x14ac:dyDescent="0.3">
      <c r="B151">
        <v>7</v>
      </c>
      <c r="C151">
        <v>19300.7</v>
      </c>
      <c r="D151">
        <v>44484</v>
      </c>
      <c r="E151">
        <v>6223.9</v>
      </c>
      <c r="F151">
        <f t="shared" si="168"/>
        <v>4.4484000000000004</v>
      </c>
      <c r="G151">
        <f t="shared" si="169"/>
        <v>1.9300700000000002</v>
      </c>
      <c r="H151">
        <f t="shared" si="170"/>
        <v>2.5183300000000002</v>
      </c>
      <c r="I151">
        <f t="shared" si="172"/>
        <v>0.62239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4.1532106980127166E-2</v>
      </c>
      <c r="P151" s="4">
        <v>4</v>
      </c>
      <c r="Q151" s="5">
        <f t="shared" si="175"/>
        <v>2.5183300000000002</v>
      </c>
      <c r="R151" s="5">
        <f t="shared" si="175"/>
        <v>0.62239</v>
      </c>
      <c r="S151" s="5">
        <f t="shared" si="176"/>
        <v>2.0983984725</v>
      </c>
      <c r="T151" s="5">
        <f t="shared" si="177"/>
        <v>0.12590390834999998</v>
      </c>
      <c r="U151" s="5">
        <f t="shared" si="178"/>
        <v>0.28745184554794523</v>
      </c>
      <c r="V151" s="5">
        <f t="shared" si="171"/>
        <v>4.1532106980127166E-2</v>
      </c>
    </row>
    <row r="152" spans="2:22" x14ac:dyDescent="0.3">
      <c r="B152">
        <v>8</v>
      </c>
      <c r="C152">
        <v>19976.3</v>
      </c>
      <c r="D152">
        <v>40821.699999999997</v>
      </c>
      <c r="E152">
        <v>4436.8</v>
      </c>
      <c r="F152">
        <f t="shared" si="168"/>
        <v>4.0821699999999996</v>
      </c>
      <c r="G152">
        <f t="shared" si="169"/>
        <v>1.99763</v>
      </c>
      <c r="H152">
        <f t="shared" si="170"/>
        <v>2.0845399999999996</v>
      </c>
      <c r="I152">
        <f t="shared" si="172"/>
        <v>0.44368000000000002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3.4829471991101486E-2</v>
      </c>
      <c r="P152" s="4">
        <v>5</v>
      </c>
      <c r="Q152" s="5">
        <f t="shared" si="175"/>
        <v>2.0845399999999996</v>
      </c>
      <c r="R152" s="5">
        <f t="shared" si="175"/>
        <v>0.44368000000000002</v>
      </c>
      <c r="S152" s="5">
        <f t="shared" si="176"/>
        <v>1.3895543639999999</v>
      </c>
      <c r="T152" s="5">
        <f t="shared" si="177"/>
        <v>8.337326183999999E-2</v>
      </c>
      <c r="U152" s="5">
        <f t="shared" si="178"/>
        <v>0.19034991287671232</v>
      </c>
      <c r="V152" s="5">
        <f t="shared" si="171"/>
        <v>3.4829471991101486E-2</v>
      </c>
    </row>
    <row r="153" spans="2:22" x14ac:dyDescent="0.3">
      <c r="B153">
        <v>9</v>
      </c>
      <c r="C153">
        <v>27029</v>
      </c>
      <c r="D153">
        <v>44655.3</v>
      </c>
      <c r="E153">
        <v>5480.2</v>
      </c>
      <c r="F153">
        <f t="shared" si="168"/>
        <v>4.4655300000000002</v>
      </c>
      <c r="G153">
        <f t="shared" si="169"/>
        <v>2.7029000000000001</v>
      </c>
      <c r="H153">
        <f t="shared" si="170"/>
        <v>1.7626300000000001</v>
      </c>
      <c r="I153">
        <f t="shared" si="172"/>
        <v>0.54801999999999995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2.8070077803233701E-2</v>
      </c>
      <c r="P153" s="4">
        <v>8</v>
      </c>
      <c r="Q153" s="5">
        <f t="shared" si="175"/>
        <v>1.7626300000000001</v>
      </c>
      <c r="R153" s="5">
        <f t="shared" si="175"/>
        <v>0.54801999999999995</v>
      </c>
      <c r="S153" s="5">
        <f t="shared" si="176"/>
        <v>0.73435572375000002</v>
      </c>
      <c r="T153" s="5">
        <f t="shared" si="177"/>
        <v>4.4061343424999996E-2</v>
      </c>
      <c r="U153" s="5">
        <f t="shared" si="178"/>
        <v>0.10059667448630137</v>
      </c>
      <c r="V153" s="5">
        <f t="shared" si="171"/>
        <v>2.8070077803233701E-2</v>
      </c>
    </row>
    <row r="154" spans="2:22" x14ac:dyDescent="0.3">
      <c r="B154">
        <v>10</v>
      </c>
      <c r="C154">
        <v>9759.1</v>
      </c>
      <c r="D154">
        <v>62774.7</v>
      </c>
      <c r="E154">
        <v>4099.3</v>
      </c>
      <c r="F154">
        <f t="shared" si="168"/>
        <v>6.2774700000000001</v>
      </c>
      <c r="G154">
        <f t="shared" si="169"/>
        <v>0.97591000000000006</v>
      </c>
      <c r="H154">
        <f t="shared" si="170"/>
        <v>5.3015600000000003</v>
      </c>
      <c r="I154">
        <f t="shared" si="172"/>
        <v>0.40993000000000002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2.0101496689095118E-2</v>
      </c>
      <c r="P154" s="4">
        <v>14</v>
      </c>
      <c r="Q154" s="5">
        <f t="shared" si="175"/>
        <v>5.3015600000000003</v>
      </c>
      <c r="R154" s="5">
        <f t="shared" si="175"/>
        <v>0.40993000000000002</v>
      </c>
      <c r="S154" s="5">
        <f t="shared" si="176"/>
        <v>1.2621499628571426</v>
      </c>
      <c r="T154" s="5">
        <f t="shared" si="177"/>
        <v>7.5728997771428552E-2</v>
      </c>
      <c r="U154" s="5">
        <f t="shared" si="178"/>
        <v>0.17289725518590995</v>
      </c>
      <c r="V154" s="5">
        <f t="shared" si="171"/>
        <v>2.0101496689095118E-2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1.2963013385450755E-2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1.2963013385450755E-2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-1965.6</v>
      </c>
      <c r="D159">
        <v>40661.800000000003</v>
      </c>
      <c r="E159">
        <v>8284.4</v>
      </c>
      <c r="F159">
        <f t="shared" ref="F159:F169" si="180">D159/10000</f>
        <v>4.0661800000000001</v>
      </c>
      <c r="G159">
        <f t="shared" ref="G159:G169" si="181">C159/10000</f>
        <v>-0.19655999999999998</v>
      </c>
      <c r="H159">
        <f t="shared" ref="H159:H169" si="182">F159-G159</f>
        <v>4.26274</v>
      </c>
      <c r="I159">
        <f>E159/10000</f>
        <v>0.82843999999999995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0.19820920254005664</v>
      </c>
      <c r="P159" s="2">
        <v>3</v>
      </c>
      <c r="Q159" s="8">
        <f>H159</f>
        <v>4.26274</v>
      </c>
      <c r="R159" s="8">
        <f>I159</f>
        <v>0.82843999999999995</v>
      </c>
      <c r="S159" s="8">
        <f>Q159/10^6*$Z$4*$Z$3/P159*10^12</f>
        <v>4.7359041399999997</v>
      </c>
      <c r="T159" s="8">
        <f>S159*0.06</f>
        <v>0.28415424839999998</v>
      </c>
      <c r="U159" s="8">
        <f>S159/$Z$1</f>
        <v>0.64875399178082194</v>
      </c>
      <c r="V159" s="12">
        <f t="shared" ref="V159:V169" si="183">O159</f>
        <v>0.19820920254005664</v>
      </c>
    </row>
    <row r="160" spans="2:22" x14ac:dyDescent="0.3">
      <c r="B160">
        <v>2</v>
      </c>
      <c r="C160">
        <v>11407.5</v>
      </c>
      <c r="D160">
        <v>54485.8</v>
      </c>
      <c r="E160">
        <v>6163.6</v>
      </c>
      <c r="F160">
        <f t="shared" si="180"/>
        <v>5.4485800000000006</v>
      </c>
      <c r="G160">
        <f t="shared" si="181"/>
        <v>1.1407499999999999</v>
      </c>
      <c r="H160">
        <f t="shared" si="182"/>
        <v>4.3078300000000009</v>
      </c>
      <c r="I160">
        <f t="shared" ref="I160:I169" si="184">E160/10000</f>
        <v>0.61636000000000002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0.1758191578098546</v>
      </c>
      <c r="P160" s="4">
        <v>3</v>
      </c>
      <c r="Q160" s="5">
        <f t="shared" ref="Q160:R169" si="187">H160</f>
        <v>4.3078300000000009</v>
      </c>
      <c r="R160" s="5">
        <f t="shared" si="187"/>
        <v>0.61636000000000002</v>
      </c>
      <c r="S160" s="5">
        <f t="shared" ref="S160:S169" si="188">Q160/10^6*$Z$4*$Z$3/P160*10^12</f>
        <v>4.7859991300000013</v>
      </c>
      <c r="T160" s="5">
        <f t="shared" ref="T160:T169" si="189">S160*0.06</f>
        <v>0.28715994780000009</v>
      </c>
      <c r="U160" s="5">
        <f t="shared" ref="U160:U169" si="190">S160/$Z$1</f>
        <v>0.65561631917808239</v>
      </c>
      <c r="V160" s="5">
        <f t="shared" si="183"/>
        <v>0.1758191578098546</v>
      </c>
    </row>
    <row r="161" spans="2:22" x14ac:dyDescent="0.3">
      <c r="B161">
        <v>3</v>
      </c>
      <c r="C161">
        <v>16250.7</v>
      </c>
      <c r="D161">
        <v>61958.8</v>
      </c>
      <c r="E161">
        <v>7264.8</v>
      </c>
      <c r="F161">
        <f t="shared" si="180"/>
        <v>6.1958800000000007</v>
      </c>
      <c r="G161">
        <f t="shared" si="181"/>
        <v>1.62507</v>
      </c>
      <c r="H161">
        <f t="shared" si="182"/>
        <v>4.5708100000000007</v>
      </c>
      <c r="I161">
        <f t="shared" si="184"/>
        <v>0.72648000000000001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0.15167808274147013</v>
      </c>
      <c r="P161" s="4">
        <v>3</v>
      </c>
      <c r="Q161" s="5">
        <f t="shared" si="187"/>
        <v>4.5708100000000007</v>
      </c>
      <c r="R161" s="5">
        <f t="shared" si="187"/>
        <v>0.72648000000000001</v>
      </c>
      <c r="S161" s="5">
        <f t="shared" si="188"/>
        <v>5.0781699100000006</v>
      </c>
      <c r="T161" s="5">
        <f t="shared" si="189"/>
        <v>0.30469019460000002</v>
      </c>
      <c r="U161" s="5">
        <f t="shared" si="190"/>
        <v>0.6956397136986302</v>
      </c>
      <c r="V161" s="5">
        <f t="shared" si="183"/>
        <v>0.15167808274147013</v>
      </c>
    </row>
    <row r="162" spans="2:22" x14ac:dyDescent="0.3">
      <c r="B162">
        <v>4</v>
      </c>
      <c r="C162">
        <v>25964.7</v>
      </c>
      <c r="D162">
        <v>52792.4</v>
      </c>
      <c r="E162">
        <v>10113.5</v>
      </c>
      <c r="F162">
        <f t="shared" si="180"/>
        <v>5.2792399999999997</v>
      </c>
      <c r="G162">
        <f t="shared" si="181"/>
        <v>2.5964700000000001</v>
      </c>
      <c r="H162">
        <f t="shared" si="182"/>
        <v>2.6827699999999997</v>
      </c>
      <c r="I162">
        <f t="shared" si="184"/>
        <v>1.01135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9.1867730018902763E-2</v>
      </c>
      <c r="P162" s="4">
        <v>3</v>
      </c>
      <c r="Q162" s="5">
        <f t="shared" si="187"/>
        <v>2.6827699999999997</v>
      </c>
      <c r="R162" s="5">
        <f t="shared" si="187"/>
        <v>1.01135</v>
      </c>
      <c r="S162" s="5">
        <f t="shared" si="188"/>
        <v>2.980557469999999</v>
      </c>
      <c r="T162" s="5">
        <f t="shared" si="189"/>
        <v>0.17883344819999994</v>
      </c>
      <c r="U162" s="5">
        <f t="shared" si="190"/>
        <v>0.40829554383561634</v>
      </c>
      <c r="V162" s="5">
        <f t="shared" si="183"/>
        <v>9.1867730018902763E-2</v>
      </c>
    </row>
    <row r="163" spans="2:22" x14ac:dyDescent="0.3">
      <c r="B163">
        <v>5</v>
      </c>
      <c r="C163">
        <v>30956.2</v>
      </c>
      <c r="D163">
        <v>43596.2</v>
      </c>
      <c r="E163">
        <v>17437</v>
      </c>
      <c r="F163">
        <f t="shared" si="180"/>
        <v>4.3596199999999996</v>
      </c>
      <c r="G163">
        <f t="shared" si="181"/>
        <v>3.0956200000000003</v>
      </c>
      <c r="H163">
        <f t="shared" si="182"/>
        <v>1.2639999999999993</v>
      </c>
      <c r="I163">
        <f t="shared" si="184"/>
        <v>1.7437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6.6398628016415315E-2</v>
      </c>
      <c r="P163" s="4">
        <v>3</v>
      </c>
      <c r="Q163" s="5">
        <f t="shared" si="187"/>
        <v>1.2639999999999993</v>
      </c>
      <c r="R163" s="5">
        <f t="shared" si="187"/>
        <v>1.7437</v>
      </c>
      <c r="S163" s="5">
        <f t="shared" si="188"/>
        <v>1.4043039999999993</v>
      </c>
      <c r="T163" s="5">
        <f t="shared" si="189"/>
        <v>8.4258239999999957E-2</v>
      </c>
      <c r="U163" s="5">
        <f t="shared" si="190"/>
        <v>0.19237041095890403</v>
      </c>
      <c r="V163" s="5">
        <f t="shared" si="183"/>
        <v>6.6398628016415315E-2</v>
      </c>
    </row>
    <row r="164" spans="2:22" x14ac:dyDescent="0.3">
      <c r="B164">
        <v>6</v>
      </c>
      <c r="C164">
        <v>37201</v>
      </c>
      <c r="D164">
        <v>40856.199999999997</v>
      </c>
      <c r="E164">
        <v>17845.5</v>
      </c>
      <c r="F164">
        <f t="shared" si="180"/>
        <v>4.0856199999999996</v>
      </c>
      <c r="G164">
        <f t="shared" si="181"/>
        <v>3.7201</v>
      </c>
      <c r="H164">
        <f t="shared" si="182"/>
        <v>0.36551999999999962</v>
      </c>
      <c r="I164">
        <f t="shared" si="184"/>
        <v>1.7845500000000001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4.5960636521975663E-2</v>
      </c>
      <c r="P164" s="4">
        <v>4</v>
      </c>
      <c r="Q164" s="5">
        <f t="shared" si="187"/>
        <v>0.36551999999999962</v>
      </c>
      <c r="R164" s="5">
        <f t="shared" si="187"/>
        <v>1.7845500000000001</v>
      </c>
      <c r="S164" s="5">
        <f t="shared" si="188"/>
        <v>0.30456953999999975</v>
      </c>
      <c r="T164" s="5">
        <f t="shared" si="189"/>
        <v>1.8274172399999983E-2</v>
      </c>
      <c r="U164" s="5">
        <f t="shared" si="190"/>
        <v>4.1721854794520515E-2</v>
      </c>
      <c r="V164" s="5">
        <f t="shared" si="183"/>
        <v>4.5960636521975663E-2</v>
      </c>
    </row>
    <row r="165" spans="2:22" x14ac:dyDescent="0.3">
      <c r="B165">
        <v>7</v>
      </c>
      <c r="C165">
        <v>38857.800000000003</v>
      </c>
      <c r="D165">
        <v>45680.2</v>
      </c>
      <c r="E165">
        <v>5506.6</v>
      </c>
      <c r="F165">
        <f t="shared" si="180"/>
        <v>4.5680199999999997</v>
      </c>
      <c r="G165">
        <f t="shared" si="181"/>
        <v>3.8857800000000005</v>
      </c>
      <c r="H165">
        <f t="shared" si="182"/>
        <v>0.68223999999999929</v>
      </c>
      <c r="I165">
        <f t="shared" si="184"/>
        <v>0.55066000000000004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3.322568558410173E-2</v>
      </c>
      <c r="P165" s="4">
        <v>4</v>
      </c>
      <c r="Q165" s="5">
        <f t="shared" si="187"/>
        <v>0.68223999999999929</v>
      </c>
      <c r="R165" s="5">
        <f t="shared" si="187"/>
        <v>0.55066000000000004</v>
      </c>
      <c r="S165" s="5">
        <f t="shared" si="188"/>
        <v>0.5684764799999994</v>
      </c>
      <c r="T165" s="5">
        <f t="shared" si="189"/>
        <v>3.4108588799999964E-2</v>
      </c>
      <c r="U165" s="5">
        <f t="shared" si="190"/>
        <v>7.7873490410958826E-2</v>
      </c>
      <c r="V165" s="5">
        <f t="shared" si="183"/>
        <v>3.322568558410173E-2</v>
      </c>
    </row>
    <row r="166" spans="2:22" x14ac:dyDescent="0.3">
      <c r="B166">
        <v>8</v>
      </c>
      <c r="C166">
        <v>35942</v>
      </c>
      <c r="D166">
        <v>47490.3</v>
      </c>
      <c r="E166">
        <v>4392.7</v>
      </c>
      <c r="F166">
        <f t="shared" si="180"/>
        <v>4.7490300000000003</v>
      </c>
      <c r="G166">
        <f t="shared" si="181"/>
        <v>3.5941999999999998</v>
      </c>
      <c r="H166">
        <f t="shared" si="182"/>
        <v>1.1548300000000005</v>
      </c>
      <c r="I166">
        <f t="shared" si="184"/>
        <v>0.43926999999999999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2.7863577592881189E-2</v>
      </c>
      <c r="P166" s="4">
        <v>5</v>
      </c>
      <c r="Q166" s="5">
        <f t="shared" si="187"/>
        <v>1.1548300000000005</v>
      </c>
      <c r="R166" s="5">
        <f t="shared" si="187"/>
        <v>0.43926999999999999</v>
      </c>
      <c r="S166" s="5">
        <f t="shared" si="188"/>
        <v>0.76980967800000033</v>
      </c>
      <c r="T166" s="5">
        <f t="shared" si="189"/>
        <v>4.6188580680000021E-2</v>
      </c>
      <c r="U166" s="5">
        <f t="shared" si="190"/>
        <v>0.10545338054794526</v>
      </c>
      <c r="V166" s="5">
        <f t="shared" si="183"/>
        <v>2.7863577592881189E-2</v>
      </c>
    </row>
    <row r="167" spans="2:22" x14ac:dyDescent="0.3">
      <c r="B167">
        <v>9</v>
      </c>
      <c r="C167">
        <v>20374.099999999999</v>
      </c>
      <c r="D167">
        <v>57189.3</v>
      </c>
      <c r="E167">
        <v>4533.5</v>
      </c>
      <c r="F167">
        <f t="shared" si="180"/>
        <v>5.7189300000000003</v>
      </c>
      <c r="G167">
        <f t="shared" si="181"/>
        <v>2.0374099999999999</v>
      </c>
      <c r="H167">
        <f t="shared" si="182"/>
        <v>3.6815200000000003</v>
      </c>
      <c r="I167">
        <f t="shared" si="184"/>
        <v>0.45334999999999998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2.245606224258696E-2</v>
      </c>
      <c r="P167" s="4">
        <v>8</v>
      </c>
      <c r="Q167" s="5">
        <f t="shared" si="187"/>
        <v>3.6815200000000003</v>
      </c>
      <c r="R167" s="5">
        <f t="shared" si="187"/>
        <v>0.45334999999999998</v>
      </c>
      <c r="S167" s="5">
        <f t="shared" si="188"/>
        <v>1.5338132700000002</v>
      </c>
      <c r="T167" s="5">
        <f t="shared" si="189"/>
        <v>9.2028796200000013E-2</v>
      </c>
      <c r="U167" s="5">
        <f t="shared" si="190"/>
        <v>0.21011140684931509</v>
      </c>
      <c r="V167" s="5">
        <f t="shared" si="183"/>
        <v>2.245606224258696E-2</v>
      </c>
    </row>
    <row r="168" spans="2:22" x14ac:dyDescent="0.3">
      <c r="B168">
        <v>10</v>
      </c>
      <c r="C168">
        <v>30281</v>
      </c>
      <c r="D168">
        <v>50856.5</v>
      </c>
      <c r="E168">
        <v>3729.2</v>
      </c>
      <c r="F168">
        <f t="shared" si="180"/>
        <v>5.0856500000000002</v>
      </c>
      <c r="G168">
        <f t="shared" si="181"/>
        <v>3.0280999999999998</v>
      </c>
      <c r="H168">
        <f t="shared" si="182"/>
        <v>2.0575500000000004</v>
      </c>
      <c r="I168">
        <f t="shared" si="184"/>
        <v>0.37291999999999997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1.6081197351276093E-2</v>
      </c>
      <c r="P168" s="4">
        <v>14</v>
      </c>
      <c r="Q168" s="5">
        <f t="shared" si="187"/>
        <v>2.0575500000000004</v>
      </c>
      <c r="R168" s="5">
        <f t="shared" si="187"/>
        <v>0.37291999999999997</v>
      </c>
      <c r="S168" s="5">
        <f t="shared" si="188"/>
        <v>0.4898438678571429</v>
      </c>
      <c r="T168" s="5">
        <f t="shared" si="189"/>
        <v>2.9390632071428571E-2</v>
      </c>
      <c r="U168" s="5">
        <f t="shared" si="190"/>
        <v>6.7101899706457926E-2</v>
      </c>
      <c r="V168" s="5">
        <f t="shared" si="183"/>
        <v>1.6081197351276093E-2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1.0370410708360605E-2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1.0370410708360605E-2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CQ170"/>
  <sheetViews>
    <sheetView topLeftCell="K1" zoomScale="85" zoomScaleNormal="85"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-10.199999999999999</v>
      </c>
      <c r="D5">
        <v>93974.5</v>
      </c>
      <c r="E5">
        <v>6747.5</v>
      </c>
      <c r="F5">
        <f t="shared" ref="F5:F15" si="0">D5/10000</f>
        <v>9.3974499999999992</v>
      </c>
      <c r="G5">
        <f t="shared" ref="G5:G15" si="1">C5/10000</f>
        <v>-1.0199999999999999E-3</v>
      </c>
      <c r="H5">
        <f t="shared" ref="H5:H15" si="2">F5-G5</f>
        <v>9.3984699999999997</v>
      </c>
      <c r="I5">
        <f>E5/10000</f>
        <v>0.67474999999999996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1.651743354500472</v>
      </c>
      <c r="P5" s="2">
        <v>3</v>
      </c>
      <c r="Q5" s="8">
        <f>H5</f>
        <v>9.3984699999999997</v>
      </c>
      <c r="R5" s="8">
        <f>I5</f>
        <v>0.67474999999999996</v>
      </c>
      <c r="S5" s="8">
        <f>Q5/10^6*$Z$4*$Z$3/P5*10^12</f>
        <v>10.441700170000001</v>
      </c>
      <c r="T5" s="8">
        <f>S5*0.06</f>
        <v>0.62650201020000007</v>
      </c>
      <c r="U5" s="8">
        <f>S5/$Z$1</f>
        <v>1.4303698863013701</v>
      </c>
      <c r="V5" s="12">
        <f t="shared" ref="V5:V15" si="4">O5</f>
        <v>1.651743354500472</v>
      </c>
    </row>
    <row r="6" spans="2:95" x14ac:dyDescent="0.3">
      <c r="B6">
        <v>2</v>
      </c>
      <c r="C6">
        <v>9130.5</v>
      </c>
      <c r="D6">
        <v>113834.7</v>
      </c>
      <c r="E6">
        <v>5354</v>
      </c>
      <c r="F6">
        <f t="shared" si="0"/>
        <v>11.383469999999999</v>
      </c>
      <c r="G6">
        <f t="shared" si="1"/>
        <v>0.91305000000000003</v>
      </c>
      <c r="H6">
        <f t="shared" si="2"/>
        <v>10.470419999999999</v>
      </c>
      <c r="I6">
        <f t="shared" ref="I6:I15" si="5">E6/10000</f>
        <v>0.53539999999999999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1.4651596484154552</v>
      </c>
      <c r="P6" s="4">
        <v>3</v>
      </c>
      <c r="Q6" s="5">
        <f t="shared" ref="Q6:R15" si="7">H6</f>
        <v>10.470419999999999</v>
      </c>
      <c r="R6" s="5">
        <f t="shared" si="7"/>
        <v>0.53539999999999999</v>
      </c>
      <c r="S6" s="5">
        <f t="shared" ref="S6:S15" si="8">Q6/10^6*$Z$4*$Z$3/P6*10^12</f>
        <v>11.63263662</v>
      </c>
      <c r="T6" s="5">
        <f t="shared" ref="T6:T15" si="9">S6*0.06</f>
        <v>0.69795819719999996</v>
      </c>
      <c r="U6" s="5">
        <f t="shared" ref="U6:U15" si="10">S6/$Z$1</f>
        <v>1.5935118657534246</v>
      </c>
      <c r="V6" s="5">
        <f t="shared" si="4"/>
        <v>1.4651596484154552</v>
      </c>
    </row>
    <row r="7" spans="2:95" x14ac:dyDescent="0.3">
      <c r="B7">
        <v>3</v>
      </c>
      <c r="C7">
        <v>10744.9</v>
      </c>
      <c r="D7">
        <v>110593.5</v>
      </c>
      <c r="E7">
        <v>4296.8</v>
      </c>
      <c r="F7">
        <f t="shared" si="0"/>
        <v>11.05935</v>
      </c>
      <c r="G7">
        <f t="shared" si="1"/>
        <v>1.0744899999999999</v>
      </c>
      <c r="H7">
        <f t="shared" si="2"/>
        <v>9.9848600000000012</v>
      </c>
      <c r="I7">
        <f t="shared" si="5"/>
        <v>0.42968000000000001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1.2639840228455843</v>
      </c>
      <c r="P7" s="4">
        <v>3</v>
      </c>
      <c r="Q7" s="5">
        <f t="shared" si="7"/>
        <v>9.9848600000000012</v>
      </c>
      <c r="R7" s="5">
        <f t="shared" si="7"/>
        <v>0.42968000000000001</v>
      </c>
      <c r="S7" s="5">
        <f t="shared" si="8"/>
        <v>11.093179460000002</v>
      </c>
      <c r="T7" s="5">
        <f t="shared" si="9"/>
        <v>0.66559076760000013</v>
      </c>
      <c r="U7" s="5">
        <f t="shared" si="10"/>
        <v>1.5196136246575345</v>
      </c>
      <c r="V7" s="5">
        <f t="shared" si="4"/>
        <v>1.2639840228455843</v>
      </c>
      <c r="Y7" t="s">
        <v>41</v>
      </c>
      <c r="Z7">
        <v>3</v>
      </c>
    </row>
    <row r="8" spans="2:95" x14ac:dyDescent="0.3">
      <c r="B8">
        <v>4</v>
      </c>
      <c r="C8">
        <v>13937.2</v>
      </c>
      <c r="D8">
        <v>126981.7</v>
      </c>
      <c r="E8">
        <v>3982.3</v>
      </c>
      <c r="F8">
        <f t="shared" si="0"/>
        <v>12.698169999999999</v>
      </c>
      <c r="G8">
        <f t="shared" si="1"/>
        <v>1.3937200000000001</v>
      </c>
      <c r="H8">
        <f t="shared" si="2"/>
        <v>11.304449999999999</v>
      </c>
      <c r="I8">
        <f t="shared" si="5"/>
        <v>0.39823000000000003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0.76556441682418974</v>
      </c>
      <c r="P8" s="4">
        <v>3</v>
      </c>
      <c r="Q8" s="5">
        <f t="shared" si="7"/>
        <v>11.304449999999999</v>
      </c>
      <c r="R8" s="5">
        <f t="shared" si="7"/>
        <v>0.39823000000000003</v>
      </c>
      <c r="S8" s="5">
        <f t="shared" si="8"/>
        <v>12.559243949999999</v>
      </c>
      <c r="T8" s="5">
        <f t="shared" si="9"/>
        <v>0.75355463699999992</v>
      </c>
      <c r="U8" s="5">
        <f t="shared" si="10"/>
        <v>1.7204443767123287</v>
      </c>
      <c r="V8" s="5">
        <f t="shared" si="4"/>
        <v>0.76556441682418974</v>
      </c>
    </row>
    <row r="9" spans="2:95" x14ac:dyDescent="0.3">
      <c r="B9">
        <v>5</v>
      </c>
      <c r="C9">
        <v>9915.1</v>
      </c>
      <c r="D9">
        <v>132388.6</v>
      </c>
      <c r="E9">
        <v>5747.3</v>
      </c>
      <c r="F9">
        <f t="shared" si="0"/>
        <v>13.238860000000001</v>
      </c>
      <c r="G9">
        <f t="shared" si="1"/>
        <v>0.99151</v>
      </c>
      <c r="H9">
        <f t="shared" si="2"/>
        <v>12.247350000000001</v>
      </c>
      <c r="I9">
        <f t="shared" si="5"/>
        <v>0.57472999999999996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0.55332190013679428</v>
      </c>
      <c r="P9" s="4">
        <v>3</v>
      </c>
      <c r="Q9" s="5">
        <f t="shared" si="7"/>
        <v>12.247350000000001</v>
      </c>
      <c r="R9" s="5">
        <f t="shared" si="7"/>
        <v>0.57472999999999996</v>
      </c>
      <c r="S9" s="5">
        <f t="shared" si="8"/>
        <v>13.606805850000001</v>
      </c>
      <c r="T9" s="5">
        <f t="shared" si="9"/>
        <v>0.81640835099999998</v>
      </c>
      <c r="U9" s="5">
        <f t="shared" si="10"/>
        <v>1.8639460068493152</v>
      </c>
      <c r="V9" s="5">
        <f t="shared" si="4"/>
        <v>0.55332190013679428</v>
      </c>
    </row>
    <row r="10" spans="2:95" ht="15" thickBot="1" x14ac:dyDescent="0.35">
      <c r="B10">
        <v>6</v>
      </c>
      <c r="C10">
        <v>15553.1</v>
      </c>
      <c r="D10">
        <v>167042.1</v>
      </c>
      <c r="E10">
        <v>6005.4</v>
      </c>
      <c r="F10">
        <f t="shared" si="0"/>
        <v>16.70421</v>
      </c>
      <c r="G10">
        <f t="shared" si="1"/>
        <v>1.55531</v>
      </c>
      <c r="H10">
        <f t="shared" si="2"/>
        <v>15.148899999999999</v>
      </c>
      <c r="I10">
        <f t="shared" si="5"/>
        <v>0.60053999999999996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0.38300530434979718</v>
      </c>
      <c r="P10" s="4">
        <v>4</v>
      </c>
      <c r="Q10" s="5">
        <f t="shared" si="7"/>
        <v>15.148899999999999</v>
      </c>
      <c r="R10" s="5">
        <f t="shared" si="7"/>
        <v>0.60053999999999996</v>
      </c>
      <c r="S10" s="5">
        <f t="shared" si="8"/>
        <v>12.622820924999999</v>
      </c>
      <c r="T10" s="5">
        <f t="shared" si="9"/>
        <v>0.75736925549999989</v>
      </c>
      <c r="U10" s="5">
        <f t="shared" si="10"/>
        <v>1.729153551369863</v>
      </c>
      <c r="V10" s="5">
        <f t="shared" si="4"/>
        <v>0.38300530434979718</v>
      </c>
    </row>
    <row r="11" spans="2:95" ht="15.6" thickTop="1" thickBot="1" x14ac:dyDescent="0.35">
      <c r="B11">
        <v>7</v>
      </c>
      <c r="C11">
        <v>19665.3</v>
      </c>
      <c r="D11">
        <v>148898.29999999999</v>
      </c>
      <c r="E11">
        <v>4209.6000000000004</v>
      </c>
      <c r="F11">
        <f t="shared" si="0"/>
        <v>14.889829999999998</v>
      </c>
      <c r="G11">
        <f t="shared" si="1"/>
        <v>1.9665299999999999</v>
      </c>
      <c r="H11">
        <f t="shared" si="2"/>
        <v>12.923299999999998</v>
      </c>
      <c r="I11">
        <f t="shared" si="5"/>
        <v>0.42096000000000006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0.27688071320084778</v>
      </c>
      <c r="P11" s="4">
        <v>4</v>
      </c>
      <c r="Q11" s="5">
        <f t="shared" si="7"/>
        <v>12.923299999999998</v>
      </c>
      <c r="R11" s="5">
        <f t="shared" si="7"/>
        <v>0.42096000000000006</v>
      </c>
      <c r="S11" s="5">
        <f t="shared" si="8"/>
        <v>10.768339724999997</v>
      </c>
      <c r="T11" s="5">
        <f t="shared" si="9"/>
        <v>0.64610038349999976</v>
      </c>
      <c r="U11" s="5">
        <f t="shared" si="10"/>
        <v>1.4751150308219174</v>
      </c>
      <c r="V11" s="5">
        <f t="shared" si="4"/>
        <v>0.27688071320084778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29231.599999999999</v>
      </c>
      <c r="D12">
        <v>173204</v>
      </c>
      <c r="E12">
        <v>5164.8999999999996</v>
      </c>
      <c r="F12">
        <f t="shared" si="0"/>
        <v>17.320399999999999</v>
      </c>
      <c r="G12">
        <f t="shared" si="1"/>
        <v>2.9231599999999998</v>
      </c>
      <c r="H12">
        <f t="shared" si="2"/>
        <v>14.39724</v>
      </c>
      <c r="I12">
        <f t="shared" si="5"/>
        <v>0.51649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0.23219647994067658</v>
      </c>
      <c r="P12" s="4">
        <v>5</v>
      </c>
      <c r="Q12" s="5">
        <f t="shared" si="7"/>
        <v>14.39724</v>
      </c>
      <c r="R12" s="5">
        <f t="shared" si="7"/>
        <v>0.51649</v>
      </c>
      <c r="S12" s="5">
        <f t="shared" si="8"/>
        <v>9.5972001840000019</v>
      </c>
      <c r="T12" s="5">
        <f t="shared" si="9"/>
        <v>0.57583201104000004</v>
      </c>
      <c r="U12" s="5">
        <f t="shared" si="10"/>
        <v>1.3146849567123291</v>
      </c>
      <c r="V12" s="5">
        <f t="shared" si="4"/>
        <v>0.23219647994067658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22738.5</v>
      </c>
      <c r="D13">
        <v>225498.8</v>
      </c>
      <c r="E13">
        <v>7426.4</v>
      </c>
      <c r="F13">
        <f t="shared" si="0"/>
        <v>22.549879999999998</v>
      </c>
      <c r="G13">
        <f t="shared" si="1"/>
        <v>2.2738499999999999</v>
      </c>
      <c r="H13">
        <f t="shared" si="2"/>
        <v>20.276029999999999</v>
      </c>
      <c r="I13">
        <f t="shared" si="5"/>
        <v>0.74263999999999997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0.18713385202155799</v>
      </c>
      <c r="P13" s="4">
        <v>8</v>
      </c>
      <c r="Q13" s="5">
        <f t="shared" si="7"/>
        <v>20.276029999999999</v>
      </c>
      <c r="R13" s="5">
        <f t="shared" si="7"/>
        <v>0.74263999999999997</v>
      </c>
      <c r="S13" s="5">
        <f t="shared" si="8"/>
        <v>8.4475009987499998</v>
      </c>
      <c r="T13" s="5">
        <f t="shared" si="9"/>
        <v>0.50685005992499998</v>
      </c>
      <c r="U13" s="5">
        <f t="shared" si="10"/>
        <v>1.1571919176369863</v>
      </c>
      <c r="V13" s="5">
        <f t="shared" si="4"/>
        <v>0.18713385202155799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18125.5</v>
      </c>
      <c r="D14">
        <v>216036.5</v>
      </c>
      <c r="E14">
        <v>17273.900000000001</v>
      </c>
      <c r="F14">
        <f t="shared" si="0"/>
        <v>21.603649999999998</v>
      </c>
      <c r="G14">
        <f t="shared" si="1"/>
        <v>1.8125500000000001</v>
      </c>
      <c r="H14">
        <f t="shared" si="2"/>
        <v>19.791099999999997</v>
      </c>
      <c r="I14">
        <f t="shared" si="5"/>
        <v>1.7273900000000002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0.13400997792730077</v>
      </c>
      <c r="P14" s="4">
        <v>14</v>
      </c>
      <c r="Q14" s="5">
        <f t="shared" si="7"/>
        <v>19.791099999999997</v>
      </c>
      <c r="R14" s="5">
        <f t="shared" si="7"/>
        <v>1.7273900000000002</v>
      </c>
      <c r="S14" s="5">
        <f t="shared" si="8"/>
        <v>4.7116954499999997</v>
      </c>
      <c r="T14" s="5">
        <f t="shared" si="9"/>
        <v>0.28270172699999996</v>
      </c>
      <c r="U14" s="5">
        <f t="shared" si="10"/>
        <v>0.64543773287671224</v>
      </c>
      <c r="V14" s="5">
        <f t="shared" si="4"/>
        <v>0.13400997792730077</v>
      </c>
      <c r="X14" s="31">
        <f t="shared" ref="X14:X24" si="12">O5</f>
        <v>1.651743354500472</v>
      </c>
      <c r="Y14" s="32">
        <f t="shared" ref="Y14:AA24" si="13">S5</f>
        <v>10.441700170000001</v>
      </c>
      <c r="Z14" s="32">
        <f t="shared" si="13"/>
        <v>0.62650201020000007</v>
      </c>
      <c r="AA14" s="32">
        <f t="shared" si="13"/>
        <v>1.4303698863013701</v>
      </c>
      <c r="AB14" s="41">
        <f>I5/H5</f>
        <v>7.1793600447732447E-2</v>
      </c>
      <c r="AC14" s="33">
        <f t="shared" ref="AC14:AC24" si="14">R5</f>
        <v>0.67474999999999996</v>
      </c>
      <c r="AD14" s="31">
        <f t="shared" ref="AD14:AD24" si="15">O19</f>
        <v>1.101162236333648</v>
      </c>
      <c r="AE14" s="32">
        <f t="shared" ref="AE14:AG24" si="16">S19</f>
        <v>8.4922951300000005</v>
      </c>
      <c r="AF14" s="32">
        <f t="shared" si="16"/>
        <v>0.50953770779999996</v>
      </c>
      <c r="AG14" s="32">
        <f t="shared" si="16"/>
        <v>1.1633281000000002</v>
      </c>
      <c r="AH14" s="41">
        <f>I19/H19</f>
        <v>9.8280574005439686E-2</v>
      </c>
      <c r="AI14" s="33">
        <f>R19</f>
        <v>0.75124000000000002</v>
      </c>
      <c r="AJ14" s="31">
        <f t="shared" ref="AJ14:AJ24" si="17">O33</f>
        <v>0.82587167725023602</v>
      </c>
      <c r="AK14" s="32">
        <f t="shared" ref="AK14:AM24" si="18">S33</f>
        <v>6.7969535699999994</v>
      </c>
      <c r="AL14" s="32">
        <f t="shared" si="18"/>
        <v>0.40781721419999994</v>
      </c>
      <c r="AM14" s="32">
        <f t="shared" si="18"/>
        <v>0.93108953013698625</v>
      </c>
      <c r="AN14" s="41">
        <f>I33/H33</f>
        <v>0.13968750561878562</v>
      </c>
      <c r="AO14" s="33">
        <f>R33</f>
        <v>0.85458999999999996</v>
      </c>
      <c r="AP14" s="31">
        <f t="shared" ref="AP14:AP23" si="19">O47</f>
        <v>0.6606973418001888</v>
      </c>
      <c r="AQ14" s="32">
        <f t="shared" ref="AQ14:AS23" si="20">S47</f>
        <v>4.7575686399999997</v>
      </c>
      <c r="AR14" s="32">
        <f t="shared" si="20"/>
        <v>0.28545411839999996</v>
      </c>
      <c r="AS14" s="32">
        <f t="shared" si="20"/>
        <v>0.65172173150684931</v>
      </c>
      <c r="AT14" s="41">
        <f>I47/H47</f>
        <v>0.17032908010760725</v>
      </c>
      <c r="AU14" s="33">
        <f>R47</f>
        <v>0.72938999999999998</v>
      </c>
      <c r="AV14" s="31">
        <f t="shared" ref="AV14:AV23" si="21">O61</f>
        <v>0.55058111816682398</v>
      </c>
      <c r="AW14" s="32">
        <f t="shared" ref="AW14:AY23" si="22">S61</f>
        <v>4.603828459999999</v>
      </c>
      <c r="AX14" s="32">
        <f t="shared" si="22"/>
        <v>0.27622970759999993</v>
      </c>
      <c r="AY14" s="32">
        <f t="shared" si="22"/>
        <v>0.63066143287671217</v>
      </c>
      <c r="AZ14" s="41">
        <f>I61/H61</f>
        <v>0.18271611492666257</v>
      </c>
      <c r="BA14" s="33">
        <f>R61</f>
        <v>0.75714999999999999</v>
      </c>
      <c r="BB14" s="31">
        <f t="shared" ref="BB14:BB23" si="23">O75</f>
        <v>0.47192667271442051</v>
      </c>
      <c r="BC14" s="32">
        <f t="shared" ref="BC14:BE23" si="24">S75</f>
        <v>4.2368318299999999</v>
      </c>
      <c r="BD14" s="32">
        <f t="shared" si="24"/>
        <v>0.25420990979999997</v>
      </c>
      <c r="BE14" s="32">
        <f t="shared" si="24"/>
        <v>0.58038792191780819</v>
      </c>
      <c r="BF14" s="41">
        <f>I75/H75</f>
        <v>0.15003946474788452</v>
      </c>
      <c r="BG14" s="33">
        <f>R75</f>
        <v>0.57218000000000002</v>
      </c>
      <c r="BH14" s="31">
        <f t="shared" ref="BH14:BH23" si="25">O89</f>
        <v>0.41293583862511801</v>
      </c>
      <c r="BI14" s="32">
        <f t="shared" ref="BI14:BK23" si="26">S89</f>
        <v>4.6576564100000004</v>
      </c>
      <c r="BJ14" s="32">
        <f t="shared" si="26"/>
        <v>0.27945938460000003</v>
      </c>
      <c r="BK14" s="32">
        <f t="shared" si="26"/>
        <v>0.63803512465753431</v>
      </c>
      <c r="BL14" s="41">
        <f>I89/H89</f>
        <v>0.16274559848866138</v>
      </c>
      <c r="BM14" s="33">
        <f>R89</f>
        <v>0.68228</v>
      </c>
      <c r="BN14" s="31">
        <f t="shared" ref="BN14:BN23" si="27">O103</f>
        <v>0.36705407877788265</v>
      </c>
      <c r="BO14" s="32">
        <f t="shared" ref="BO14:BQ23" si="28">S103</f>
        <v>4.48520699</v>
      </c>
      <c r="BP14" s="32">
        <f t="shared" si="28"/>
        <v>0.26911241939999997</v>
      </c>
      <c r="BQ14" s="32">
        <f t="shared" si="28"/>
        <v>0.61441191643835613</v>
      </c>
      <c r="BR14" s="41">
        <f>I103/H103</f>
        <v>0.18831385973560161</v>
      </c>
      <c r="BS14" s="33">
        <f>R103</f>
        <v>0.76023999999999992</v>
      </c>
      <c r="BT14" s="31">
        <f t="shared" ref="BT14:BT23" si="29">O117</f>
        <v>0.3303486709000944</v>
      </c>
      <c r="BU14" s="32">
        <f t="shared" ref="BU14:BW23" si="30">S117</f>
        <v>3.5619326599999996</v>
      </c>
      <c r="BV14" s="32">
        <f t="shared" si="30"/>
        <v>0.21371595959999998</v>
      </c>
      <c r="BW14" s="32">
        <f t="shared" si="30"/>
        <v>0.48793598082191775</v>
      </c>
      <c r="BX14" s="41">
        <f>I117/H117</f>
        <v>0.23093142361652622</v>
      </c>
      <c r="BY14" s="33">
        <f>R117</f>
        <v>0.74038000000000004</v>
      </c>
      <c r="BZ14" s="31">
        <f t="shared" ref="BZ14:BZ22" si="31">O131</f>
        <v>0.22023244726672961</v>
      </c>
      <c r="CA14" s="32">
        <f t="shared" ref="CA14:CC22" si="32">S131</f>
        <v>3.8273727800000006</v>
      </c>
      <c r="CB14" s="32">
        <f t="shared" si="32"/>
        <v>0.22964236680000003</v>
      </c>
      <c r="CC14" s="32">
        <f t="shared" si="32"/>
        <v>0.5242976410958905</v>
      </c>
      <c r="CD14" s="41">
        <f>I131/H131</f>
        <v>0.2603614534772335</v>
      </c>
      <c r="CE14" s="33">
        <f>R131</f>
        <v>0.89693999999999996</v>
      </c>
      <c r="CF14" s="31">
        <f t="shared" ref="CF14:CF18" si="33">O145</f>
        <v>0.1651743354500472</v>
      </c>
      <c r="CG14" s="32">
        <f t="shared" ref="CG14:CI18" si="34">S145</f>
        <v>4.0232198600000011</v>
      </c>
      <c r="CH14" s="32">
        <f t="shared" si="34"/>
        <v>0.24139319160000006</v>
      </c>
      <c r="CI14" s="32">
        <f t="shared" si="34"/>
        <v>0.55112600821917823</v>
      </c>
      <c r="CJ14" s="41">
        <f>I145/H145</f>
        <v>0.29567609064248357</v>
      </c>
      <c r="CK14" s="33">
        <f>R145</f>
        <v>1.0707200000000001</v>
      </c>
      <c r="CL14" s="31">
        <f t="shared" ref="CL14:CL18" si="35">O159</f>
        <v>0.13213946836003776</v>
      </c>
      <c r="CM14" s="32">
        <f t="shared" ref="CM14:CO18" si="36">S159</f>
        <v>4.140419249999999</v>
      </c>
      <c r="CN14" s="32">
        <f t="shared" si="36"/>
        <v>0.24842515499999993</v>
      </c>
      <c r="CO14" s="32">
        <f t="shared" si="36"/>
        <v>0.5671807191780821</v>
      </c>
      <c r="CP14" s="41">
        <f>I159/H159</f>
        <v>0.26524988260548743</v>
      </c>
      <c r="CQ14" s="33">
        <f>R159</f>
        <v>0.98852000000000007</v>
      </c>
    </row>
    <row r="15" spans="2:95" ht="15" thickBot="1" x14ac:dyDescent="0.35">
      <c r="B15">
        <v>11</v>
      </c>
      <c r="C15">
        <v>9450.4</v>
      </c>
      <c r="D15">
        <v>94261.8</v>
      </c>
      <c r="E15">
        <v>34622.5</v>
      </c>
      <c r="F15">
        <f t="shared" si="0"/>
        <v>9.4261800000000004</v>
      </c>
      <c r="G15">
        <f t="shared" si="1"/>
        <v>0.94503999999999999</v>
      </c>
      <c r="H15">
        <f t="shared" si="2"/>
        <v>8.4811399999999999</v>
      </c>
      <c r="I15">
        <f t="shared" si="5"/>
        <v>3.46225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8.6420089236338371E-2</v>
      </c>
      <c r="P15" s="7">
        <v>21</v>
      </c>
      <c r="Q15" s="6">
        <f t="shared" si="7"/>
        <v>8.4811399999999999</v>
      </c>
      <c r="R15" s="6">
        <f t="shared" si="7"/>
        <v>3.46225</v>
      </c>
      <c r="S15" s="6">
        <f t="shared" si="8"/>
        <v>1.3460780771428573</v>
      </c>
      <c r="T15" s="6">
        <f t="shared" si="9"/>
        <v>8.0764684628571434E-2</v>
      </c>
      <c r="U15" s="6">
        <f t="shared" si="10"/>
        <v>0.18439425714285718</v>
      </c>
      <c r="V15" s="6">
        <f t="shared" si="4"/>
        <v>8.6420089236338371E-2</v>
      </c>
      <c r="X15" s="34">
        <f t="shared" si="12"/>
        <v>1.4651596484154552</v>
      </c>
      <c r="Y15" s="35">
        <f t="shared" si="13"/>
        <v>11.63263662</v>
      </c>
      <c r="Z15" s="35">
        <f t="shared" si="13"/>
        <v>0.69795819719999996</v>
      </c>
      <c r="AA15" s="35">
        <f t="shared" si="13"/>
        <v>1.5935118657534246</v>
      </c>
      <c r="AB15" s="42">
        <f t="shared" ref="AB15:AB24" si="37">I6/H6</f>
        <v>5.1134529464911628E-2</v>
      </c>
      <c r="AC15" s="36">
        <f t="shared" si="14"/>
        <v>0.53539999999999999</v>
      </c>
      <c r="AD15" s="34">
        <f t="shared" si="15"/>
        <v>0.97677309894363684</v>
      </c>
      <c r="AE15" s="35">
        <f t="shared" si="16"/>
        <v>6.3804285600000004</v>
      </c>
      <c r="AF15" s="35">
        <f t="shared" si="16"/>
        <v>0.38282571360000001</v>
      </c>
      <c r="AG15" s="35">
        <f t="shared" si="16"/>
        <v>0.87403130958904118</v>
      </c>
      <c r="AH15" s="42">
        <f t="shared" ref="AH15:AH24" si="38">I20/H20</f>
        <v>0.13291577862287043</v>
      </c>
      <c r="AI15" s="36">
        <f t="shared" ref="AI15:AI24" si="39">R20</f>
        <v>0.76333000000000006</v>
      </c>
      <c r="AJ15" s="34">
        <f t="shared" si="17"/>
        <v>0.7325798242077276</v>
      </c>
      <c r="AK15" s="35">
        <f t="shared" si="18"/>
        <v>6.4914841200000009</v>
      </c>
      <c r="AL15" s="35">
        <f t="shared" si="18"/>
        <v>0.38948904720000005</v>
      </c>
      <c r="AM15" s="35">
        <f t="shared" si="18"/>
        <v>0.88924440000000016</v>
      </c>
      <c r="AN15" s="42">
        <f t="shared" ref="AN15:AN24" si="40">I34/H34</f>
        <v>0.11773051830249258</v>
      </c>
      <c r="AO15" s="36">
        <f t="shared" ref="AO15:AO24" si="41">R34</f>
        <v>0.68789</v>
      </c>
      <c r="AP15" s="34">
        <f t="shared" si="19"/>
        <v>0.5860638593661821</v>
      </c>
      <c r="AQ15" s="35">
        <f t="shared" si="20"/>
        <v>4.8638246800000005</v>
      </c>
      <c r="AR15" s="35">
        <f t="shared" si="20"/>
        <v>0.29182948080000004</v>
      </c>
      <c r="AS15" s="35">
        <f t="shared" si="20"/>
        <v>0.66627735342465766</v>
      </c>
      <c r="AT15" s="42">
        <f t="shared" ref="AT15:AT23" si="42">I48/H48</f>
        <v>0.14188831123740256</v>
      </c>
      <c r="AU15" s="36">
        <f t="shared" ref="AU15:AU23" si="43">R48</f>
        <v>0.62117</v>
      </c>
      <c r="AV15" s="34">
        <f t="shared" si="21"/>
        <v>0.48838654947181842</v>
      </c>
      <c r="AW15" s="35">
        <f t="shared" si="22"/>
        <v>5.4705084499999996</v>
      </c>
      <c r="AX15" s="35">
        <f t="shared" si="22"/>
        <v>0.32823050699999995</v>
      </c>
      <c r="AY15" s="35">
        <f t="shared" si="22"/>
        <v>0.74938471917808214</v>
      </c>
      <c r="AZ15" s="42">
        <f t="shared" ref="AZ15:AZ23" si="44">I62/H62</f>
        <v>0.13782633861026208</v>
      </c>
      <c r="BA15" s="36">
        <f t="shared" ref="BA15:BA23" si="45">R62</f>
        <v>0.67864999999999998</v>
      </c>
      <c r="BB15" s="34">
        <f t="shared" si="23"/>
        <v>0.41861704240441577</v>
      </c>
      <c r="BC15" s="35">
        <f t="shared" si="24"/>
        <v>4.2280549300000008</v>
      </c>
      <c r="BD15" s="35">
        <f t="shared" si="24"/>
        <v>0.25368329580000004</v>
      </c>
      <c r="BE15" s="35">
        <f t="shared" si="24"/>
        <v>0.57918560684931519</v>
      </c>
      <c r="BF15" s="42">
        <f t="shared" ref="BF15:BF23" si="46">I76/H76</f>
        <v>0.1317784440421165</v>
      </c>
      <c r="BG15" s="36">
        <f t="shared" ref="BG15:BG23" si="47">R76</f>
        <v>0.50149999999999995</v>
      </c>
      <c r="BH15" s="34">
        <f t="shared" si="25"/>
        <v>0.3662899121038638</v>
      </c>
      <c r="BI15" s="35">
        <f t="shared" si="26"/>
        <v>5.0603161400000003</v>
      </c>
      <c r="BJ15" s="35">
        <f t="shared" si="26"/>
        <v>0.30361896840000002</v>
      </c>
      <c r="BK15" s="35">
        <f t="shared" si="26"/>
        <v>0.69319399178082197</v>
      </c>
      <c r="BL15" s="42">
        <f t="shared" ref="BL15:BL23" si="48">I90/H90</f>
        <v>0.14530357385932019</v>
      </c>
      <c r="BM15" s="36">
        <f t="shared" ref="BM15:BM23" si="49">R90</f>
        <v>0.66181999999999996</v>
      </c>
      <c r="BN15" s="34">
        <f t="shared" si="27"/>
        <v>0.32559103298121223</v>
      </c>
      <c r="BO15" s="35">
        <f t="shared" si="28"/>
        <v>3.4118698899999997</v>
      </c>
      <c r="BP15" s="35">
        <f t="shared" si="28"/>
        <v>0.20471219339999996</v>
      </c>
      <c r="BQ15" s="35">
        <f t="shared" si="28"/>
        <v>0.46737943698630136</v>
      </c>
      <c r="BR15" s="42">
        <f t="shared" ref="BR15:BR23" si="50">I104/H104</f>
        <v>0.18890976525485267</v>
      </c>
      <c r="BS15" s="36">
        <f t="shared" ref="BS15:BS23" si="51">R104</f>
        <v>0.58013999999999999</v>
      </c>
      <c r="BT15" s="34">
        <f t="shared" si="29"/>
        <v>0.29303192968309105</v>
      </c>
      <c r="BU15" s="35">
        <f t="shared" si="30"/>
        <v>5.3325666899999993</v>
      </c>
      <c r="BV15" s="35">
        <f t="shared" si="30"/>
        <v>0.31995400139999997</v>
      </c>
      <c r="BW15" s="35">
        <f t="shared" si="30"/>
        <v>0.73048858767123281</v>
      </c>
      <c r="BX15" s="42">
        <f t="shared" ref="BX15:BX23" si="52">I118/H118</f>
        <v>0.10479000122922046</v>
      </c>
      <c r="BY15" s="36">
        <f t="shared" ref="BY15:BY23" si="53">R118</f>
        <v>0.50297000000000003</v>
      </c>
      <c r="BZ15" s="34">
        <f t="shared" si="31"/>
        <v>0.19535461978872737</v>
      </c>
      <c r="CA15" s="35">
        <f t="shared" si="32"/>
        <v>4.9638591200000013</v>
      </c>
      <c r="CB15" s="35">
        <f t="shared" si="32"/>
        <v>0.29783154720000005</v>
      </c>
      <c r="CC15" s="35">
        <f t="shared" si="32"/>
        <v>0.67998070136986322</v>
      </c>
      <c r="CD15" s="42">
        <f t="shared" ref="CD15:CD22" si="54">I132/H132</f>
        <v>0.19209833658615191</v>
      </c>
      <c r="CE15" s="36">
        <f t="shared" ref="CE15:CE22" si="55">R132</f>
        <v>0.85827999999999993</v>
      </c>
      <c r="CF15" s="34">
        <f t="shared" si="33"/>
        <v>0.14651596484154553</v>
      </c>
      <c r="CG15" s="35">
        <f t="shared" si="34"/>
        <v>5.2321767299999999</v>
      </c>
      <c r="CH15" s="35">
        <f t="shared" si="34"/>
        <v>0.31393060379999999</v>
      </c>
      <c r="CI15" s="35">
        <f t="shared" si="34"/>
        <v>0.71673653835616435</v>
      </c>
      <c r="CJ15" s="42">
        <f t="shared" ref="CJ15:CJ18" si="56">I146/H146</f>
        <v>0.15647116530025929</v>
      </c>
      <c r="CK15" s="36">
        <f t="shared" ref="CK15:CK18" si="57">R146</f>
        <v>0.73688999999999993</v>
      </c>
      <c r="CL15" s="34">
        <f t="shared" si="35"/>
        <v>0.11721277187323641</v>
      </c>
      <c r="CM15" s="35">
        <f t="shared" si="36"/>
        <v>3.9342287600000008</v>
      </c>
      <c r="CN15" s="35">
        <f t="shared" si="36"/>
        <v>0.23605372560000004</v>
      </c>
      <c r="CO15" s="35">
        <f t="shared" si="36"/>
        <v>0.53893544657534254</v>
      </c>
      <c r="CP15" s="42">
        <f t="shared" ref="CP15:CP18" si="58">I160/H160</f>
        <v>0.25731398750691858</v>
      </c>
      <c r="CQ15" s="36">
        <f t="shared" ref="CQ15:CQ18" si="59">R160</f>
        <v>0.91118999999999994</v>
      </c>
    </row>
    <row r="16" spans="2:95" ht="15" thickTop="1" x14ac:dyDescent="0.3">
      <c r="X16" s="34">
        <f t="shared" si="12"/>
        <v>1.2639840228455843</v>
      </c>
      <c r="Y16" s="35">
        <f t="shared" si="13"/>
        <v>11.093179460000002</v>
      </c>
      <c r="Z16" s="35">
        <f t="shared" si="13"/>
        <v>0.66559076760000013</v>
      </c>
      <c r="AA16" s="35">
        <f t="shared" si="13"/>
        <v>1.5196136246575345</v>
      </c>
      <c r="AB16" s="42">
        <f t="shared" si="37"/>
        <v>4.3033152192419322E-2</v>
      </c>
      <c r="AC16" s="36">
        <f t="shared" si="14"/>
        <v>0.42968000000000001</v>
      </c>
      <c r="AD16" s="34">
        <f t="shared" si="15"/>
        <v>0.84265601523038958</v>
      </c>
      <c r="AE16" s="35">
        <f t="shared" si="16"/>
        <v>7.2552521799999994</v>
      </c>
      <c r="AF16" s="35">
        <f t="shared" si="16"/>
        <v>0.43531513079999995</v>
      </c>
      <c r="AG16" s="35">
        <f t="shared" si="16"/>
        <v>0.99387016164383557</v>
      </c>
      <c r="AH16" s="42">
        <f t="shared" si="38"/>
        <v>8.4785265175992844E-2</v>
      </c>
      <c r="AI16" s="36">
        <f t="shared" si="39"/>
        <v>0.55368000000000006</v>
      </c>
      <c r="AJ16" s="34">
        <f t="shared" si="17"/>
        <v>0.63199201142279215</v>
      </c>
      <c r="AK16" s="35">
        <f t="shared" si="18"/>
        <v>5.8199290600000015</v>
      </c>
      <c r="AL16" s="35">
        <f t="shared" si="18"/>
        <v>0.34919574360000005</v>
      </c>
      <c r="AM16" s="35">
        <f t="shared" si="18"/>
        <v>0.79725055616438378</v>
      </c>
      <c r="AN16" s="42">
        <f t="shared" si="40"/>
        <v>0.12803190250569821</v>
      </c>
      <c r="AO16" s="36">
        <f t="shared" si="41"/>
        <v>0.67069000000000001</v>
      </c>
      <c r="AP16" s="34">
        <f t="shared" si="19"/>
        <v>0.5055936091382337</v>
      </c>
      <c r="AQ16" s="35">
        <f t="shared" si="20"/>
        <v>5.05272801</v>
      </c>
      <c r="AR16" s="35">
        <f t="shared" si="20"/>
        <v>0.30316368059999999</v>
      </c>
      <c r="AS16" s="35">
        <f t="shared" si="20"/>
        <v>0.69215452191780824</v>
      </c>
      <c r="AT16" s="42">
        <f t="shared" si="42"/>
        <v>0.18344030554694357</v>
      </c>
      <c r="AU16" s="36">
        <f t="shared" si="43"/>
        <v>0.83427000000000007</v>
      </c>
      <c r="AV16" s="34">
        <f t="shared" si="21"/>
        <v>0.42132800761519479</v>
      </c>
      <c r="AW16" s="35">
        <f t="shared" si="22"/>
        <v>3.2712839500000013</v>
      </c>
      <c r="AX16" s="35">
        <f t="shared" si="22"/>
        <v>0.19627703700000007</v>
      </c>
      <c r="AY16" s="35">
        <f t="shared" si="22"/>
        <v>0.4481210890410961</v>
      </c>
      <c r="AZ16" s="42">
        <f t="shared" si="44"/>
        <v>0.21907656778006074</v>
      </c>
      <c r="BA16" s="36">
        <f t="shared" si="45"/>
        <v>0.64506000000000008</v>
      </c>
      <c r="BB16" s="34">
        <f t="shared" si="23"/>
        <v>0.36113829224159555</v>
      </c>
      <c r="BC16" s="35">
        <f t="shared" si="24"/>
        <v>5.5417346600000021</v>
      </c>
      <c r="BD16" s="35">
        <f t="shared" si="24"/>
        <v>0.33250407960000011</v>
      </c>
      <c r="BE16" s="35">
        <f t="shared" si="24"/>
        <v>0.75914173424657561</v>
      </c>
      <c r="BF16" s="42">
        <f t="shared" si="46"/>
        <v>0.11325044205562881</v>
      </c>
      <c r="BG16" s="36">
        <f t="shared" si="47"/>
        <v>0.56489999999999996</v>
      </c>
      <c r="BH16" s="34">
        <f t="shared" si="25"/>
        <v>0.31599600571139608</v>
      </c>
      <c r="BI16" s="35">
        <f t="shared" si="26"/>
        <v>6.1451854200000007</v>
      </c>
      <c r="BJ16" s="35">
        <f t="shared" si="26"/>
        <v>0.36871112520000004</v>
      </c>
      <c r="BK16" s="35">
        <f t="shared" si="26"/>
        <v>0.84180622191780829</v>
      </c>
      <c r="BL16" s="42">
        <f t="shared" si="48"/>
        <v>0.10470746056023807</v>
      </c>
      <c r="BM16" s="36">
        <f t="shared" si="49"/>
        <v>0.57916000000000001</v>
      </c>
      <c r="BN16" s="34">
        <f t="shared" si="27"/>
        <v>0.28088533841012986</v>
      </c>
      <c r="BO16" s="35">
        <f t="shared" si="28"/>
        <v>5.1234653800000016</v>
      </c>
      <c r="BP16" s="35">
        <f t="shared" si="28"/>
        <v>0.30740792280000007</v>
      </c>
      <c r="BQ16" s="35">
        <f t="shared" si="28"/>
        <v>0.70184457260273991</v>
      </c>
      <c r="BR16" s="42">
        <f t="shared" si="50"/>
        <v>0.12371031186708241</v>
      </c>
      <c r="BS16" s="36">
        <f t="shared" si="51"/>
        <v>0.57050000000000001</v>
      </c>
      <c r="BT16" s="34">
        <f t="shared" si="29"/>
        <v>0.25279680456911685</v>
      </c>
      <c r="BU16" s="35">
        <f t="shared" si="30"/>
        <v>3.1693274799999993</v>
      </c>
      <c r="BV16" s="35">
        <f t="shared" si="30"/>
        <v>0.19015964879999994</v>
      </c>
      <c r="BW16" s="35">
        <f t="shared" si="30"/>
        <v>0.43415444931506841</v>
      </c>
      <c r="BX16" s="42">
        <f t="shared" si="52"/>
        <v>0.19638375141971759</v>
      </c>
      <c r="BY16" s="36">
        <f t="shared" si="53"/>
        <v>0.56021999999999994</v>
      </c>
      <c r="BZ16" s="34">
        <f t="shared" si="31"/>
        <v>0.16853120304607791</v>
      </c>
      <c r="CA16" s="35">
        <f t="shared" si="32"/>
        <v>6.1631613999999999</v>
      </c>
      <c r="CB16" s="35">
        <f t="shared" si="32"/>
        <v>0.36978968400000001</v>
      </c>
      <c r="CC16" s="35">
        <f t="shared" si="32"/>
        <v>0.84426868493150686</v>
      </c>
      <c r="CD16" s="42">
        <f t="shared" si="54"/>
        <v>0.11659155640480226</v>
      </c>
      <c r="CE16" s="36">
        <f t="shared" si="55"/>
        <v>0.64678000000000002</v>
      </c>
      <c r="CF16" s="34">
        <f t="shared" si="33"/>
        <v>0.12639840228455843</v>
      </c>
      <c r="CG16" s="35">
        <f t="shared" si="34"/>
        <v>5.2164783000000012</v>
      </c>
      <c r="CH16" s="35">
        <f t="shared" si="34"/>
        <v>0.31298869800000007</v>
      </c>
      <c r="CI16" s="35">
        <f t="shared" si="34"/>
        <v>0.71458606849315087</v>
      </c>
      <c r="CJ16" s="42">
        <f t="shared" si="56"/>
        <v>0.16155517219347004</v>
      </c>
      <c r="CK16" s="36">
        <f t="shared" si="57"/>
        <v>0.75854999999999995</v>
      </c>
      <c r="CL16" s="34">
        <f t="shared" si="35"/>
        <v>0.10111872182764675</v>
      </c>
      <c r="CM16" s="35">
        <f t="shared" si="36"/>
        <v>4.4325233700000011</v>
      </c>
      <c r="CN16" s="35">
        <f t="shared" si="36"/>
        <v>0.26595140220000008</v>
      </c>
      <c r="CO16" s="35">
        <f t="shared" si="36"/>
        <v>0.60719498219178103</v>
      </c>
      <c r="CP16" s="42">
        <f t="shared" si="58"/>
        <v>0.28286299368118162</v>
      </c>
      <c r="CQ16" s="36">
        <f t="shared" si="59"/>
        <v>1.12853</v>
      </c>
    </row>
    <row r="17" spans="2:95" ht="15" thickBot="1" x14ac:dyDescent="0.35">
      <c r="X17" s="34">
        <f t="shared" si="12"/>
        <v>0.76556441682418974</v>
      </c>
      <c r="Y17" s="35">
        <f t="shared" si="13"/>
        <v>12.559243949999999</v>
      </c>
      <c r="Z17" s="35">
        <f t="shared" si="13"/>
        <v>0.75355463699999992</v>
      </c>
      <c r="AA17" s="35">
        <f t="shared" si="13"/>
        <v>1.7204443767123287</v>
      </c>
      <c r="AB17" s="42">
        <f t="shared" si="37"/>
        <v>3.5227720057145639E-2</v>
      </c>
      <c r="AC17" s="36">
        <f t="shared" si="14"/>
        <v>0.39823000000000003</v>
      </c>
      <c r="AD17" s="34">
        <f t="shared" si="15"/>
        <v>0.51037627788279316</v>
      </c>
      <c r="AE17" s="35">
        <f t="shared" si="16"/>
        <v>6.8477373800000008</v>
      </c>
      <c r="AF17" s="35">
        <f t="shared" si="16"/>
        <v>0.41086424280000006</v>
      </c>
      <c r="AG17" s="35">
        <f t="shared" si="16"/>
        <v>0.93804621643835628</v>
      </c>
      <c r="AH17" s="42">
        <f t="shared" si="38"/>
        <v>6.1224158686996842E-2</v>
      </c>
      <c r="AI17" s="36">
        <f t="shared" si="39"/>
        <v>0.37735999999999997</v>
      </c>
      <c r="AJ17" s="34">
        <f t="shared" si="17"/>
        <v>0.38278220841209487</v>
      </c>
      <c r="AK17" s="35">
        <f t="shared" si="18"/>
        <v>5.3556754899999994</v>
      </c>
      <c r="AL17" s="35">
        <f t="shared" si="18"/>
        <v>0.32134052939999996</v>
      </c>
      <c r="AM17" s="35">
        <f t="shared" si="18"/>
        <v>0.73365417671232869</v>
      </c>
      <c r="AN17" s="42">
        <f t="shared" si="40"/>
        <v>0.11185975160716843</v>
      </c>
      <c r="AO17" s="36">
        <f t="shared" si="41"/>
        <v>0.53922999999999999</v>
      </c>
      <c r="AP17" s="34">
        <f t="shared" si="19"/>
        <v>0.30622576672967589</v>
      </c>
      <c r="AQ17" s="35">
        <f t="shared" si="20"/>
        <v>3.7808885400000007</v>
      </c>
      <c r="AR17" s="35">
        <f t="shared" si="20"/>
        <v>0.22685331240000003</v>
      </c>
      <c r="AS17" s="35">
        <f t="shared" si="20"/>
        <v>0.51792993698630152</v>
      </c>
      <c r="AT17" s="42">
        <f t="shared" si="42"/>
        <v>0.1744653467092156</v>
      </c>
      <c r="AU17" s="36">
        <f t="shared" si="43"/>
        <v>0.59372999999999998</v>
      </c>
      <c r="AV17" s="34">
        <f t="shared" si="21"/>
        <v>0.25518813894139658</v>
      </c>
      <c r="AW17" s="35">
        <f t="shared" si="22"/>
        <v>5.1959470200000002</v>
      </c>
      <c r="AX17" s="35">
        <f t="shared" si="22"/>
        <v>0.31175682119999998</v>
      </c>
      <c r="AY17" s="35">
        <f t="shared" si="22"/>
        <v>0.71177356438356165</v>
      </c>
      <c r="AZ17" s="42">
        <f t="shared" si="44"/>
        <v>0.10927510573423825</v>
      </c>
      <c r="BA17" s="36">
        <f t="shared" si="45"/>
        <v>0.51106000000000007</v>
      </c>
      <c r="BB17" s="34">
        <f t="shared" si="23"/>
        <v>0.21873269052119707</v>
      </c>
      <c r="BC17" s="35">
        <f t="shared" si="24"/>
        <v>2.5487673199999992</v>
      </c>
      <c r="BD17" s="35">
        <f t="shared" si="24"/>
        <v>0.15292603919999995</v>
      </c>
      <c r="BE17" s="35">
        <f t="shared" si="24"/>
        <v>0.34914620821917797</v>
      </c>
      <c r="BF17" s="42">
        <f t="shared" si="46"/>
        <v>0.28928303663278299</v>
      </c>
      <c r="BG17" s="36">
        <f t="shared" si="47"/>
        <v>0.66364999999999996</v>
      </c>
      <c r="BH17" s="34">
        <f t="shared" si="25"/>
        <v>0.19139110420604744</v>
      </c>
      <c r="BI17" s="35">
        <f t="shared" si="26"/>
        <v>3.0791365000000002</v>
      </c>
      <c r="BJ17" s="35">
        <f t="shared" si="26"/>
        <v>0.18474819000000001</v>
      </c>
      <c r="BK17" s="35">
        <f t="shared" si="26"/>
        <v>0.42179952054794523</v>
      </c>
      <c r="BL17" s="42">
        <f t="shared" si="48"/>
        <v>0.1836298033555836</v>
      </c>
      <c r="BM17" s="36">
        <f t="shared" si="49"/>
        <v>0.50892999999999999</v>
      </c>
      <c r="BN17" s="34">
        <f t="shared" si="27"/>
        <v>0.17012542596093105</v>
      </c>
      <c r="BO17" s="35">
        <f t="shared" si="28"/>
        <v>3.2868046199999994</v>
      </c>
      <c r="BP17" s="35">
        <f t="shared" si="28"/>
        <v>0.19720827719999995</v>
      </c>
      <c r="BQ17" s="35">
        <f t="shared" si="28"/>
        <v>0.45024720821917802</v>
      </c>
      <c r="BR17" s="42">
        <f t="shared" si="50"/>
        <v>0.13281751745864348</v>
      </c>
      <c r="BS17" s="36">
        <f t="shared" si="51"/>
        <v>0.39293</v>
      </c>
      <c r="BT17" s="34">
        <f t="shared" si="29"/>
        <v>0.15311288336483794</v>
      </c>
      <c r="BU17" s="35">
        <f t="shared" si="30"/>
        <v>4.8388605099999982</v>
      </c>
      <c r="BV17" s="35">
        <f t="shared" si="30"/>
        <v>0.29033163059999989</v>
      </c>
      <c r="BW17" s="35">
        <f t="shared" si="30"/>
        <v>0.66285760410958883</v>
      </c>
      <c r="BX17" s="42">
        <f t="shared" si="52"/>
        <v>0.10109955205135684</v>
      </c>
      <c r="BY17" s="36">
        <f t="shared" si="53"/>
        <v>0.44033</v>
      </c>
      <c r="BZ17" s="34">
        <f t="shared" si="31"/>
        <v>0.10207525557655862</v>
      </c>
      <c r="CA17" s="35">
        <f t="shared" si="32"/>
        <v>2.9893454799999999</v>
      </c>
      <c r="CB17" s="35">
        <f t="shared" si="32"/>
        <v>0.17936072879999998</v>
      </c>
      <c r="CC17" s="35">
        <f t="shared" si="32"/>
        <v>0.40949938082191778</v>
      </c>
      <c r="CD17" s="42">
        <f t="shared" si="54"/>
        <v>0.37281282055093878</v>
      </c>
      <c r="CE17" s="36">
        <f t="shared" si="55"/>
        <v>1.00312</v>
      </c>
      <c r="CF17" s="34">
        <f t="shared" si="33"/>
        <v>7.6556441682418971E-2</v>
      </c>
      <c r="CG17" s="35">
        <f t="shared" si="34"/>
        <v>3.5997177699999998</v>
      </c>
      <c r="CH17" s="35">
        <f t="shared" si="34"/>
        <v>0.21598306619999999</v>
      </c>
      <c r="CI17" s="35">
        <f t="shared" si="34"/>
        <v>0.49311202328767123</v>
      </c>
      <c r="CJ17" s="42">
        <f t="shared" si="56"/>
        <v>0.37595792683491408</v>
      </c>
      <c r="CK17" s="36">
        <f t="shared" si="57"/>
        <v>1.2181299999999999</v>
      </c>
      <c r="CL17" s="34">
        <f t="shared" si="35"/>
        <v>6.1245153345935173E-2</v>
      </c>
      <c r="CM17" s="35">
        <f t="shared" si="36"/>
        <v>2.9811685200000002</v>
      </c>
      <c r="CN17" s="35">
        <f t="shared" si="36"/>
        <v>0.17887011120000001</v>
      </c>
      <c r="CO17" s="35">
        <f t="shared" si="36"/>
        <v>0.40837924931506853</v>
      </c>
      <c r="CP17" s="42">
        <f t="shared" si="58"/>
        <v>0.69861216701697892</v>
      </c>
      <c r="CQ17" s="36">
        <f t="shared" si="59"/>
        <v>1.8746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0.55332190013679428</v>
      </c>
      <c r="Y18" s="35">
        <f t="shared" si="13"/>
        <v>13.606805850000001</v>
      </c>
      <c r="Z18" s="35">
        <f t="shared" si="13"/>
        <v>0.81640835099999998</v>
      </c>
      <c r="AA18" s="35">
        <f t="shared" si="13"/>
        <v>1.8639460068493152</v>
      </c>
      <c r="AB18" s="42">
        <f t="shared" si="37"/>
        <v>4.6926886224366901E-2</v>
      </c>
      <c r="AC18" s="36">
        <f t="shared" si="14"/>
        <v>0.57472999999999996</v>
      </c>
      <c r="AD18" s="34">
        <f t="shared" si="15"/>
        <v>0.36888126675786287</v>
      </c>
      <c r="AE18" s="35">
        <f t="shared" si="16"/>
        <v>8.2544300300000018</v>
      </c>
      <c r="AF18" s="35">
        <f t="shared" si="16"/>
        <v>0.49526580180000007</v>
      </c>
      <c r="AG18" s="35">
        <f t="shared" si="16"/>
        <v>1.1307438397260277</v>
      </c>
      <c r="AH18" s="42">
        <f t="shared" si="38"/>
        <v>5.9938921064426297E-2</v>
      </c>
      <c r="AI18" s="36">
        <f t="shared" si="39"/>
        <v>0.44533</v>
      </c>
      <c r="AJ18" s="34">
        <f t="shared" si="17"/>
        <v>0.27666095006839714</v>
      </c>
      <c r="AK18" s="35">
        <f t="shared" si="18"/>
        <v>3.8943994099999992</v>
      </c>
      <c r="AL18" s="35">
        <f t="shared" si="18"/>
        <v>0.23366396459999994</v>
      </c>
      <c r="AM18" s="35">
        <f t="shared" si="18"/>
        <v>0.53347937123287659</v>
      </c>
      <c r="AN18" s="42">
        <f t="shared" si="40"/>
        <v>0.17181076709335266</v>
      </c>
      <c r="AO18" s="36">
        <f t="shared" si="41"/>
        <v>0.60224999999999995</v>
      </c>
      <c r="AP18" s="34">
        <f t="shared" si="19"/>
        <v>0.22132876005471769</v>
      </c>
      <c r="AQ18" s="35">
        <f t="shared" si="20"/>
        <v>4.5878522800000017</v>
      </c>
      <c r="AR18" s="35">
        <f t="shared" si="20"/>
        <v>0.27527113680000009</v>
      </c>
      <c r="AS18" s="35">
        <f t="shared" si="20"/>
        <v>0.62847291506849334</v>
      </c>
      <c r="AT18" s="42">
        <f t="shared" si="42"/>
        <v>0.13011565620852988</v>
      </c>
      <c r="AU18" s="36">
        <f t="shared" si="43"/>
        <v>0.53731000000000007</v>
      </c>
      <c r="AV18" s="34">
        <f t="shared" si="21"/>
        <v>0.18444063337893143</v>
      </c>
      <c r="AW18" s="35">
        <f t="shared" si="22"/>
        <v>4.4916841200000004</v>
      </c>
      <c r="AX18" s="35">
        <f t="shared" si="22"/>
        <v>0.26950104720000001</v>
      </c>
      <c r="AY18" s="35">
        <f t="shared" si="22"/>
        <v>0.61529919452054804</v>
      </c>
      <c r="AZ18" s="42">
        <f t="shared" si="44"/>
        <v>0.11928012426661917</v>
      </c>
      <c r="BA18" s="36">
        <f t="shared" si="45"/>
        <v>0.48223999999999995</v>
      </c>
      <c r="BB18" s="34">
        <f t="shared" si="23"/>
        <v>0.1580919714676555</v>
      </c>
      <c r="BC18" s="35">
        <f t="shared" si="24"/>
        <v>3.1036562699999997</v>
      </c>
      <c r="BD18" s="35">
        <f t="shared" si="24"/>
        <v>0.18621937619999998</v>
      </c>
      <c r="BE18" s="35">
        <f t="shared" si="24"/>
        <v>0.42515839315068488</v>
      </c>
      <c r="BF18" s="42">
        <f t="shared" si="46"/>
        <v>0.18217191622189532</v>
      </c>
      <c r="BG18" s="36">
        <f t="shared" si="47"/>
        <v>0.50891000000000008</v>
      </c>
      <c r="BH18" s="34">
        <f t="shared" si="25"/>
        <v>0.13833047503419857</v>
      </c>
      <c r="BI18" s="35">
        <f t="shared" si="26"/>
        <v>2.24079812</v>
      </c>
      <c r="BJ18" s="35">
        <f t="shared" si="26"/>
        <v>0.1344478872</v>
      </c>
      <c r="BK18" s="35">
        <f t="shared" si="26"/>
        <v>0.3069586465753425</v>
      </c>
      <c r="BL18" s="42">
        <f t="shared" si="48"/>
        <v>0.2476548400531503</v>
      </c>
      <c r="BM18" s="36">
        <f t="shared" si="49"/>
        <v>0.4995</v>
      </c>
      <c r="BN18" s="34">
        <f t="shared" si="27"/>
        <v>0.12296042225262094</v>
      </c>
      <c r="BO18" s="35">
        <f t="shared" si="28"/>
        <v>4.3740181099999997</v>
      </c>
      <c r="BP18" s="35">
        <f t="shared" si="28"/>
        <v>0.26244108659999998</v>
      </c>
      <c r="BQ18" s="35">
        <f t="shared" si="28"/>
        <v>0.5991805630136986</v>
      </c>
      <c r="BR18" s="42">
        <f t="shared" si="50"/>
        <v>0.10399008384535473</v>
      </c>
      <c r="BS18" s="36">
        <f t="shared" si="51"/>
        <v>0.40941</v>
      </c>
      <c r="BT18" s="34">
        <f t="shared" si="29"/>
        <v>0.11066438002735884</v>
      </c>
      <c r="BU18" s="35">
        <f t="shared" si="30"/>
        <v>3.3931050999999997</v>
      </c>
      <c r="BV18" s="35">
        <f t="shared" si="30"/>
        <v>0.20358630599999997</v>
      </c>
      <c r="BW18" s="35">
        <f t="shared" si="30"/>
        <v>0.46480891780821915</v>
      </c>
      <c r="BX18" s="42">
        <f t="shared" si="52"/>
        <v>0.11839821878785893</v>
      </c>
      <c r="BY18" s="36">
        <f t="shared" si="53"/>
        <v>0.36159999999999998</v>
      </c>
      <c r="BZ18" s="34">
        <f t="shared" si="31"/>
        <v>7.3776253351572563E-2</v>
      </c>
      <c r="CA18" s="35">
        <f t="shared" si="32"/>
        <v>1.6400359799999997</v>
      </c>
      <c r="CB18" s="35">
        <f t="shared" si="32"/>
        <v>9.8402158799999986E-2</v>
      </c>
      <c r="CC18" s="35">
        <f t="shared" si="32"/>
        <v>0.2246624630136986</v>
      </c>
      <c r="CD18" s="42">
        <f t="shared" si="54"/>
        <v>1.2939546667750546</v>
      </c>
      <c r="CE18" s="36">
        <f t="shared" si="55"/>
        <v>1.9101099999999998</v>
      </c>
      <c r="CF18" s="34">
        <f t="shared" si="33"/>
        <v>5.5332190013679422E-2</v>
      </c>
      <c r="CG18" s="35">
        <f t="shared" si="34"/>
        <v>7.5703539999999597E-2</v>
      </c>
      <c r="CH18" s="35">
        <f t="shared" si="34"/>
        <v>4.5422123999999753E-3</v>
      </c>
      <c r="CI18" s="35">
        <f t="shared" si="34"/>
        <v>1.0370347945205425E-2</v>
      </c>
      <c r="CJ18" s="42">
        <f t="shared" si="56"/>
        <v>45.473143528030768</v>
      </c>
      <c r="CK18" s="36">
        <f t="shared" si="57"/>
        <v>3.0985400000000003</v>
      </c>
      <c r="CL18" s="34">
        <f t="shared" si="35"/>
        <v>4.4265752010943543E-2</v>
      </c>
      <c r="CM18" s="35">
        <f t="shared" si="36"/>
        <v>2.27407257</v>
      </c>
      <c r="CN18" s="35">
        <f t="shared" si="36"/>
        <v>0.13644435419999998</v>
      </c>
      <c r="CO18" s="35">
        <f t="shared" si="36"/>
        <v>0.31151679041095892</v>
      </c>
      <c r="CP18" s="42">
        <f t="shared" si="58"/>
        <v>0.43047189122904739</v>
      </c>
      <c r="CQ18" s="36">
        <f t="shared" si="59"/>
        <v>0.88112000000000013</v>
      </c>
    </row>
    <row r="19" spans="2:95" ht="15" thickTop="1" x14ac:dyDescent="0.3">
      <c r="B19">
        <v>1</v>
      </c>
      <c r="C19">
        <v>-3272.3</v>
      </c>
      <c r="D19">
        <v>73166</v>
      </c>
      <c r="E19">
        <v>7512.4</v>
      </c>
      <c r="F19">
        <f t="shared" ref="F19:F29" si="60">D19/10000</f>
        <v>7.3166000000000002</v>
      </c>
      <c r="G19">
        <f t="shared" ref="G19:G29" si="61">C19/10000</f>
        <v>-0.32723000000000002</v>
      </c>
      <c r="H19">
        <f t="shared" ref="H19:H29" si="62">F19-G19</f>
        <v>7.6438300000000003</v>
      </c>
      <c r="I19">
        <f>E19/10000</f>
        <v>0.75124000000000002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1.101162236333648</v>
      </c>
      <c r="P19" s="2">
        <v>3</v>
      </c>
      <c r="Q19" s="8">
        <f>H19</f>
        <v>7.6438300000000003</v>
      </c>
      <c r="R19" s="8">
        <f>I19</f>
        <v>0.75124000000000002</v>
      </c>
      <c r="S19" s="8">
        <f>Q19/10^6*$Z$4*$Z$3/P19*10^12</f>
        <v>8.4922951300000005</v>
      </c>
      <c r="T19" s="8">
        <f>S19*0.06</f>
        <v>0.50953770779999996</v>
      </c>
      <c r="U19" s="8">
        <f>S19/$Z$1</f>
        <v>1.1633281000000002</v>
      </c>
      <c r="V19" s="12">
        <f t="shared" ref="V19:V29" si="63">O19</f>
        <v>1.101162236333648</v>
      </c>
      <c r="W19" s="19"/>
      <c r="X19" s="34">
        <f t="shared" si="12"/>
        <v>0.38300530434979718</v>
      </c>
      <c r="Y19" s="35">
        <f t="shared" si="13"/>
        <v>12.622820924999999</v>
      </c>
      <c r="Z19" s="35">
        <f t="shared" si="13"/>
        <v>0.75736925549999989</v>
      </c>
      <c r="AA19" s="35">
        <f t="shared" si="13"/>
        <v>1.729153551369863</v>
      </c>
      <c r="AB19" s="42">
        <f t="shared" si="37"/>
        <v>3.9642482292443673E-2</v>
      </c>
      <c r="AC19" s="36">
        <f t="shared" si="14"/>
        <v>0.60053999999999996</v>
      </c>
      <c r="AD19" s="34">
        <f t="shared" si="15"/>
        <v>0.25533686956653145</v>
      </c>
      <c r="AE19" s="35">
        <f t="shared" si="16"/>
        <v>6.051444795000001</v>
      </c>
      <c r="AF19" s="35">
        <f t="shared" si="16"/>
        <v>0.36308668770000002</v>
      </c>
      <c r="AG19" s="35">
        <f t="shared" si="16"/>
        <v>0.82896504041095909</v>
      </c>
      <c r="AH19" s="42">
        <f t="shared" si="38"/>
        <v>6.9506751155944388E-2</v>
      </c>
      <c r="AI19" s="36">
        <f t="shared" si="39"/>
        <v>0.50478999999999996</v>
      </c>
      <c r="AJ19" s="34">
        <f t="shared" si="17"/>
        <v>0.19150265217489859</v>
      </c>
      <c r="AK19" s="35">
        <f t="shared" si="18"/>
        <v>3.7232359724999999</v>
      </c>
      <c r="AL19" s="35">
        <f t="shared" si="18"/>
        <v>0.22339415834999998</v>
      </c>
      <c r="AM19" s="35">
        <f t="shared" si="18"/>
        <v>0.51003232499999995</v>
      </c>
      <c r="AN19" s="42">
        <f t="shared" si="40"/>
        <v>0.11554428612031786</v>
      </c>
      <c r="AO19" s="36">
        <f t="shared" si="41"/>
        <v>0.51628999999999992</v>
      </c>
      <c r="AP19" s="34">
        <f t="shared" si="19"/>
        <v>0.15320212173991887</v>
      </c>
      <c r="AQ19" s="35">
        <f t="shared" si="20"/>
        <v>3.5053327650000004</v>
      </c>
      <c r="AR19" s="35">
        <f t="shared" si="20"/>
        <v>0.21031996590000002</v>
      </c>
      <c r="AS19" s="35">
        <f t="shared" si="20"/>
        <v>0.48018257054794528</v>
      </c>
      <c r="AT19" s="42">
        <f t="shared" si="42"/>
        <v>0.10890886703020335</v>
      </c>
      <c r="AU19" s="36">
        <f t="shared" si="43"/>
        <v>0.45816000000000001</v>
      </c>
      <c r="AV19" s="34">
        <f t="shared" si="21"/>
        <v>0.12766843478326573</v>
      </c>
      <c r="AW19" s="35">
        <f t="shared" si="22"/>
        <v>3.1970969249999994</v>
      </c>
      <c r="AX19" s="35">
        <f t="shared" si="22"/>
        <v>0.19182581549999997</v>
      </c>
      <c r="AY19" s="35">
        <f t="shared" si="22"/>
        <v>0.43795848287671224</v>
      </c>
      <c r="AZ19" s="42">
        <f t="shared" si="44"/>
        <v>0.14127811514503896</v>
      </c>
      <c r="BA19" s="36">
        <f t="shared" si="45"/>
        <v>0.54206999999999994</v>
      </c>
      <c r="BB19" s="34">
        <f t="shared" si="23"/>
        <v>0.10943008695708491</v>
      </c>
      <c r="BC19" s="35">
        <f t="shared" si="24"/>
        <v>2.3031696599999996</v>
      </c>
      <c r="BD19" s="35">
        <f t="shared" si="24"/>
        <v>0.13819017959999996</v>
      </c>
      <c r="BE19" s="35">
        <f t="shared" si="24"/>
        <v>0.31550269315068485</v>
      </c>
      <c r="BF19" s="42">
        <f t="shared" si="46"/>
        <v>0.2094693351856676</v>
      </c>
      <c r="BG19" s="36">
        <f t="shared" si="47"/>
        <v>0.57899</v>
      </c>
      <c r="BH19" s="34">
        <f t="shared" si="25"/>
        <v>9.5751326087449296E-2</v>
      </c>
      <c r="BI19" s="35">
        <f t="shared" si="26"/>
        <v>1.5541112399999994</v>
      </c>
      <c r="BJ19" s="35">
        <f t="shared" si="26"/>
        <v>9.3246674399999965E-2</v>
      </c>
      <c r="BK19" s="35">
        <f t="shared" si="26"/>
        <v>0.21289195068493144</v>
      </c>
      <c r="BL19" s="42">
        <f t="shared" si="48"/>
        <v>0.36901647079008337</v>
      </c>
      <c r="BM19" s="36">
        <f t="shared" si="49"/>
        <v>0.68825999999999998</v>
      </c>
      <c r="BN19" s="34">
        <f t="shared" si="27"/>
        <v>8.511228985551049E-2</v>
      </c>
      <c r="BO19" s="35">
        <f t="shared" si="28"/>
        <v>2.5253391075000002</v>
      </c>
      <c r="BP19" s="35">
        <f t="shared" si="28"/>
        <v>0.15152034645000001</v>
      </c>
      <c r="BQ19" s="35">
        <f t="shared" si="28"/>
        <v>0.34593686404109592</v>
      </c>
      <c r="BR19" s="42">
        <f t="shared" si="50"/>
        <v>0.16168488571984782</v>
      </c>
      <c r="BS19" s="36">
        <f t="shared" si="51"/>
        <v>0.49001999999999996</v>
      </c>
      <c r="BT19" s="34">
        <f t="shared" si="29"/>
        <v>7.6601060869959436E-2</v>
      </c>
      <c r="BU19" s="35">
        <f t="shared" si="30"/>
        <v>2.1309535499999996</v>
      </c>
      <c r="BV19" s="35">
        <f t="shared" si="30"/>
        <v>0.12785721299999997</v>
      </c>
      <c r="BW19" s="35">
        <f t="shared" si="30"/>
        <v>0.2919114452054794</v>
      </c>
      <c r="BX19" s="42">
        <f t="shared" si="52"/>
        <v>0.18002267928364749</v>
      </c>
      <c r="BY19" s="36">
        <f t="shared" si="53"/>
        <v>0.46038999999999997</v>
      </c>
      <c r="BZ19" s="34">
        <f t="shared" si="31"/>
        <v>5.1067373913306291E-2</v>
      </c>
      <c r="CA19" s="35">
        <f t="shared" si="32"/>
        <v>1.8853364474999994</v>
      </c>
      <c r="CB19" s="35">
        <f t="shared" si="32"/>
        <v>0.11312018684999996</v>
      </c>
      <c r="CC19" s="35">
        <f t="shared" si="32"/>
        <v>0.25826526678082184</v>
      </c>
      <c r="CD19" s="42">
        <f t="shared" si="54"/>
        <v>0.42388724625767371</v>
      </c>
      <c r="CE19" s="36">
        <f t="shared" si="55"/>
        <v>0.95909999999999995</v>
      </c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19712.7</v>
      </c>
      <c r="D20">
        <v>77142.3</v>
      </c>
      <c r="E20">
        <v>7633.3</v>
      </c>
      <c r="F20">
        <f t="shared" si="60"/>
        <v>7.7142300000000006</v>
      </c>
      <c r="G20">
        <f t="shared" si="61"/>
        <v>1.9712700000000001</v>
      </c>
      <c r="H20">
        <f t="shared" si="62"/>
        <v>5.7429600000000001</v>
      </c>
      <c r="I20">
        <f t="shared" ref="I20:I29" si="64">E20/10000</f>
        <v>0.76333000000000006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0.97677309894363684</v>
      </c>
      <c r="P20" s="4">
        <v>3</v>
      </c>
      <c r="Q20" s="5">
        <f t="shared" ref="Q20:R29" si="67">H20</f>
        <v>5.7429600000000001</v>
      </c>
      <c r="R20" s="5">
        <f t="shared" si="67"/>
        <v>0.76333000000000006</v>
      </c>
      <c r="S20" s="5">
        <f t="shared" ref="S20:S29" si="68">Q20/10^6*$Z$4*$Z$3/P20*10^12</f>
        <v>6.3804285600000004</v>
      </c>
      <c r="T20" s="5">
        <f t="shared" ref="T20:T29" si="69">S20*0.06</f>
        <v>0.38282571360000001</v>
      </c>
      <c r="U20" s="5">
        <f t="shared" ref="U20:U29" si="70">S20/$Z$1</f>
        <v>0.87403130958904118</v>
      </c>
      <c r="V20" s="5">
        <f t="shared" si="63"/>
        <v>0.97677309894363684</v>
      </c>
      <c r="W20" s="19"/>
      <c r="X20" s="34">
        <f t="shared" si="12"/>
        <v>0.27688071320084778</v>
      </c>
      <c r="Y20" s="35">
        <f t="shared" si="13"/>
        <v>10.768339724999997</v>
      </c>
      <c r="Z20" s="35">
        <f t="shared" si="13"/>
        <v>0.64610038349999976</v>
      </c>
      <c r="AA20" s="35">
        <f t="shared" si="13"/>
        <v>1.4751150308219174</v>
      </c>
      <c r="AB20" s="42">
        <f t="shared" si="37"/>
        <v>3.2573723429774139E-2</v>
      </c>
      <c r="AC20" s="36">
        <f t="shared" si="14"/>
        <v>0.42096000000000006</v>
      </c>
      <c r="AD20" s="34">
        <f t="shared" si="15"/>
        <v>0.18458714213389851</v>
      </c>
      <c r="AE20" s="35">
        <f t="shared" si="16"/>
        <v>4.9205245649999991</v>
      </c>
      <c r="AF20" s="35">
        <f t="shared" si="16"/>
        <v>0.29523147389999993</v>
      </c>
      <c r="AG20" s="35">
        <f t="shared" si="16"/>
        <v>0.67404446095890402</v>
      </c>
      <c r="AH20" s="42">
        <f t="shared" si="38"/>
        <v>9.4684025319971152E-2</v>
      </c>
      <c r="AI20" s="36">
        <f t="shared" si="39"/>
        <v>0.55913000000000002</v>
      </c>
      <c r="AJ20" s="34">
        <f t="shared" si="17"/>
        <v>0.13844035660042389</v>
      </c>
      <c r="AK20" s="35">
        <f t="shared" si="18"/>
        <v>3.8179265025000002</v>
      </c>
      <c r="AL20" s="35">
        <f t="shared" si="18"/>
        <v>0.22907559015000001</v>
      </c>
      <c r="AM20" s="35">
        <f t="shared" si="18"/>
        <v>0.52300363047945209</v>
      </c>
      <c r="AN20" s="42">
        <f t="shared" si="40"/>
        <v>0.12091523951488116</v>
      </c>
      <c r="AO20" s="36">
        <f t="shared" si="41"/>
        <v>0.55403000000000002</v>
      </c>
      <c r="AP20" s="34">
        <f t="shared" si="19"/>
        <v>0.11075228528033911</v>
      </c>
      <c r="AQ20" s="35">
        <f t="shared" si="20"/>
        <v>1.8791204024999999</v>
      </c>
      <c r="AR20" s="35">
        <f t="shared" si="20"/>
        <v>0.11274722414999999</v>
      </c>
      <c r="AS20" s="35">
        <f t="shared" si="20"/>
        <v>0.25741375376712328</v>
      </c>
      <c r="AT20" s="42">
        <f t="shared" si="42"/>
        <v>0.20736352470102029</v>
      </c>
      <c r="AU20" s="36">
        <f t="shared" si="43"/>
        <v>0.46763999999999994</v>
      </c>
      <c r="AV20" s="34">
        <f t="shared" si="21"/>
        <v>9.2293571066949256E-2</v>
      </c>
      <c r="AW20" s="35">
        <f t="shared" si="22"/>
        <v>2.3860780350000002</v>
      </c>
      <c r="AX20" s="35">
        <f t="shared" si="22"/>
        <v>0.1431646821</v>
      </c>
      <c r="AY20" s="35">
        <f t="shared" si="22"/>
        <v>0.3268600047945206</v>
      </c>
      <c r="AZ20" s="42">
        <f t="shared" si="44"/>
        <v>0.16457022328693455</v>
      </c>
      <c r="BA20" s="36">
        <f t="shared" si="45"/>
        <v>0.47126000000000001</v>
      </c>
      <c r="BB20" s="34">
        <f t="shared" si="23"/>
        <v>7.9108775200242218E-2</v>
      </c>
      <c r="BC20" s="35">
        <f t="shared" si="24"/>
        <v>1.2966203249999997</v>
      </c>
      <c r="BD20" s="35">
        <f t="shared" si="24"/>
        <v>7.7797219499999973E-2</v>
      </c>
      <c r="BE20" s="35">
        <f t="shared" si="24"/>
        <v>0.17761922260273968</v>
      </c>
      <c r="BF20" s="42">
        <f t="shared" si="46"/>
        <v>0.25538204485572907</v>
      </c>
      <c r="BG20" s="36">
        <f t="shared" si="47"/>
        <v>0.39739999999999998</v>
      </c>
      <c r="BH20" s="34">
        <f t="shared" si="25"/>
        <v>6.9220178300211946E-2</v>
      </c>
      <c r="BI20" s="35">
        <f t="shared" si="26"/>
        <v>0.94103088750000041</v>
      </c>
      <c r="BJ20" s="35">
        <f t="shared" si="26"/>
        <v>5.646185325000002E-2</v>
      </c>
      <c r="BK20" s="35">
        <f t="shared" si="26"/>
        <v>0.12890834075342472</v>
      </c>
      <c r="BL20" s="42">
        <f t="shared" si="48"/>
        <v>0.61158188338424724</v>
      </c>
      <c r="BM20" s="36">
        <f t="shared" si="49"/>
        <v>0.69068999999999992</v>
      </c>
      <c r="BN20" s="34">
        <f t="shared" si="27"/>
        <v>6.1529047377966169E-2</v>
      </c>
      <c r="BO20" s="35">
        <f t="shared" si="28"/>
        <v>1.7673482474999997</v>
      </c>
      <c r="BP20" s="35">
        <f t="shared" si="28"/>
        <v>0.10604089484999998</v>
      </c>
      <c r="BQ20" s="35">
        <f t="shared" si="28"/>
        <v>0.24210249965753422</v>
      </c>
      <c r="BR20" s="42">
        <f t="shared" si="50"/>
        <v>0.24376364313564639</v>
      </c>
      <c r="BS20" s="36">
        <f t="shared" si="51"/>
        <v>0.51702999999999999</v>
      </c>
      <c r="BT20" s="34">
        <f t="shared" si="29"/>
        <v>5.5376142640169553E-2</v>
      </c>
      <c r="BU20" s="35">
        <f t="shared" si="30"/>
        <v>2.1506015850000004</v>
      </c>
      <c r="BV20" s="35">
        <f t="shared" si="30"/>
        <v>0.12903609510000003</v>
      </c>
      <c r="BW20" s="35">
        <f t="shared" si="30"/>
        <v>0.29460295684931515</v>
      </c>
      <c r="BX20" s="42">
        <f t="shared" si="52"/>
        <v>0.19414330990553971</v>
      </c>
      <c r="BY20" s="36">
        <f t="shared" si="53"/>
        <v>0.50107999999999997</v>
      </c>
      <c r="BZ20" s="34">
        <f t="shared" si="31"/>
        <v>3.6917428426779704E-2</v>
      </c>
      <c r="CA20" s="35">
        <f t="shared" si="32"/>
        <v>1.1475685650000003</v>
      </c>
      <c r="CB20" s="35">
        <f t="shared" si="32"/>
        <v>6.8854113900000014E-2</v>
      </c>
      <c r="CC20" s="35">
        <f t="shared" si="32"/>
        <v>0.15720117328767128</v>
      </c>
      <c r="CD20" s="42">
        <f t="shared" si="54"/>
        <v>0.34065000508270277</v>
      </c>
      <c r="CE20" s="36">
        <f t="shared" si="55"/>
        <v>0.46915000000000001</v>
      </c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7402.6</v>
      </c>
      <c r="D21">
        <v>72706.399999999994</v>
      </c>
      <c r="E21">
        <v>5536.8</v>
      </c>
      <c r="F21">
        <f t="shared" si="60"/>
        <v>7.2706399999999993</v>
      </c>
      <c r="G21">
        <f t="shared" si="61"/>
        <v>0.74026000000000003</v>
      </c>
      <c r="H21">
        <f t="shared" si="62"/>
        <v>6.5303799999999992</v>
      </c>
      <c r="I21">
        <f t="shared" si="64"/>
        <v>0.55368000000000006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0.84265601523038958</v>
      </c>
      <c r="P21" s="4">
        <v>3</v>
      </c>
      <c r="Q21" s="5">
        <f t="shared" si="67"/>
        <v>6.5303799999999992</v>
      </c>
      <c r="R21" s="5">
        <f t="shared" si="67"/>
        <v>0.55368000000000006</v>
      </c>
      <c r="S21" s="5">
        <f t="shared" si="68"/>
        <v>7.2552521799999994</v>
      </c>
      <c r="T21" s="5">
        <f t="shared" si="69"/>
        <v>0.43531513079999995</v>
      </c>
      <c r="U21" s="5">
        <f t="shared" si="70"/>
        <v>0.99387016164383557</v>
      </c>
      <c r="V21" s="5">
        <f t="shared" si="63"/>
        <v>0.84265601523038958</v>
      </c>
      <c r="W21" s="19"/>
      <c r="X21" s="34">
        <f t="shared" si="12"/>
        <v>0.23219647994067658</v>
      </c>
      <c r="Y21" s="35">
        <f t="shared" si="13"/>
        <v>9.5972001840000019</v>
      </c>
      <c r="Z21" s="35">
        <f t="shared" si="13"/>
        <v>0.57583201104000004</v>
      </c>
      <c r="AA21" s="35">
        <f t="shared" si="13"/>
        <v>1.3146849567123291</v>
      </c>
      <c r="AB21" s="42">
        <f t="shared" si="37"/>
        <v>3.5874237006537364E-2</v>
      </c>
      <c r="AC21" s="36">
        <f t="shared" si="14"/>
        <v>0.51649</v>
      </c>
      <c r="AD21" s="34">
        <f t="shared" si="15"/>
        <v>0.15479765329378439</v>
      </c>
      <c r="AE21" s="35">
        <f t="shared" si="16"/>
        <v>4.579608659999999</v>
      </c>
      <c r="AF21" s="35">
        <f t="shared" si="16"/>
        <v>0.27477651959999994</v>
      </c>
      <c r="AG21" s="35">
        <f t="shared" si="16"/>
        <v>0.62734365205479437</v>
      </c>
      <c r="AH21" s="42">
        <f t="shared" si="38"/>
        <v>7.0226052022532431E-2</v>
      </c>
      <c r="AI21" s="36">
        <f t="shared" si="39"/>
        <v>0.48246000000000006</v>
      </c>
      <c r="AJ21" s="34">
        <f t="shared" si="17"/>
        <v>0.11609823997033829</v>
      </c>
      <c r="AK21" s="35">
        <f t="shared" si="18"/>
        <v>2.4167516339999997</v>
      </c>
      <c r="AL21" s="35">
        <f t="shared" si="18"/>
        <v>0.14500509803999997</v>
      </c>
      <c r="AM21" s="35">
        <f t="shared" si="18"/>
        <v>0.33106186767123286</v>
      </c>
      <c r="AN21" s="42">
        <f t="shared" si="40"/>
        <v>0.15285933763436116</v>
      </c>
      <c r="AO21" s="36">
        <f t="shared" si="41"/>
        <v>0.55418999999999996</v>
      </c>
      <c r="AP21" s="34">
        <f t="shared" si="19"/>
        <v>9.287859197627063E-2</v>
      </c>
      <c r="AQ21" s="35">
        <f t="shared" si="20"/>
        <v>1.9162283579999999</v>
      </c>
      <c r="AR21" s="35">
        <f t="shared" si="20"/>
        <v>0.11497370148</v>
      </c>
      <c r="AS21" s="35">
        <f t="shared" si="20"/>
        <v>0.26249703534246577</v>
      </c>
      <c r="AT21" s="42">
        <f t="shared" si="42"/>
        <v>0.15730720127459885</v>
      </c>
      <c r="AU21" s="36">
        <f t="shared" si="43"/>
        <v>0.45219999999999999</v>
      </c>
      <c r="AV21" s="34">
        <f t="shared" si="21"/>
        <v>7.7398826646892196E-2</v>
      </c>
      <c r="AW21" s="35">
        <f t="shared" si="22"/>
        <v>0.78968102399999995</v>
      </c>
      <c r="AX21" s="35">
        <f t="shared" si="22"/>
        <v>4.7380861439999998E-2</v>
      </c>
      <c r="AY21" s="35">
        <f t="shared" si="22"/>
        <v>0.10817548273972602</v>
      </c>
      <c r="AZ21" s="42">
        <f t="shared" si="44"/>
        <v>0.44636345218800655</v>
      </c>
      <c r="BA21" s="36">
        <f t="shared" si="45"/>
        <v>0.52878000000000003</v>
      </c>
      <c r="BB21" s="34">
        <f t="shared" si="23"/>
        <v>6.6341851411621869E-2</v>
      </c>
      <c r="BC21" s="35">
        <f t="shared" si="24"/>
        <v>1.4507615760000003</v>
      </c>
      <c r="BD21" s="35">
        <f t="shared" si="24"/>
        <v>8.7045694560000011E-2</v>
      </c>
      <c r="BE21" s="35">
        <f t="shared" si="24"/>
        <v>0.19873446246575346</v>
      </c>
      <c r="BF21" s="42">
        <f t="shared" si="46"/>
        <v>0.20127184840743256</v>
      </c>
      <c r="BG21" s="36">
        <f t="shared" si="47"/>
        <v>0.43803999999999998</v>
      </c>
      <c r="BH21" s="34">
        <f t="shared" si="25"/>
        <v>5.8049119985169144E-2</v>
      </c>
      <c r="BI21" s="35">
        <f t="shared" si="26"/>
        <v>1.3490984099999999</v>
      </c>
      <c r="BJ21" s="35">
        <f t="shared" si="26"/>
        <v>8.0945904599999993E-2</v>
      </c>
      <c r="BK21" s="35">
        <f t="shared" si="26"/>
        <v>0.184808001369863</v>
      </c>
      <c r="BL21" s="42">
        <f t="shared" si="48"/>
        <v>0.3198458383773502</v>
      </c>
      <c r="BM21" s="36">
        <f t="shared" si="49"/>
        <v>0.64732000000000001</v>
      </c>
      <c r="BN21" s="34">
        <f t="shared" si="27"/>
        <v>5.1599217764594786E-2</v>
      </c>
      <c r="BO21" s="35">
        <f t="shared" si="28"/>
        <v>1.1758957320000003</v>
      </c>
      <c r="BP21" s="35">
        <f t="shared" si="28"/>
        <v>7.0553743920000009E-2</v>
      </c>
      <c r="BQ21" s="35">
        <f t="shared" si="28"/>
        <v>0.16108160712328773</v>
      </c>
      <c r="BR21" s="42">
        <f t="shared" si="50"/>
        <v>0.32379451480141941</v>
      </c>
      <c r="BS21" s="36">
        <f t="shared" si="51"/>
        <v>0.57118000000000002</v>
      </c>
      <c r="BT21" s="34">
        <f t="shared" si="29"/>
        <v>4.6439295988135315E-2</v>
      </c>
      <c r="BU21" s="35">
        <f t="shared" si="30"/>
        <v>0.50062326599999984</v>
      </c>
      <c r="BV21" s="35">
        <f t="shared" si="30"/>
        <v>3.0037395959999991E-2</v>
      </c>
      <c r="BW21" s="35">
        <f t="shared" si="30"/>
        <v>6.8578529589041079E-2</v>
      </c>
      <c r="BX21" s="42">
        <f t="shared" si="52"/>
        <v>0.64356000585877726</v>
      </c>
      <c r="BY21" s="36">
        <f t="shared" si="53"/>
        <v>0.48331999999999997</v>
      </c>
      <c r="BZ21" s="34">
        <f t="shared" si="31"/>
        <v>3.0959530658756878E-2</v>
      </c>
      <c r="CA21" s="35">
        <f t="shared" si="32"/>
        <v>1.0624070820000002</v>
      </c>
      <c r="CB21" s="35">
        <f t="shared" si="32"/>
        <v>6.3744424920000015E-2</v>
      </c>
      <c r="CC21" s="35">
        <f t="shared" si="32"/>
        <v>0.1455352167123288</v>
      </c>
      <c r="CD21" s="42">
        <f t="shared" si="54"/>
        <v>0.35671395496213382</v>
      </c>
      <c r="CE21" s="36">
        <f t="shared" si="55"/>
        <v>0.56852000000000003</v>
      </c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26453.200000000001</v>
      </c>
      <c r="D22">
        <v>88089</v>
      </c>
      <c r="E22">
        <v>3773.6</v>
      </c>
      <c r="F22">
        <f t="shared" si="60"/>
        <v>8.8088999999999995</v>
      </c>
      <c r="G22">
        <f t="shared" si="61"/>
        <v>2.6453199999999999</v>
      </c>
      <c r="H22">
        <f t="shared" si="62"/>
        <v>6.1635799999999996</v>
      </c>
      <c r="I22">
        <f t="shared" si="64"/>
        <v>0.37735999999999997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0.51037627788279316</v>
      </c>
      <c r="P22" s="4">
        <v>3</v>
      </c>
      <c r="Q22" s="5">
        <f t="shared" si="67"/>
        <v>6.1635799999999996</v>
      </c>
      <c r="R22" s="5">
        <f t="shared" si="67"/>
        <v>0.37735999999999997</v>
      </c>
      <c r="S22" s="5">
        <f t="shared" si="68"/>
        <v>6.8477373800000008</v>
      </c>
      <c r="T22" s="5">
        <f t="shared" si="69"/>
        <v>0.41086424280000006</v>
      </c>
      <c r="U22" s="5">
        <f t="shared" si="70"/>
        <v>0.93804621643835628</v>
      </c>
      <c r="V22" s="5">
        <f t="shared" si="63"/>
        <v>0.51037627788279316</v>
      </c>
      <c r="W22" s="19"/>
      <c r="X22" s="34">
        <f t="shared" si="12"/>
        <v>0.18713385202155799</v>
      </c>
      <c r="Y22" s="35">
        <f t="shared" si="13"/>
        <v>8.4475009987499998</v>
      </c>
      <c r="Z22" s="35">
        <f t="shared" si="13"/>
        <v>0.50685005992499998</v>
      </c>
      <c r="AA22" s="35">
        <f t="shared" si="13"/>
        <v>1.1571919176369863</v>
      </c>
      <c r="AB22" s="42">
        <f t="shared" si="37"/>
        <v>3.6626499368959307E-2</v>
      </c>
      <c r="AC22" s="36">
        <f t="shared" si="14"/>
        <v>0.74263999999999997</v>
      </c>
      <c r="AD22" s="34">
        <f t="shared" si="15"/>
        <v>0.12475590134770533</v>
      </c>
      <c r="AE22" s="35">
        <f t="shared" si="16"/>
        <v>2.7251232937500003</v>
      </c>
      <c r="AF22" s="35">
        <f t="shared" si="16"/>
        <v>0.16350739762500002</v>
      </c>
      <c r="AG22" s="35">
        <f t="shared" si="16"/>
        <v>0.37330456078767127</v>
      </c>
      <c r="AH22" s="42">
        <f t="shared" si="38"/>
        <v>0.13216275923222165</v>
      </c>
      <c r="AI22" s="36">
        <f t="shared" si="39"/>
        <v>0.86447000000000007</v>
      </c>
      <c r="AJ22" s="34">
        <f t="shared" si="17"/>
        <v>9.3566926010778997E-2</v>
      </c>
      <c r="AK22" s="35">
        <f t="shared" si="18"/>
        <v>1.8999599850000004</v>
      </c>
      <c r="AL22" s="35">
        <f t="shared" si="18"/>
        <v>0.11399759910000001</v>
      </c>
      <c r="AM22" s="35">
        <f t="shared" si="18"/>
        <v>0.26026849109589045</v>
      </c>
      <c r="AN22" s="42">
        <f t="shared" si="40"/>
        <v>0.15946767360471542</v>
      </c>
      <c r="AO22" s="36">
        <f t="shared" si="41"/>
        <v>0.72723000000000004</v>
      </c>
      <c r="AP22" s="34">
        <f t="shared" si="19"/>
        <v>7.4853540808623206E-2</v>
      </c>
      <c r="AQ22" s="35">
        <f t="shared" si="20"/>
        <v>0.97476501375000002</v>
      </c>
      <c r="AR22" s="35">
        <f t="shared" si="20"/>
        <v>5.8485900824999999E-2</v>
      </c>
      <c r="AS22" s="35">
        <f t="shared" si="20"/>
        <v>0.13352945393835616</v>
      </c>
      <c r="AT22" s="42">
        <f t="shared" si="42"/>
        <v>0.30466689746844644</v>
      </c>
      <c r="AU22" s="36">
        <f t="shared" si="43"/>
        <v>0.71282000000000001</v>
      </c>
      <c r="AV22" s="34">
        <f t="shared" si="21"/>
        <v>6.2377950673852663E-2</v>
      </c>
      <c r="AW22" s="35">
        <f t="shared" si="22"/>
        <v>1.2197321812500002</v>
      </c>
      <c r="AX22" s="35">
        <f t="shared" si="22"/>
        <v>7.3183930875000011E-2</v>
      </c>
      <c r="AY22" s="35">
        <f t="shared" si="22"/>
        <v>0.16708660017123289</v>
      </c>
      <c r="AZ22" s="42">
        <f t="shared" si="44"/>
        <v>0.24806585486653113</v>
      </c>
      <c r="BA22" s="36">
        <f t="shared" si="45"/>
        <v>0.72624999999999995</v>
      </c>
      <c r="BB22" s="34">
        <f t="shared" si="23"/>
        <v>5.3466814863302285E-2</v>
      </c>
      <c r="BC22" s="35">
        <f t="shared" si="24"/>
        <v>0.66567092624999968</v>
      </c>
      <c r="BD22" s="35">
        <f t="shared" si="24"/>
        <v>3.9940255574999979E-2</v>
      </c>
      <c r="BE22" s="35">
        <f t="shared" si="24"/>
        <v>9.1187798116438318E-2</v>
      </c>
      <c r="BF22" s="42">
        <f t="shared" si="46"/>
        <v>0.40408819792585937</v>
      </c>
      <c r="BG22" s="36">
        <f t="shared" si="47"/>
        <v>0.64563999999999999</v>
      </c>
      <c r="BH22" s="34">
        <f t="shared" si="25"/>
        <v>4.6783463005389499E-2</v>
      </c>
      <c r="BI22" s="35">
        <f t="shared" si="26"/>
        <v>1.0082325000000003</v>
      </c>
      <c r="BJ22" s="35">
        <f t="shared" si="26"/>
        <v>6.0493950000000019E-2</v>
      </c>
      <c r="BK22" s="35">
        <f t="shared" si="26"/>
        <v>0.13811404109589046</v>
      </c>
      <c r="BL22" s="42">
        <f t="shared" si="48"/>
        <v>0.29155785123966937</v>
      </c>
      <c r="BM22" s="36">
        <f t="shared" si="49"/>
        <v>0.70557000000000003</v>
      </c>
      <c r="BN22" s="34">
        <f t="shared" si="27"/>
        <v>4.1585300449235113E-2</v>
      </c>
      <c r="BO22" s="35">
        <f t="shared" si="28"/>
        <v>0.71544094874999997</v>
      </c>
      <c r="BP22" s="35">
        <f t="shared" si="28"/>
        <v>4.2926456924999995E-2</v>
      </c>
      <c r="BQ22" s="35">
        <f t="shared" si="28"/>
        <v>9.8005609417808212E-2</v>
      </c>
      <c r="BR22" s="42">
        <f t="shared" si="50"/>
        <v>0.35047722203781673</v>
      </c>
      <c r="BS22" s="36">
        <f t="shared" si="51"/>
        <v>0.60185</v>
      </c>
      <c r="BT22" s="34">
        <f t="shared" si="29"/>
        <v>3.7426770404311603E-2</v>
      </c>
      <c r="BU22" s="35">
        <f t="shared" si="30"/>
        <v>1.3621721025</v>
      </c>
      <c r="BV22" s="35">
        <f t="shared" si="30"/>
        <v>8.1730326149999991E-2</v>
      </c>
      <c r="BW22" s="35">
        <f t="shared" si="30"/>
        <v>0.18659891815068494</v>
      </c>
      <c r="BX22" s="42">
        <f t="shared" si="52"/>
        <v>0.20379319414963573</v>
      </c>
      <c r="BY22" s="36">
        <f t="shared" si="53"/>
        <v>0.66631000000000007</v>
      </c>
      <c r="BZ22" s="34">
        <f t="shared" si="31"/>
        <v>2.495118026954107E-2</v>
      </c>
      <c r="CA22" s="35">
        <f t="shared" si="32"/>
        <v>0.58257506999999997</v>
      </c>
      <c r="CB22" s="35">
        <f t="shared" si="32"/>
        <v>3.49545042E-2</v>
      </c>
      <c r="CC22" s="35">
        <f t="shared" si="32"/>
        <v>7.9804804109589039E-2</v>
      </c>
      <c r="CD22" s="42">
        <f t="shared" si="54"/>
        <v>0.51996681732364558</v>
      </c>
      <c r="CE22" s="36">
        <f t="shared" si="55"/>
        <v>0.72708000000000006</v>
      </c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14303</v>
      </c>
      <c r="D23">
        <v>88600.3</v>
      </c>
      <c r="E23">
        <v>4453.3</v>
      </c>
      <c r="F23">
        <f t="shared" si="60"/>
        <v>8.8600300000000001</v>
      </c>
      <c r="G23">
        <f t="shared" si="61"/>
        <v>1.4302999999999999</v>
      </c>
      <c r="H23">
        <f t="shared" si="62"/>
        <v>7.4297300000000002</v>
      </c>
      <c r="I23">
        <f t="shared" si="64"/>
        <v>0.44533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0.36888126675786287</v>
      </c>
      <c r="P23" s="4">
        <v>3</v>
      </c>
      <c r="Q23" s="5">
        <f t="shared" si="67"/>
        <v>7.4297300000000002</v>
      </c>
      <c r="R23" s="5">
        <f t="shared" si="67"/>
        <v>0.44533</v>
      </c>
      <c r="S23" s="5">
        <f t="shared" si="68"/>
        <v>8.2544300300000018</v>
      </c>
      <c r="T23" s="5">
        <f t="shared" si="69"/>
        <v>0.49526580180000007</v>
      </c>
      <c r="U23" s="5">
        <f t="shared" si="70"/>
        <v>1.1307438397260277</v>
      </c>
      <c r="V23" s="5">
        <f t="shared" si="63"/>
        <v>0.36888126675786287</v>
      </c>
      <c r="W23" s="19"/>
      <c r="X23" s="34">
        <f t="shared" si="12"/>
        <v>0.13400997792730077</v>
      </c>
      <c r="Y23" s="35">
        <f t="shared" si="13"/>
        <v>4.7116954499999997</v>
      </c>
      <c r="Z23" s="35">
        <f t="shared" si="13"/>
        <v>0.28270172699999996</v>
      </c>
      <c r="AA23" s="35">
        <f t="shared" si="13"/>
        <v>0.64543773287671224</v>
      </c>
      <c r="AB23" s="42">
        <f t="shared" si="37"/>
        <v>8.7281151628762446E-2</v>
      </c>
      <c r="AC23" s="36">
        <f t="shared" si="14"/>
        <v>1.7273900000000002</v>
      </c>
      <c r="AD23" s="34">
        <f t="shared" si="15"/>
        <v>8.9339985284867182E-2</v>
      </c>
      <c r="AE23" s="35">
        <f t="shared" si="16"/>
        <v>1.4286618814285716</v>
      </c>
      <c r="AF23" s="35">
        <f t="shared" si="16"/>
        <v>8.5719712885714297E-2</v>
      </c>
      <c r="AG23" s="35">
        <f t="shared" si="16"/>
        <v>0.19570710704500982</v>
      </c>
      <c r="AH23" s="42">
        <f t="shared" si="38"/>
        <v>0.1880176237881146</v>
      </c>
      <c r="AI23" s="36">
        <f t="shared" si="39"/>
        <v>1.12829</v>
      </c>
      <c r="AJ23" s="34">
        <f t="shared" si="17"/>
        <v>6.7004988963650383E-2</v>
      </c>
      <c r="AK23" s="35">
        <f t="shared" si="18"/>
        <v>1.4792806285714282</v>
      </c>
      <c r="AL23" s="35">
        <f t="shared" si="18"/>
        <v>8.8756837714285691E-2</v>
      </c>
      <c r="AM23" s="35">
        <f t="shared" si="18"/>
        <v>0.20264118199608605</v>
      </c>
      <c r="AN23" s="42">
        <f t="shared" si="40"/>
        <v>0.17717587228015969</v>
      </c>
      <c r="AO23" s="36">
        <f t="shared" si="41"/>
        <v>1.1009</v>
      </c>
      <c r="AP23" s="34">
        <f t="shared" si="19"/>
        <v>5.3603991170920316E-2</v>
      </c>
      <c r="AQ23" s="35">
        <f t="shared" si="20"/>
        <v>0.72924373499999995</v>
      </c>
      <c r="AR23" s="35">
        <f t="shared" si="20"/>
        <v>4.3754624099999993E-2</v>
      </c>
      <c r="AS23" s="35">
        <f t="shared" si="20"/>
        <v>9.9896402054794511E-2</v>
      </c>
      <c r="AT23" s="42">
        <f t="shared" si="42"/>
        <v>0.32473646237671921</v>
      </c>
      <c r="AU23" s="36">
        <f t="shared" si="43"/>
        <v>0.99470999999999998</v>
      </c>
      <c r="AV23" s="34">
        <f t="shared" si="21"/>
        <v>4.4669992642433591E-2</v>
      </c>
      <c r="AW23" s="35">
        <f t="shared" si="22"/>
        <v>0.89758404214285714</v>
      </c>
      <c r="AX23" s="35">
        <f t="shared" si="22"/>
        <v>5.3855042528571428E-2</v>
      </c>
      <c r="AY23" s="35">
        <f t="shared" si="22"/>
        <v>0.12295671810176126</v>
      </c>
      <c r="AZ23" s="42">
        <f t="shared" si="44"/>
        <v>0.22844494898189238</v>
      </c>
      <c r="BA23" s="36">
        <f t="shared" si="45"/>
        <v>0.86129</v>
      </c>
      <c r="BB23" s="34">
        <f t="shared" si="23"/>
        <v>3.8288565122085935E-2</v>
      </c>
      <c r="BC23" s="35">
        <f t="shared" si="24"/>
        <v>0.72405377785714287</v>
      </c>
      <c r="BD23" s="35">
        <f t="shared" si="24"/>
        <v>4.3443226671428567E-2</v>
      </c>
      <c r="BE23" s="35">
        <f t="shared" si="24"/>
        <v>9.9185449021526428E-2</v>
      </c>
      <c r="BF23" s="42">
        <f t="shared" si="46"/>
        <v>0.27995975444953364</v>
      </c>
      <c r="BG23" s="36">
        <f t="shared" si="47"/>
        <v>0.85145000000000004</v>
      </c>
      <c r="BH23" s="34">
        <f t="shared" si="25"/>
        <v>3.3502494481825192E-2</v>
      </c>
      <c r="BI23" s="35">
        <f t="shared" si="26"/>
        <v>0.93714437142857143</v>
      </c>
      <c r="BJ23" s="35">
        <f t="shared" si="26"/>
        <v>5.6228662285714284E-2</v>
      </c>
      <c r="BK23" s="35">
        <f t="shared" si="26"/>
        <v>0.12837594129158514</v>
      </c>
      <c r="BL23" s="42">
        <f t="shared" si="48"/>
        <v>0.14582105477085663</v>
      </c>
      <c r="BM23" s="36">
        <f t="shared" si="49"/>
        <v>0.57401000000000002</v>
      </c>
      <c r="BN23" s="34">
        <f t="shared" si="27"/>
        <v>2.9779995094955727E-2</v>
      </c>
      <c r="BO23" s="35">
        <f t="shared" si="28"/>
        <v>0.676875162857143</v>
      </c>
      <c r="BP23" s="35">
        <f t="shared" si="28"/>
        <v>4.0612509771428579E-2</v>
      </c>
      <c r="BQ23" s="35">
        <f t="shared" si="28"/>
        <v>9.2722625048923701E-2</v>
      </c>
      <c r="BR23" s="42">
        <f t="shared" si="50"/>
        <v>0.15816556226170878</v>
      </c>
      <c r="BS23" s="36">
        <f t="shared" si="51"/>
        <v>0.44968999999999998</v>
      </c>
      <c r="BT23" s="34">
        <f t="shared" si="29"/>
        <v>2.6801995585460158E-2</v>
      </c>
      <c r="BU23" s="35">
        <f t="shared" si="30"/>
        <v>0.80212930285714301</v>
      </c>
      <c r="BV23" s="35">
        <f t="shared" si="30"/>
        <v>4.8127758171428579E-2</v>
      </c>
      <c r="BW23" s="35">
        <f t="shared" si="30"/>
        <v>0.10988072641878671</v>
      </c>
      <c r="BX23" s="42">
        <f t="shared" si="52"/>
        <v>0.18907897236204768</v>
      </c>
      <c r="BY23" s="36">
        <f t="shared" si="53"/>
        <v>0.63706000000000007</v>
      </c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24281.5</v>
      </c>
      <c r="D24">
        <v>96906.1</v>
      </c>
      <c r="E24">
        <v>5047.8999999999996</v>
      </c>
      <c r="F24">
        <f t="shared" si="60"/>
        <v>9.6906100000000013</v>
      </c>
      <c r="G24">
        <f t="shared" si="61"/>
        <v>2.42815</v>
      </c>
      <c r="H24">
        <f t="shared" si="62"/>
        <v>7.2624600000000008</v>
      </c>
      <c r="I24">
        <f t="shared" si="64"/>
        <v>0.50478999999999996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0.25533686956653145</v>
      </c>
      <c r="P24" s="4">
        <v>4</v>
      </c>
      <c r="Q24" s="5">
        <f t="shared" si="67"/>
        <v>7.2624600000000008</v>
      </c>
      <c r="R24" s="5">
        <f t="shared" si="67"/>
        <v>0.50478999999999996</v>
      </c>
      <c r="S24" s="5">
        <f t="shared" si="68"/>
        <v>6.051444795000001</v>
      </c>
      <c r="T24" s="5">
        <f t="shared" si="69"/>
        <v>0.36308668770000002</v>
      </c>
      <c r="U24" s="5">
        <f t="shared" si="70"/>
        <v>0.82896504041095909</v>
      </c>
      <c r="V24" s="5">
        <f t="shared" si="63"/>
        <v>0.25533686956653145</v>
      </c>
      <c r="W24" s="19"/>
      <c r="X24" s="37">
        <f t="shared" si="12"/>
        <v>8.6420089236338371E-2</v>
      </c>
      <c r="Y24" s="38">
        <f t="shared" si="13"/>
        <v>1.3460780771428573</v>
      </c>
      <c r="Z24" s="38">
        <f t="shared" si="13"/>
        <v>8.0764684628571434E-2</v>
      </c>
      <c r="AA24" s="38">
        <f t="shared" si="13"/>
        <v>0.18439425714285718</v>
      </c>
      <c r="AB24" s="43">
        <f t="shared" si="37"/>
        <v>0.40822931822844571</v>
      </c>
      <c r="AC24" s="39">
        <f t="shared" si="14"/>
        <v>3.46225</v>
      </c>
      <c r="AD24" s="37">
        <f t="shared" si="15"/>
        <v>5.7613392824225583E-2</v>
      </c>
      <c r="AE24" s="38">
        <f t="shared" si="16"/>
        <v>0.55616342571428579</v>
      </c>
      <c r="AF24" s="38">
        <f t="shared" si="16"/>
        <v>3.3369805542857144E-2</v>
      </c>
      <c r="AG24" s="38">
        <f t="shared" si="16"/>
        <v>7.6186770645792573E-2</v>
      </c>
      <c r="AH24" s="43">
        <f t="shared" si="38"/>
        <v>0.56344708319778103</v>
      </c>
      <c r="AI24" s="39">
        <f t="shared" si="39"/>
        <v>1.9744200000000001</v>
      </c>
      <c r="AJ24" s="37">
        <f t="shared" si="17"/>
        <v>4.3210044618169186E-2</v>
      </c>
      <c r="AK24" s="38">
        <f t="shared" si="18"/>
        <v>0.16742928714285718</v>
      </c>
      <c r="AL24" s="38">
        <f t="shared" si="18"/>
        <v>1.004575722857143E-2</v>
      </c>
      <c r="AM24" s="38">
        <f t="shared" si="18"/>
        <v>2.2935518786692765E-2</v>
      </c>
      <c r="AN24" s="43">
        <f t="shared" si="40"/>
        <v>1.429828136997469</v>
      </c>
      <c r="AO24" s="39">
        <f t="shared" si="41"/>
        <v>1.50834</v>
      </c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27969.200000000001</v>
      </c>
      <c r="D25">
        <v>87021.4</v>
      </c>
      <c r="E25">
        <v>5591.3</v>
      </c>
      <c r="F25">
        <f t="shared" si="60"/>
        <v>8.70214</v>
      </c>
      <c r="G25">
        <f t="shared" si="61"/>
        <v>2.7969200000000001</v>
      </c>
      <c r="H25">
        <f t="shared" si="62"/>
        <v>5.9052199999999999</v>
      </c>
      <c r="I25">
        <f t="shared" si="64"/>
        <v>0.55913000000000002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0.18458714213389851</v>
      </c>
      <c r="P25" s="4">
        <v>4</v>
      </c>
      <c r="Q25" s="5">
        <f t="shared" si="67"/>
        <v>5.9052199999999999</v>
      </c>
      <c r="R25" s="5">
        <f t="shared" si="67"/>
        <v>0.55913000000000002</v>
      </c>
      <c r="S25" s="5">
        <f t="shared" si="68"/>
        <v>4.9205245649999991</v>
      </c>
      <c r="T25" s="5">
        <f t="shared" si="69"/>
        <v>0.29523147389999993</v>
      </c>
      <c r="U25" s="5">
        <f t="shared" si="70"/>
        <v>0.67404446095890402</v>
      </c>
      <c r="V25" s="5">
        <f t="shared" si="63"/>
        <v>0.18458714213389851</v>
      </c>
      <c r="W25" s="19"/>
      <c r="X25" s="20"/>
      <c r="Y25" s="21"/>
      <c r="Z25" s="18"/>
      <c r="AA25" s="22">
        <f>MAX(AA14:AA24)</f>
        <v>1.8639460068493152</v>
      </c>
      <c r="AB25" s="17"/>
      <c r="AC25" s="26">
        <f>MIN(AC14:AC24)</f>
        <v>0.39823000000000003</v>
      </c>
      <c r="AG25" s="22">
        <f>MAX(AG14:AG24)</f>
        <v>1.1633281000000002</v>
      </c>
      <c r="AI25" s="26">
        <f>MIN(AI14:AI24)</f>
        <v>0.37735999999999997</v>
      </c>
      <c r="AM25" s="22">
        <f>MAX(AM14:AM24)</f>
        <v>0.93108953013698625</v>
      </c>
      <c r="AO25" s="26">
        <f>MIN(AO14:AO24)</f>
        <v>0.51628999999999992</v>
      </c>
      <c r="AS25" s="22">
        <f>MAX(AS14:AS24)</f>
        <v>0.69215452191780824</v>
      </c>
      <c r="AU25" s="26">
        <f>MIN(AU14:AU24)</f>
        <v>0.45219999999999999</v>
      </c>
      <c r="AY25" s="22">
        <f>MAX(AY14:AY24)</f>
        <v>0.74938471917808214</v>
      </c>
      <c r="BA25" s="26">
        <f>MIN(BA14:BA24)</f>
        <v>0.47126000000000001</v>
      </c>
      <c r="BE25" s="22">
        <f>MAX(BE14:BE24)</f>
        <v>0.75914173424657561</v>
      </c>
      <c r="BG25" s="26">
        <f>MIN(BG14:BG24)</f>
        <v>0.39739999999999998</v>
      </c>
      <c r="BK25" s="22">
        <f>MAX(BK14:BK24)</f>
        <v>0.84180622191780829</v>
      </c>
      <c r="BM25" s="26">
        <f>MIN(BM14:BM24)</f>
        <v>0.4995</v>
      </c>
      <c r="BQ25" s="22">
        <f>MAX(BQ14:BQ24)</f>
        <v>0.70184457260273991</v>
      </c>
      <c r="BS25" s="26">
        <f>MIN(BS14:BS24)</f>
        <v>0.39293</v>
      </c>
      <c r="BW25" s="22">
        <f>MAX(BW14:BW24)</f>
        <v>0.73048858767123281</v>
      </c>
      <c r="BY25" s="26">
        <f>MIN(BY14:BY24)</f>
        <v>0.36159999999999998</v>
      </c>
      <c r="CC25" s="22">
        <f>MAX(CC14:CC24)</f>
        <v>0.84426868493150686</v>
      </c>
      <c r="CE25" s="26">
        <f>MIN(CE14:CE24)</f>
        <v>0.46915000000000001</v>
      </c>
      <c r="CI25" s="22">
        <f>MAX(CI14:CI24)</f>
        <v>0.71673653835616435</v>
      </c>
      <c r="CK25" s="26">
        <f>MIN(CK14:CK24)</f>
        <v>0.73688999999999993</v>
      </c>
      <c r="CO25" s="22">
        <f>MAX(CO14:CO24)</f>
        <v>0.60719498219178103</v>
      </c>
      <c r="CQ25" s="26">
        <f>MIN(CQ14:CQ24)</f>
        <v>0.88112000000000013</v>
      </c>
    </row>
    <row r="26" spans="2:95" x14ac:dyDescent="0.3">
      <c r="B26">
        <v>8</v>
      </c>
      <c r="C26">
        <v>25559.5</v>
      </c>
      <c r="D26">
        <v>94260.5</v>
      </c>
      <c r="E26">
        <v>4824.6000000000004</v>
      </c>
      <c r="F26">
        <f t="shared" si="60"/>
        <v>9.42605</v>
      </c>
      <c r="G26">
        <f t="shared" si="61"/>
        <v>2.5559500000000002</v>
      </c>
      <c r="H26">
        <f t="shared" si="62"/>
        <v>6.8700999999999999</v>
      </c>
      <c r="I26">
        <f t="shared" si="64"/>
        <v>0.48246000000000006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0.15479765329378439</v>
      </c>
      <c r="P26" s="4">
        <v>5</v>
      </c>
      <c r="Q26" s="5">
        <f t="shared" si="67"/>
        <v>6.8700999999999999</v>
      </c>
      <c r="R26" s="5">
        <f t="shared" si="67"/>
        <v>0.48246000000000006</v>
      </c>
      <c r="S26" s="5">
        <f t="shared" si="68"/>
        <v>4.579608659999999</v>
      </c>
      <c r="T26" s="5">
        <f t="shared" si="69"/>
        <v>0.27477651959999994</v>
      </c>
      <c r="U26" s="5">
        <f t="shared" si="70"/>
        <v>0.62734365205479437</v>
      </c>
      <c r="V26" s="5">
        <f t="shared" si="63"/>
        <v>0.15479765329378439</v>
      </c>
      <c r="W26" s="19"/>
      <c r="X26" s="20"/>
      <c r="Y26" s="21"/>
      <c r="Z26" s="18"/>
    </row>
    <row r="27" spans="2:95" x14ac:dyDescent="0.3">
      <c r="B27">
        <v>9</v>
      </c>
      <c r="C27">
        <v>26378.3</v>
      </c>
      <c r="D27">
        <v>91787.8</v>
      </c>
      <c r="E27">
        <v>8644.7000000000007</v>
      </c>
      <c r="F27">
        <f t="shared" si="60"/>
        <v>9.1787799999999997</v>
      </c>
      <c r="G27">
        <f t="shared" si="61"/>
        <v>2.6378300000000001</v>
      </c>
      <c r="H27">
        <f t="shared" si="62"/>
        <v>6.5409499999999996</v>
      </c>
      <c r="I27">
        <f t="shared" si="64"/>
        <v>0.86447000000000007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0.12475590134770533</v>
      </c>
      <c r="P27" s="4">
        <v>8</v>
      </c>
      <c r="Q27" s="5">
        <f t="shared" si="67"/>
        <v>6.5409499999999996</v>
      </c>
      <c r="R27" s="5">
        <f t="shared" si="67"/>
        <v>0.86447000000000007</v>
      </c>
      <c r="S27" s="5">
        <f t="shared" si="68"/>
        <v>2.7251232937500003</v>
      </c>
      <c r="T27" s="5">
        <f t="shared" si="69"/>
        <v>0.16350739762500002</v>
      </c>
      <c r="U27" s="5">
        <f t="shared" si="70"/>
        <v>0.37330456078767127</v>
      </c>
      <c r="V27" s="5">
        <f t="shared" si="63"/>
        <v>0.12475590134770533</v>
      </c>
      <c r="W27" s="19"/>
      <c r="X27" s="20"/>
      <c r="Y27" s="21"/>
      <c r="Z27" s="17"/>
    </row>
    <row r="28" spans="2:95" x14ac:dyDescent="0.3">
      <c r="B28">
        <v>10</v>
      </c>
      <c r="C28">
        <v>22029.4</v>
      </c>
      <c r="D28">
        <v>82039.199999999997</v>
      </c>
      <c r="E28">
        <v>11282.9</v>
      </c>
      <c r="F28">
        <f t="shared" si="60"/>
        <v>8.2039200000000001</v>
      </c>
      <c r="G28">
        <f t="shared" si="61"/>
        <v>2.2029400000000003</v>
      </c>
      <c r="H28">
        <f t="shared" si="62"/>
        <v>6.0009800000000002</v>
      </c>
      <c r="I28">
        <f t="shared" si="64"/>
        <v>1.12829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8.9339985284867182E-2</v>
      </c>
      <c r="P28" s="4">
        <v>14</v>
      </c>
      <c r="Q28" s="5">
        <f t="shared" si="67"/>
        <v>6.0009800000000002</v>
      </c>
      <c r="R28" s="5">
        <f t="shared" si="67"/>
        <v>1.12829</v>
      </c>
      <c r="S28" s="5">
        <f t="shared" si="68"/>
        <v>1.4286618814285716</v>
      </c>
      <c r="T28" s="5">
        <f t="shared" si="69"/>
        <v>8.5719712885714297E-2</v>
      </c>
      <c r="U28" s="5">
        <f t="shared" si="70"/>
        <v>0.19570710704500982</v>
      </c>
      <c r="V28" s="5">
        <f t="shared" si="63"/>
        <v>8.9339985284867182E-2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4508.3999999999996</v>
      </c>
      <c r="D29">
        <v>39550.199999999997</v>
      </c>
      <c r="E29">
        <v>19744.2</v>
      </c>
      <c r="F29">
        <f t="shared" si="60"/>
        <v>3.9550199999999998</v>
      </c>
      <c r="G29">
        <f t="shared" si="61"/>
        <v>0.45083999999999996</v>
      </c>
      <c r="H29">
        <f t="shared" si="62"/>
        <v>3.5041799999999999</v>
      </c>
      <c r="I29">
        <f t="shared" si="64"/>
        <v>1.9744200000000001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5.7613392824225583E-2</v>
      </c>
      <c r="P29" s="7">
        <v>21</v>
      </c>
      <c r="Q29" s="6">
        <f t="shared" si="67"/>
        <v>3.5041799999999999</v>
      </c>
      <c r="R29" s="6">
        <f t="shared" si="67"/>
        <v>1.9744200000000001</v>
      </c>
      <c r="S29" s="6">
        <f t="shared" si="68"/>
        <v>0.55616342571428579</v>
      </c>
      <c r="T29" s="6">
        <f t="shared" si="69"/>
        <v>3.3369805542857144E-2</v>
      </c>
      <c r="U29" s="6">
        <f t="shared" si="70"/>
        <v>7.6186770645792573E-2</v>
      </c>
      <c r="V29" s="6">
        <f t="shared" si="63"/>
        <v>5.7613392824225583E-2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-2192.9</v>
      </c>
      <c r="D33">
        <v>58985.8</v>
      </c>
      <c r="E33">
        <v>8545.9</v>
      </c>
      <c r="F33">
        <f t="shared" ref="F33:F43" si="72">D33/10000</f>
        <v>5.8985799999999999</v>
      </c>
      <c r="G33">
        <f t="shared" ref="G33:G43" si="73">C33/10000</f>
        <v>-0.21929000000000001</v>
      </c>
      <c r="H33">
        <f t="shared" ref="H33:H43" si="74">F33-G33</f>
        <v>6.1178699999999999</v>
      </c>
      <c r="I33">
        <f>E33/10000</f>
        <v>0.85458999999999996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0.82587167725023602</v>
      </c>
      <c r="P33" s="2">
        <v>3</v>
      </c>
      <c r="Q33" s="8">
        <f>H33</f>
        <v>6.1178699999999999</v>
      </c>
      <c r="R33" s="8">
        <f>I33</f>
        <v>0.85458999999999996</v>
      </c>
      <c r="S33" s="8">
        <f>Q33/10^6*$Z$4*$Z$3/P33*10^12</f>
        <v>6.7969535699999994</v>
      </c>
      <c r="T33" s="8">
        <f>S33*0.06</f>
        <v>0.40781721419999994</v>
      </c>
      <c r="U33" s="8">
        <f>S33/$Z$1</f>
        <v>0.93108953013698625</v>
      </c>
      <c r="V33" s="12">
        <f t="shared" ref="V33:V43" si="75">O33</f>
        <v>0.82587167725023602</v>
      </c>
    </row>
    <row r="34" spans="2:22" x14ac:dyDescent="0.3">
      <c r="B34">
        <v>2</v>
      </c>
      <c r="C34">
        <v>7789.6</v>
      </c>
      <c r="D34">
        <v>66218.8</v>
      </c>
      <c r="E34">
        <v>6878.9</v>
      </c>
      <c r="F34">
        <f t="shared" si="72"/>
        <v>6.62188</v>
      </c>
      <c r="G34">
        <f t="shared" si="73"/>
        <v>0.77895999999999999</v>
      </c>
      <c r="H34">
        <f t="shared" si="74"/>
        <v>5.8429200000000003</v>
      </c>
      <c r="I34">
        <f t="shared" ref="I34:I43" si="76">E34/10000</f>
        <v>0.68789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0.7325798242077276</v>
      </c>
      <c r="P34" s="4">
        <v>3</v>
      </c>
      <c r="Q34" s="5">
        <f t="shared" ref="Q34:R43" si="79">H34</f>
        <v>5.8429200000000003</v>
      </c>
      <c r="R34" s="5">
        <f t="shared" si="79"/>
        <v>0.68789</v>
      </c>
      <c r="S34" s="5">
        <f t="shared" ref="S34:S43" si="80">Q34/10^6*$Z$4*$Z$3/P34*10^12</f>
        <v>6.4914841200000009</v>
      </c>
      <c r="T34" s="5">
        <f t="shared" ref="T34:T43" si="81">S34*0.06</f>
        <v>0.38948904720000005</v>
      </c>
      <c r="U34" s="5">
        <f t="shared" ref="U34:U43" si="82">S34/$Z$1</f>
        <v>0.88924440000000016</v>
      </c>
      <c r="V34" s="5">
        <f t="shared" si="75"/>
        <v>0.7325798242077276</v>
      </c>
    </row>
    <row r="35" spans="2:22" x14ac:dyDescent="0.3">
      <c r="B35">
        <v>3</v>
      </c>
      <c r="C35">
        <v>27160.5</v>
      </c>
      <c r="D35">
        <v>79545.100000000006</v>
      </c>
      <c r="E35">
        <v>6706.9</v>
      </c>
      <c r="F35">
        <f t="shared" si="72"/>
        <v>7.9545100000000009</v>
      </c>
      <c r="G35">
        <f t="shared" si="73"/>
        <v>2.7160500000000001</v>
      </c>
      <c r="H35">
        <f t="shared" si="74"/>
        <v>5.2384600000000008</v>
      </c>
      <c r="I35">
        <f t="shared" si="76"/>
        <v>0.67069000000000001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0.63199201142279215</v>
      </c>
      <c r="P35" s="4">
        <v>3</v>
      </c>
      <c r="Q35" s="5">
        <f t="shared" si="79"/>
        <v>5.2384600000000008</v>
      </c>
      <c r="R35" s="5">
        <f t="shared" si="79"/>
        <v>0.67069000000000001</v>
      </c>
      <c r="S35" s="5">
        <f t="shared" si="80"/>
        <v>5.8199290600000015</v>
      </c>
      <c r="T35" s="5">
        <f t="shared" si="81"/>
        <v>0.34919574360000005</v>
      </c>
      <c r="U35" s="5">
        <f t="shared" si="82"/>
        <v>0.79725055616438378</v>
      </c>
      <c r="V35" s="5">
        <f t="shared" si="75"/>
        <v>0.63199201142279215</v>
      </c>
    </row>
    <row r="36" spans="2:22" x14ac:dyDescent="0.3">
      <c r="B36">
        <v>4</v>
      </c>
      <c r="C36">
        <v>28101.3</v>
      </c>
      <c r="D36">
        <v>76307.199999999997</v>
      </c>
      <c r="E36">
        <v>5392.3</v>
      </c>
      <c r="F36">
        <f t="shared" si="72"/>
        <v>7.6307199999999993</v>
      </c>
      <c r="G36">
        <f t="shared" si="73"/>
        <v>2.81013</v>
      </c>
      <c r="H36">
        <f t="shared" si="74"/>
        <v>4.8205899999999993</v>
      </c>
      <c r="I36">
        <f t="shared" si="76"/>
        <v>0.53922999999999999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0.38278220841209487</v>
      </c>
      <c r="P36" s="4">
        <v>3</v>
      </c>
      <c r="Q36" s="5">
        <f t="shared" si="79"/>
        <v>4.8205899999999993</v>
      </c>
      <c r="R36" s="5">
        <f t="shared" si="79"/>
        <v>0.53922999999999999</v>
      </c>
      <c r="S36" s="5">
        <f t="shared" si="80"/>
        <v>5.3556754899999994</v>
      </c>
      <c r="T36" s="5">
        <f t="shared" si="81"/>
        <v>0.32134052939999996</v>
      </c>
      <c r="U36" s="5">
        <f t="shared" si="82"/>
        <v>0.73365417671232869</v>
      </c>
      <c r="V36" s="5">
        <f t="shared" si="75"/>
        <v>0.38278220841209487</v>
      </c>
    </row>
    <row r="37" spans="2:22" x14ac:dyDescent="0.3">
      <c r="B37">
        <v>5</v>
      </c>
      <c r="C37">
        <v>39382.6</v>
      </c>
      <c r="D37">
        <v>74435.7</v>
      </c>
      <c r="E37">
        <v>6022.5</v>
      </c>
      <c r="F37">
        <f t="shared" si="72"/>
        <v>7.4435699999999994</v>
      </c>
      <c r="G37">
        <f t="shared" si="73"/>
        <v>3.9382599999999996</v>
      </c>
      <c r="H37">
        <f t="shared" si="74"/>
        <v>3.5053099999999997</v>
      </c>
      <c r="I37">
        <f t="shared" si="76"/>
        <v>0.60224999999999995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0.27666095006839714</v>
      </c>
      <c r="P37" s="4">
        <v>3</v>
      </c>
      <c r="Q37" s="5">
        <f t="shared" si="79"/>
        <v>3.5053099999999997</v>
      </c>
      <c r="R37" s="5">
        <f t="shared" si="79"/>
        <v>0.60224999999999995</v>
      </c>
      <c r="S37" s="5">
        <f t="shared" si="80"/>
        <v>3.8943994099999992</v>
      </c>
      <c r="T37" s="5">
        <f t="shared" si="81"/>
        <v>0.23366396459999994</v>
      </c>
      <c r="U37" s="5">
        <f t="shared" si="82"/>
        <v>0.53347937123287659</v>
      </c>
      <c r="V37" s="5">
        <f t="shared" si="75"/>
        <v>0.27666095006839714</v>
      </c>
    </row>
    <row r="38" spans="2:22" x14ac:dyDescent="0.3">
      <c r="B38">
        <v>6</v>
      </c>
      <c r="C38">
        <v>40795.800000000003</v>
      </c>
      <c r="D38">
        <v>85479.1</v>
      </c>
      <c r="E38">
        <v>5162.8999999999996</v>
      </c>
      <c r="F38">
        <f t="shared" si="72"/>
        <v>8.5479099999999999</v>
      </c>
      <c r="G38">
        <f t="shared" si="73"/>
        <v>4.07958</v>
      </c>
      <c r="H38">
        <f t="shared" si="74"/>
        <v>4.4683299999999999</v>
      </c>
      <c r="I38">
        <f t="shared" si="76"/>
        <v>0.51628999999999992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0.19150265217489859</v>
      </c>
      <c r="P38" s="4">
        <v>4</v>
      </c>
      <c r="Q38" s="5">
        <f t="shared" si="79"/>
        <v>4.4683299999999999</v>
      </c>
      <c r="R38" s="5">
        <f t="shared" si="79"/>
        <v>0.51628999999999992</v>
      </c>
      <c r="S38" s="5">
        <f t="shared" si="80"/>
        <v>3.7232359724999999</v>
      </c>
      <c r="T38" s="5">
        <f t="shared" si="81"/>
        <v>0.22339415834999998</v>
      </c>
      <c r="U38" s="5">
        <f t="shared" si="82"/>
        <v>0.51003232499999995</v>
      </c>
      <c r="V38" s="5">
        <f t="shared" si="75"/>
        <v>0.19150265217489859</v>
      </c>
    </row>
    <row r="39" spans="2:22" x14ac:dyDescent="0.3">
      <c r="B39">
        <v>7</v>
      </c>
      <c r="C39">
        <v>35189.4</v>
      </c>
      <c r="D39">
        <v>81009.100000000006</v>
      </c>
      <c r="E39">
        <v>5540.3</v>
      </c>
      <c r="F39">
        <f t="shared" si="72"/>
        <v>8.1009100000000007</v>
      </c>
      <c r="G39">
        <f t="shared" si="73"/>
        <v>3.5189400000000002</v>
      </c>
      <c r="H39">
        <f t="shared" si="74"/>
        <v>4.5819700000000001</v>
      </c>
      <c r="I39">
        <f t="shared" si="76"/>
        <v>0.55403000000000002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0.13844035660042389</v>
      </c>
      <c r="P39" s="4">
        <v>4</v>
      </c>
      <c r="Q39" s="5">
        <f t="shared" si="79"/>
        <v>4.5819700000000001</v>
      </c>
      <c r="R39" s="5">
        <f t="shared" si="79"/>
        <v>0.55403000000000002</v>
      </c>
      <c r="S39" s="5">
        <f t="shared" si="80"/>
        <v>3.8179265025000002</v>
      </c>
      <c r="T39" s="5">
        <f t="shared" si="81"/>
        <v>0.22907559015000001</v>
      </c>
      <c r="U39" s="5">
        <f t="shared" si="82"/>
        <v>0.52300363047945209</v>
      </c>
      <c r="V39" s="5">
        <f t="shared" si="75"/>
        <v>0.13844035660042389</v>
      </c>
    </row>
    <row r="40" spans="2:22" x14ac:dyDescent="0.3">
      <c r="B40">
        <v>8</v>
      </c>
      <c r="C40">
        <v>35812.300000000003</v>
      </c>
      <c r="D40">
        <v>72067.199999999997</v>
      </c>
      <c r="E40">
        <v>5541.9</v>
      </c>
      <c r="F40">
        <f t="shared" si="72"/>
        <v>7.2067199999999998</v>
      </c>
      <c r="G40">
        <f t="shared" si="73"/>
        <v>3.5812300000000001</v>
      </c>
      <c r="H40">
        <f t="shared" si="74"/>
        <v>3.6254899999999997</v>
      </c>
      <c r="I40">
        <f t="shared" si="76"/>
        <v>0.55418999999999996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0.11609823997033829</v>
      </c>
      <c r="P40" s="4">
        <v>5</v>
      </c>
      <c r="Q40" s="5">
        <f t="shared" si="79"/>
        <v>3.6254899999999997</v>
      </c>
      <c r="R40" s="5">
        <f t="shared" si="79"/>
        <v>0.55418999999999996</v>
      </c>
      <c r="S40" s="5">
        <f t="shared" si="80"/>
        <v>2.4167516339999997</v>
      </c>
      <c r="T40" s="5">
        <f t="shared" si="81"/>
        <v>0.14500509803999997</v>
      </c>
      <c r="U40" s="5">
        <f t="shared" si="82"/>
        <v>0.33106186767123286</v>
      </c>
      <c r="V40" s="5">
        <f t="shared" si="75"/>
        <v>0.11609823997033829</v>
      </c>
    </row>
    <row r="41" spans="2:22" x14ac:dyDescent="0.3">
      <c r="B41">
        <v>9</v>
      </c>
      <c r="C41">
        <v>27721.7</v>
      </c>
      <c r="D41">
        <v>73325.3</v>
      </c>
      <c r="E41">
        <v>7272.3</v>
      </c>
      <c r="F41">
        <f t="shared" si="72"/>
        <v>7.3325300000000002</v>
      </c>
      <c r="G41">
        <f t="shared" si="73"/>
        <v>2.77217</v>
      </c>
      <c r="H41">
        <f t="shared" si="74"/>
        <v>4.5603600000000002</v>
      </c>
      <c r="I41">
        <f t="shared" si="76"/>
        <v>0.72723000000000004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9.3566926010778997E-2</v>
      </c>
      <c r="P41" s="4">
        <v>8</v>
      </c>
      <c r="Q41" s="5">
        <f t="shared" si="79"/>
        <v>4.5603600000000002</v>
      </c>
      <c r="R41" s="5">
        <f t="shared" si="79"/>
        <v>0.72723000000000004</v>
      </c>
      <c r="S41" s="5">
        <f t="shared" si="80"/>
        <v>1.8999599850000004</v>
      </c>
      <c r="T41" s="5">
        <f t="shared" si="81"/>
        <v>0.11399759910000001</v>
      </c>
      <c r="U41" s="5">
        <f t="shared" si="82"/>
        <v>0.26026849109589045</v>
      </c>
      <c r="V41" s="5">
        <f t="shared" si="75"/>
        <v>9.3566926010778997E-2</v>
      </c>
    </row>
    <row r="42" spans="2:22" x14ac:dyDescent="0.3">
      <c r="B42">
        <v>10</v>
      </c>
      <c r="C42">
        <v>18939.7</v>
      </c>
      <c r="D42">
        <v>81075.7</v>
      </c>
      <c r="E42">
        <v>11009</v>
      </c>
      <c r="F42">
        <f t="shared" si="72"/>
        <v>8.1075699999999991</v>
      </c>
      <c r="G42">
        <f t="shared" si="73"/>
        <v>1.8939700000000002</v>
      </c>
      <c r="H42">
        <f t="shared" si="74"/>
        <v>6.2135999999999987</v>
      </c>
      <c r="I42">
        <f t="shared" si="76"/>
        <v>1.1009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6.7004988963650383E-2</v>
      </c>
      <c r="P42" s="4">
        <v>14</v>
      </c>
      <c r="Q42" s="5">
        <f t="shared" si="79"/>
        <v>6.2135999999999987</v>
      </c>
      <c r="R42" s="5">
        <f t="shared" si="79"/>
        <v>1.1009</v>
      </c>
      <c r="S42" s="5">
        <f t="shared" si="80"/>
        <v>1.4792806285714282</v>
      </c>
      <c r="T42" s="5">
        <f t="shared" si="81"/>
        <v>8.8756837714285691E-2</v>
      </c>
      <c r="U42" s="5">
        <f t="shared" si="82"/>
        <v>0.20264118199608605</v>
      </c>
      <c r="V42" s="5">
        <f t="shared" si="75"/>
        <v>6.7004988963650383E-2</v>
      </c>
    </row>
    <row r="43" spans="2:22" ht="15" thickBot="1" x14ac:dyDescent="0.35">
      <c r="B43">
        <v>11</v>
      </c>
      <c r="C43">
        <v>12355.4</v>
      </c>
      <c r="D43">
        <v>22904.5</v>
      </c>
      <c r="E43">
        <v>15083.4</v>
      </c>
      <c r="F43">
        <f t="shared" si="72"/>
        <v>2.2904499999999999</v>
      </c>
      <c r="G43">
        <f t="shared" si="73"/>
        <v>1.2355399999999999</v>
      </c>
      <c r="H43">
        <f t="shared" si="74"/>
        <v>1.05491</v>
      </c>
      <c r="I43">
        <f t="shared" si="76"/>
        <v>1.50834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4.3210044618169186E-2</v>
      </c>
      <c r="P43" s="7">
        <v>21</v>
      </c>
      <c r="Q43" s="6">
        <f t="shared" si="79"/>
        <v>1.05491</v>
      </c>
      <c r="R43" s="6">
        <f t="shared" si="79"/>
        <v>1.50834</v>
      </c>
      <c r="S43" s="6">
        <f t="shared" si="80"/>
        <v>0.16742928714285718</v>
      </c>
      <c r="T43" s="6">
        <f t="shared" si="81"/>
        <v>1.004575722857143E-2</v>
      </c>
      <c r="U43" s="6">
        <f t="shared" si="82"/>
        <v>2.2935518786692765E-2</v>
      </c>
      <c r="V43" s="6">
        <f t="shared" si="75"/>
        <v>4.3210044618169186E-2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6592.3</v>
      </c>
      <c r="D47">
        <v>49414.7</v>
      </c>
      <c r="E47">
        <v>7293.9</v>
      </c>
      <c r="F47">
        <f t="shared" ref="F47:F57" si="84">D47/10000</f>
        <v>4.9414699999999998</v>
      </c>
      <c r="G47">
        <f t="shared" ref="G47:G57" si="85">C47/10000</f>
        <v>0.65922999999999998</v>
      </c>
      <c r="H47">
        <f t="shared" ref="H47:H57" si="86">F47-G47</f>
        <v>4.2822399999999998</v>
      </c>
      <c r="I47">
        <f>E47/10000</f>
        <v>0.72938999999999998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0.6606973418001888</v>
      </c>
      <c r="P47" s="2">
        <v>3</v>
      </c>
      <c r="Q47" s="8">
        <f>H47</f>
        <v>4.2822399999999998</v>
      </c>
      <c r="R47" s="8">
        <f>I47</f>
        <v>0.72938999999999998</v>
      </c>
      <c r="S47" s="8">
        <f>Q47/10^6*$Z$4*$Z$3/P47*10^12</f>
        <v>4.7575686399999997</v>
      </c>
      <c r="T47" s="8">
        <f>S47*0.06</f>
        <v>0.28545411839999996</v>
      </c>
      <c r="U47" s="8">
        <f>S47/$Z$1</f>
        <v>0.65172173150684931</v>
      </c>
      <c r="V47" s="12">
        <f t="shared" ref="V47:V57" si="87">O47</f>
        <v>0.6606973418001888</v>
      </c>
    </row>
    <row r="48" spans="2:22" x14ac:dyDescent="0.3">
      <c r="B48">
        <v>2</v>
      </c>
      <c r="C48">
        <v>5660</v>
      </c>
      <c r="D48">
        <v>49438.8</v>
      </c>
      <c r="E48">
        <v>6211.7</v>
      </c>
      <c r="F48">
        <f t="shared" si="84"/>
        <v>4.9438800000000001</v>
      </c>
      <c r="G48">
        <f t="shared" si="85"/>
        <v>0.56599999999999995</v>
      </c>
      <c r="H48">
        <f t="shared" si="86"/>
        <v>4.3778800000000002</v>
      </c>
      <c r="I48">
        <f t="shared" ref="I48:I57" si="88">E48/10000</f>
        <v>0.62117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0.5860638593661821</v>
      </c>
      <c r="P48" s="4">
        <v>3</v>
      </c>
      <c r="Q48" s="5">
        <f t="shared" ref="Q48:R57" si="91">H48</f>
        <v>4.3778800000000002</v>
      </c>
      <c r="R48" s="5">
        <f t="shared" si="91"/>
        <v>0.62117</v>
      </c>
      <c r="S48" s="5">
        <f t="shared" ref="S48:S57" si="92">Q48/10^6*$Z$4*$Z$3/P48*10^12</f>
        <v>4.8638246800000005</v>
      </c>
      <c r="T48" s="5">
        <f t="shared" ref="T48:T57" si="93">S48*0.06</f>
        <v>0.29182948080000004</v>
      </c>
      <c r="U48" s="5">
        <f t="shared" ref="U48:U57" si="94">S48/$Z$1</f>
        <v>0.66627735342465766</v>
      </c>
      <c r="V48" s="5">
        <f t="shared" si="87"/>
        <v>0.5860638593661821</v>
      </c>
    </row>
    <row r="49" spans="2:22" x14ac:dyDescent="0.3">
      <c r="B49">
        <v>3</v>
      </c>
      <c r="C49">
        <v>10642.6</v>
      </c>
      <c r="D49">
        <v>56121.7</v>
      </c>
      <c r="E49">
        <v>8342.7000000000007</v>
      </c>
      <c r="F49">
        <f t="shared" si="84"/>
        <v>5.6121699999999999</v>
      </c>
      <c r="G49">
        <f t="shared" si="85"/>
        <v>1.06426</v>
      </c>
      <c r="H49">
        <f t="shared" si="86"/>
        <v>4.5479099999999999</v>
      </c>
      <c r="I49">
        <f t="shared" si="88"/>
        <v>0.83427000000000007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0.5055936091382337</v>
      </c>
      <c r="P49" s="4">
        <v>3</v>
      </c>
      <c r="Q49" s="5">
        <f t="shared" si="91"/>
        <v>4.5479099999999999</v>
      </c>
      <c r="R49" s="5">
        <f t="shared" si="91"/>
        <v>0.83427000000000007</v>
      </c>
      <c r="S49" s="5">
        <f t="shared" si="92"/>
        <v>5.05272801</v>
      </c>
      <c r="T49" s="5">
        <f t="shared" si="93"/>
        <v>0.30316368059999999</v>
      </c>
      <c r="U49" s="5">
        <f t="shared" si="94"/>
        <v>0.69215452191780824</v>
      </c>
      <c r="V49" s="5">
        <f t="shared" si="87"/>
        <v>0.5055936091382337</v>
      </c>
    </row>
    <row r="50" spans="2:22" x14ac:dyDescent="0.3">
      <c r="B50">
        <v>4</v>
      </c>
      <c r="C50">
        <v>25766.6</v>
      </c>
      <c r="D50">
        <v>59798</v>
      </c>
      <c r="E50">
        <v>5937.3</v>
      </c>
      <c r="F50">
        <f t="shared" si="84"/>
        <v>5.9798</v>
      </c>
      <c r="G50">
        <f t="shared" si="85"/>
        <v>2.57666</v>
      </c>
      <c r="H50">
        <f t="shared" si="86"/>
        <v>3.4031400000000001</v>
      </c>
      <c r="I50">
        <f t="shared" si="88"/>
        <v>0.59372999999999998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0.30622576672967589</v>
      </c>
      <c r="P50" s="4">
        <v>3</v>
      </c>
      <c r="Q50" s="5">
        <f t="shared" si="91"/>
        <v>3.4031400000000001</v>
      </c>
      <c r="R50" s="5">
        <f t="shared" si="91"/>
        <v>0.59372999999999998</v>
      </c>
      <c r="S50" s="5">
        <f t="shared" si="92"/>
        <v>3.7808885400000007</v>
      </c>
      <c r="T50" s="5">
        <f t="shared" si="93"/>
        <v>0.22685331240000003</v>
      </c>
      <c r="U50" s="5">
        <f t="shared" si="94"/>
        <v>0.51792993698630152</v>
      </c>
      <c r="V50" s="5">
        <f t="shared" si="87"/>
        <v>0.30622576672967589</v>
      </c>
    </row>
    <row r="51" spans="2:22" x14ac:dyDescent="0.3">
      <c r="B51">
        <v>5</v>
      </c>
      <c r="C51">
        <v>20001.5</v>
      </c>
      <c r="D51">
        <v>61296.3</v>
      </c>
      <c r="E51">
        <v>5373.1</v>
      </c>
      <c r="F51">
        <f t="shared" si="84"/>
        <v>6.1296300000000006</v>
      </c>
      <c r="G51">
        <f t="shared" si="85"/>
        <v>2.0001500000000001</v>
      </c>
      <c r="H51">
        <f t="shared" si="86"/>
        <v>4.1294800000000009</v>
      </c>
      <c r="I51">
        <f t="shared" si="88"/>
        <v>0.53731000000000007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0.22132876005471769</v>
      </c>
      <c r="P51" s="4">
        <v>3</v>
      </c>
      <c r="Q51" s="5">
        <f t="shared" si="91"/>
        <v>4.1294800000000009</v>
      </c>
      <c r="R51" s="5">
        <f t="shared" si="91"/>
        <v>0.53731000000000007</v>
      </c>
      <c r="S51" s="5">
        <f t="shared" si="92"/>
        <v>4.5878522800000017</v>
      </c>
      <c r="T51" s="5">
        <f t="shared" si="93"/>
        <v>0.27527113680000009</v>
      </c>
      <c r="U51" s="5">
        <f t="shared" si="94"/>
        <v>0.62847291506849334</v>
      </c>
      <c r="V51" s="5">
        <f t="shared" si="87"/>
        <v>0.22132876005471769</v>
      </c>
    </row>
    <row r="52" spans="2:22" x14ac:dyDescent="0.3">
      <c r="B52">
        <v>6</v>
      </c>
      <c r="C52">
        <v>24184.7</v>
      </c>
      <c r="D52">
        <v>66252.899999999994</v>
      </c>
      <c r="E52">
        <v>4581.6000000000004</v>
      </c>
      <c r="F52">
        <f t="shared" si="84"/>
        <v>6.6252899999999997</v>
      </c>
      <c r="G52">
        <f t="shared" si="85"/>
        <v>2.4184700000000001</v>
      </c>
      <c r="H52">
        <f t="shared" si="86"/>
        <v>4.2068199999999996</v>
      </c>
      <c r="I52">
        <f t="shared" si="88"/>
        <v>0.45816000000000001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0.15320212173991887</v>
      </c>
      <c r="P52" s="4">
        <v>4</v>
      </c>
      <c r="Q52" s="5">
        <f t="shared" si="91"/>
        <v>4.2068199999999996</v>
      </c>
      <c r="R52" s="5">
        <f t="shared" si="91"/>
        <v>0.45816000000000001</v>
      </c>
      <c r="S52" s="5">
        <f t="shared" si="92"/>
        <v>3.5053327650000004</v>
      </c>
      <c r="T52" s="5">
        <f t="shared" si="93"/>
        <v>0.21031996590000002</v>
      </c>
      <c r="U52" s="5">
        <f t="shared" si="94"/>
        <v>0.48018257054794528</v>
      </c>
      <c r="V52" s="5">
        <f t="shared" si="87"/>
        <v>0.15320212173991887</v>
      </c>
    </row>
    <row r="53" spans="2:22" x14ac:dyDescent="0.3">
      <c r="B53">
        <v>7</v>
      </c>
      <c r="C53">
        <v>31839</v>
      </c>
      <c r="D53">
        <v>54390.7</v>
      </c>
      <c r="E53">
        <v>4676.3999999999996</v>
      </c>
      <c r="F53">
        <f t="shared" si="84"/>
        <v>5.4390700000000001</v>
      </c>
      <c r="G53">
        <f t="shared" si="85"/>
        <v>3.1839</v>
      </c>
      <c r="H53">
        <f t="shared" si="86"/>
        <v>2.2551700000000001</v>
      </c>
      <c r="I53">
        <f t="shared" si="88"/>
        <v>0.46763999999999994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0.11075228528033911</v>
      </c>
      <c r="P53" s="4">
        <v>4</v>
      </c>
      <c r="Q53" s="5">
        <f t="shared" si="91"/>
        <v>2.2551700000000001</v>
      </c>
      <c r="R53" s="5">
        <f t="shared" si="91"/>
        <v>0.46763999999999994</v>
      </c>
      <c r="S53" s="5">
        <f t="shared" si="92"/>
        <v>1.8791204024999999</v>
      </c>
      <c r="T53" s="5">
        <f t="shared" si="93"/>
        <v>0.11274722414999999</v>
      </c>
      <c r="U53" s="5">
        <f t="shared" si="94"/>
        <v>0.25741375376712328</v>
      </c>
      <c r="V53" s="5">
        <f t="shared" si="87"/>
        <v>0.11075228528033911</v>
      </c>
    </row>
    <row r="54" spans="2:22" x14ac:dyDescent="0.3">
      <c r="B54">
        <v>8</v>
      </c>
      <c r="C54">
        <v>21157.9</v>
      </c>
      <c r="D54">
        <v>49904.2</v>
      </c>
      <c r="E54">
        <v>4522</v>
      </c>
      <c r="F54">
        <f t="shared" si="84"/>
        <v>4.9904199999999994</v>
      </c>
      <c r="G54">
        <f t="shared" si="85"/>
        <v>2.1157900000000001</v>
      </c>
      <c r="H54">
        <f t="shared" si="86"/>
        <v>2.8746299999999994</v>
      </c>
      <c r="I54">
        <f t="shared" si="88"/>
        <v>0.45219999999999999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9.287859197627063E-2</v>
      </c>
      <c r="P54" s="4">
        <v>5</v>
      </c>
      <c r="Q54" s="5">
        <f t="shared" si="91"/>
        <v>2.8746299999999994</v>
      </c>
      <c r="R54" s="5">
        <f t="shared" si="91"/>
        <v>0.45219999999999999</v>
      </c>
      <c r="S54" s="5">
        <f t="shared" si="92"/>
        <v>1.9162283579999999</v>
      </c>
      <c r="T54" s="5">
        <f t="shared" si="93"/>
        <v>0.11497370148</v>
      </c>
      <c r="U54" s="5">
        <f t="shared" si="94"/>
        <v>0.26249703534246577</v>
      </c>
      <c r="V54" s="5">
        <f t="shared" si="87"/>
        <v>9.287859197627063E-2</v>
      </c>
    </row>
    <row r="55" spans="2:22" x14ac:dyDescent="0.3">
      <c r="B55">
        <v>9</v>
      </c>
      <c r="C55">
        <v>25130</v>
      </c>
      <c r="D55">
        <v>48526.7</v>
      </c>
      <c r="E55">
        <v>7128.2</v>
      </c>
      <c r="F55">
        <f t="shared" si="84"/>
        <v>4.8526699999999998</v>
      </c>
      <c r="G55">
        <f t="shared" si="85"/>
        <v>2.5129999999999999</v>
      </c>
      <c r="H55">
        <f t="shared" si="86"/>
        <v>2.3396699999999999</v>
      </c>
      <c r="I55">
        <f t="shared" si="88"/>
        <v>0.71282000000000001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7.4853540808623206E-2</v>
      </c>
      <c r="P55" s="4">
        <v>8</v>
      </c>
      <c r="Q55" s="5">
        <f t="shared" si="91"/>
        <v>2.3396699999999999</v>
      </c>
      <c r="R55" s="5">
        <f t="shared" si="91"/>
        <v>0.71282000000000001</v>
      </c>
      <c r="S55" s="5">
        <f t="shared" si="92"/>
        <v>0.97476501375000002</v>
      </c>
      <c r="T55" s="5">
        <f t="shared" si="93"/>
        <v>5.8485900824999999E-2</v>
      </c>
      <c r="U55" s="5">
        <f t="shared" si="94"/>
        <v>0.13352945393835616</v>
      </c>
      <c r="V55" s="5">
        <f t="shared" si="87"/>
        <v>7.4853540808623206E-2</v>
      </c>
    </row>
    <row r="56" spans="2:22" x14ac:dyDescent="0.3">
      <c r="B56">
        <v>10</v>
      </c>
      <c r="C56">
        <v>19200.7</v>
      </c>
      <c r="D56">
        <v>49832</v>
      </c>
      <c r="E56">
        <v>9947.1</v>
      </c>
      <c r="F56">
        <f t="shared" si="84"/>
        <v>4.9832000000000001</v>
      </c>
      <c r="G56">
        <f t="shared" si="85"/>
        <v>1.9200700000000002</v>
      </c>
      <c r="H56">
        <f t="shared" si="86"/>
        <v>3.0631300000000001</v>
      </c>
      <c r="I56">
        <f t="shared" si="88"/>
        <v>0.99470999999999998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5.3603991170920316E-2</v>
      </c>
      <c r="P56" s="4">
        <v>14</v>
      </c>
      <c r="Q56" s="5">
        <f t="shared" si="91"/>
        <v>3.0631300000000001</v>
      </c>
      <c r="R56" s="5">
        <f t="shared" si="91"/>
        <v>0.99470999999999998</v>
      </c>
      <c r="S56" s="5">
        <f t="shared" si="92"/>
        <v>0.72924373499999995</v>
      </c>
      <c r="T56" s="5">
        <f t="shared" si="93"/>
        <v>4.3754624099999993E-2</v>
      </c>
      <c r="U56" s="5">
        <f t="shared" si="94"/>
        <v>9.9896402054794511E-2</v>
      </c>
      <c r="V56" s="5">
        <f t="shared" si="87"/>
        <v>5.3603991170920316E-2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3.456803569453535E-2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3.456803569453535E-2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6651.7</v>
      </c>
      <c r="D61">
        <v>48090.3</v>
      </c>
      <c r="E61">
        <v>7571.5</v>
      </c>
      <c r="F61">
        <f t="shared" ref="F61:F71" si="96">D61/10000</f>
        <v>4.8090299999999999</v>
      </c>
      <c r="G61">
        <f t="shared" ref="G61:G71" si="97">C61/10000</f>
        <v>0.66516999999999993</v>
      </c>
      <c r="H61">
        <f t="shared" ref="H61:H71" si="98">F61-G61</f>
        <v>4.1438600000000001</v>
      </c>
      <c r="I61">
        <f>E61/10000</f>
        <v>0.75714999999999999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0.55058111816682398</v>
      </c>
      <c r="P61" s="2">
        <v>3</v>
      </c>
      <c r="Q61" s="8">
        <f>H61</f>
        <v>4.1438600000000001</v>
      </c>
      <c r="R61" s="8">
        <f>I61</f>
        <v>0.75714999999999999</v>
      </c>
      <c r="S61" s="8">
        <f>Q61/10^6*$Z$4*$Z$3/P61*10^12</f>
        <v>4.603828459999999</v>
      </c>
      <c r="T61" s="8">
        <f>S61*0.06</f>
        <v>0.27622970759999993</v>
      </c>
      <c r="U61" s="8">
        <f>S61/$Z$1</f>
        <v>0.63066143287671217</v>
      </c>
      <c r="V61" s="12">
        <f t="shared" ref="V61:V71" si="99">O61</f>
        <v>0.55058111816682398</v>
      </c>
    </row>
    <row r="62" spans="2:22" x14ac:dyDescent="0.3">
      <c r="B62">
        <v>2</v>
      </c>
      <c r="C62">
        <v>16401</v>
      </c>
      <c r="D62">
        <v>65640.5</v>
      </c>
      <c r="E62">
        <v>6786.5</v>
      </c>
      <c r="F62">
        <f t="shared" si="96"/>
        <v>6.5640499999999999</v>
      </c>
      <c r="G62">
        <f t="shared" si="97"/>
        <v>1.6400999999999999</v>
      </c>
      <c r="H62">
        <f t="shared" si="98"/>
        <v>4.9239499999999996</v>
      </c>
      <c r="I62">
        <f t="shared" ref="I62:I71" si="100">E62/10000</f>
        <v>0.67864999999999998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0.48838654947181842</v>
      </c>
      <c r="P62" s="4">
        <v>3</v>
      </c>
      <c r="Q62" s="5">
        <f t="shared" ref="Q62:R71" si="103">H62</f>
        <v>4.9239499999999996</v>
      </c>
      <c r="R62" s="5">
        <f t="shared" si="103"/>
        <v>0.67864999999999998</v>
      </c>
      <c r="S62" s="5">
        <f t="shared" ref="S62:S71" si="104">Q62/10^6*$Z$4*$Z$3/P62*10^12</f>
        <v>5.4705084499999996</v>
      </c>
      <c r="T62" s="5">
        <f t="shared" ref="T62:T71" si="105">S62*0.06</f>
        <v>0.32823050699999995</v>
      </c>
      <c r="U62" s="5">
        <f t="shared" ref="U62:U71" si="106">S62/$Z$1</f>
        <v>0.74938471917808214</v>
      </c>
      <c r="V62" s="5">
        <f t="shared" si="99"/>
        <v>0.48838654947181842</v>
      </c>
    </row>
    <row r="63" spans="2:22" x14ac:dyDescent="0.3">
      <c r="B63">
        <v>3</v>
      </c>
      <c r="C63">
        <v>36244.1</v>
      </c>
      <c r="D63">
        <v>65688.600000000006</v>
      </c>
      <c r="E63">
        <v>6450.6</v>
      </c>
      <c r="F63">
        <f t="shared" si="96"/>
        <v>6.5688600000000008</v>
      </c>
      <c r="G63">
        <f t="shared" si="97"/>
        <v>3.6244099999999997</v>
      </c>
      <c r="H63">
        <f t="shared" si="98"/>
        <v>2.9444500000000011</v>
      </c>
      <c r="I63">
        <f t="shared" si="100"/>
        <v>0.64506000000000008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0.42132800761519479</v>
      </c>
      <c r="P63" s="4">
        <v>3</v>
      </c>
      <c r="Q63" s="5">
        <f t="shared" si="103"/>
        <v>2.9444500000000011</v>
      </c>
      <c r="R63" s="5">
        <f t="shared" si="103"/>
        <v>0.64506000000000008</v>
      </c>
      <c r="S63" s="5">
        <f t="shared" si="104"/>
        <v>3.2712839500000013</v>
      </c>
      <c r="T63" s="5">
        <f t="shared" si="105"/>
        <v>0.19627703700000007</v>
      </c>
      <c r="U63" s="5">
        <f t="shared" si="106"/>
        <v>0.4481210890410961</v>
      </c>
      <c r="V63" s="5">
        <f t="shared" si="99"/>
        <v>0.42132800761519479</v>
      </c>
    </row>
    <row r="64" spans="2:22" x14ac:dyDescent="0.3">
      <c r="B64">
        <v>4</v>
      </c>
      <c r="C64">
        <v>26630</v>
      </c>
      <c r="D64">
        <v>73398.2</v>
      </c>
      <c r="E64">
        <v>5110.6000000000004</v>
      </c>
      <c r="F64">
        <f t="shared" si="96"/>
        <v>7.3398199999999996</v>
      </c>
      <c r="G64">
        <f t="shared" si="97"/>
        <v>2.6629999999999998</v>
      </c>
      <c r="H64">
        <f t="shared" si="98"/>
        <v>4.6768199999999993</v>
      </c>
      <c r="I64">
        <f t="shared" si="100"/>
        <v>0.51106000000000007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0.25518813894139658</v>
      </c>
      <c r="P64" s="4">
        <v>3</v>
      </c>
      <c r="Q64" s="5">
        <f t="shared" si="103"/>
        <v>4.6768199999999993</v>
      </c>
      <c r="R64" s="5">
        <f t="shared" si="103"/>
        <v>0.51106000000000007</v>
      </c>
      <c r="S64" s="5">
        <f t="shared" si="104"/>
        <v>5.1959470200000002</v>
      </c>
      <c r="T64" s="5">
        <f t="shared" si="105"/>
        <v>0.31175682119999998</v>
      </c>
      <c r="U64" s="5">
        <f t="shared" si="106"/>
        <v>0.71177356438356165</v>
      </c>
      <c r="V64" s="5">
        <f t="shared" si="99"/>
        <v>0.25518813894139658</v>
      </c>
    </row>
    <row r="65" spans="2:22" x14ac:dyDescent="0.3">
      <c r="B65">
        <v>5</v>
      </c>
      <c r="C65">
        <v>26288.7</v>
      </c>
      <c r="D65">
        <v>66717.899999999994</v>
      </c>
      <c r="E65">
        <v>4822.3999999999996</v>
      </c>
      <c r="F65">
        <f t="shared" si="96"/>
        <v>6.6717899999999997</v>
      </c>
      <c r="G65">
        <f t="shared" si="97"/>
        <v>2.62887</v>
      </c>
      <c r="H65">
        <f t="shared" si="98"/>
        <v>4.0429199999999996</v>
      </c>
      <c r="I65">
        <f t="shared" si="100"/>
        <v>0.48223999999999995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0.18444063337893143</v>
      </c>
      <c r="P65" s="4">
        <v>3</v>
      </c>
      <c r="Q65" s="5">
        <f t="shared" si="103"/>
        <v>4.0429199999999996</v>
      </c>
      <c r="R65" s="5">
        <f t="shared" si="103"/>
        <v>0.48223999999999995</v>
      </c>
      <c r="S65" s="5">
        <f t="shared" si="104"/>
        <v>4.4916841200000004</v>
      </c>
      <c r="T65" s="5">
        <f t="shared" si="105"/>
        <v>0.26950104720000001</v>
      </c>
      <c r="U65" s="5">
        <f t="shared" si="106"/>
        <v>0.61529919452054804</v>
      </c>
      <c r="V65" s="5">
        <f t="shared" si="99"/>
        <v>0.18444063337893143</v>
      </c>
    </row>
    <row r="66" spans="2:22" x14ac:dyDescent="0.3">
      <c r="B66">
        <v>6</v>
      </c>
      <c r="C66">
        <v>30424.7</v>
      </c>
      <c r="D66">
        <v>68793.7</v>
      </c>
      <c r="E66">
        <v>5420.7</v>
      </c>
      <c r="F66">
        <f t="shared" si="96"/>
        <v>6.8793699999999998</v>
      </c>
      <c r="G66">
        <f t="shared" si="97"/>
        <v>3.0424700000000002</v>
      </c>
      <c r="H66">
        <f t="shared" si="98"/>
        <v>3.8368999999999995</v>
      </c>
      <c r="I66">
        <f t="shared" si="100"/>
        <v>0.54206999999999994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0.12766843478326573</v>
      </c>
      <c r="P66" s="4">
        <v>4</v>
      </c>
      <c r="Q66" s="5">
        <f t="shared" si="103"/>
        <v>3.8368999999999995</v>
      </c>
      <c r="R66" s="5">
        <f t="shared" si="103"/>
        <v>0.54206999999999994</v>
      </c>
      <c r="S66" s="5">
        <f t="shared" si="104"/>
        <v>3.1970969249999994</v>
      </c>
      <c r="T66" s="5">
        <f t="shared" si="105"/>
        <v>0.19182581549999997</v>
      </c>
      <c r="U66" s="5">
        <f t="shared" si="106"/>
        <v>0.43795848287671224</v>
      </c>
      <c r="V66" s="5">
        <f t="shared" si="99"/>
        <v>0.12766843478326573</v>
      </c>
    </row>
    <row r="67" spans="2:22" x14ac:dyDescent="0.3">
      <c r="B67">
        <v>7</v>
      </c>
      <c r="C67">
        <v>27893.7</v>
      </c>
      <c r="D67">
        <v>56529.5</v>
      </c>
      <c r="E67">
        <v>4712.6000000000004</v>
      </c>
      <c r="F67">
        <f t="shared" si="96"/>
        <v>5.6529499999999997</v>
      </c>
      <c r="G67">
        <f t="shared" si="97"/>
        <v>2.7893699999999999</v>
      </c>
      <c r="H67">
        <f t="shared" si="98"/>
        <v>2.8635799999999998</v>
      </c>
      <c r="I67">
        <f t="shared" si="100"/>
        <v>0.47126000000000001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9.2293571066949256E-2</v>
      </c>
      <c r="P67" s="4">
        <v>4</v>
      </c>
      <c r="Q67" s="5">
        <f t="shared" si="103"/>
        <v>2.8635799999999998</v>
      </c>
      <c r="R67" s="5">
        <f t="shared" si="103"/>
        <v>0.47126000000000001</v>
      </c>
      <c r="S67" s="5">
        <f t="shared" si="104"/>
        <v>2.3860780350000002</v>
      </c>
      <c r="T67" s="5">
        <f t="shared" si="105"/>
        <v>0.1431646821</v>
      </c>
      <c r="U67" s="5">
        <f t="shared" si="106"/>
        <v>0.3268600047945206</v>
      </c>
      <c r="V67" s="5">
        <f t="shared" si="99"/>
        <v>9.2293571066949256E-2</v>
      </c>
    </row>
    <row r="68" spans="2:22" x14ac:dyDescent="0.3">
      <c r="B68">
        <v>8</v>
      </c>
      <c r="C68">
        <v>40511</v>
      </c>
      <c r="D68">
        <v>52357.4</v>
      </c>
      <c r="E68">
        <v>5287.8</v>
      </c>
      <c r="F68">
        <f t="shared" si="96"/>
        <v>5.2357399999999998</v>
      </c>
      <c r="G68">
        <f t="shared" si="97"/>
        <v>4.0510999999999999</v>
      </c>
      <c r="H68">
        <f t="shared" si="98"/>
        <v>1.1846399999999999</v>
      </c>
      <c r="I68">
        <f t="shared" si="100"/>
        <v>0.52878000000000003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7.7398826646892196E-2</v>
      </c>
      <c r="P68" s="4">
        <v>5</v>
      </c>
      <c r="Q68" s="5">
        <f t="shared" si="103"/>
        <v>1.1846399999999999</v>
      </c>
      <c r="R68" s="5">
        <f t="shared" si="103"/>
        <v>0.52878000000000003</v>
      </c>
      <c r="S68" s="5">
        <f t="shared" si="104"/>
        <v>0.78968102399999995</v>
      </c>
      <c r="T68" s="5">
        <f t="shared" si="105"/>
        <v>4.7380861439999998E-2</v>
      </c>
      <c r="U68" s="5">
        <f t="shared" si="106"/>
        <v>0.10817548273972602</v>
      </c>
      <c r="V68" s="5">
        <f t="shared" si="99"/>
        <v>7.7398826646892196E-2</v>
      </c>
    </row>
    <row r="69" spans="2:22" x14ac:dyDescent="0.3">
      <c r="B69">
        <v>9</v>
      </c>
      <c r="C69">
        <v>18584.5</v>
      </c>
      <c r="D69">
        <v>47861</v>
      </c>
      <c r="E69">
        <v>7262.5</v>
      </c>
      <c r="F69">
        <f t="shared" si="96"/>
        <v>4.7861000000000002</v>
      </c>
      <c r="G69">
        <f t="shared" si="97"/>
        <v>1.8584499999999999</v>
      </c>
      <c r="H69">
        <f t="shared" si="98"/>
        <v>2.9276500000000003</v>
      </c>
      <c r="I69">
        <f t="shared" si="100"/>
        <v>0.72624999999999995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6.2377950673852663E-2</v>
      </c>
      <c r="P69" s="4">
        <v>8</v>
      </c>
      <c r="Q69" s="5">
        <f t="shared" si="103"/>
        <v>2.9276500000000003</v>
      </c>
      <c r="R69" s="5">
        <f t="shared" si="103"/>
        <v>0.72624999999999995</v>
      </c>
      <c r="S69" s="5">
        <f t="shared" si="104"/>
        <v>1.2197321812500002</v>
      </c>
      <c r="T69" s="5">
        <f t="shared" si="105"/>
        <v>7.3183930875000011E-2</v>
      </c>
      <c r="U69" s="5">
        <f t="shared" si="106"/>
        <v>0.16708660017123289</v>
      </c>
      <c r="V69" s="5">
        <f t="shared" si="99"/>
        <v>6.2377950673852663E-2</v>
      </c>
    </row>
    <row r="70" spans="2:22" x14ac:dyDescent="0.3">
      <c r="B70">
        <v>10</v>
      </c>
      <c r="C70">
        <v>18737.400000000001</v>
      </c>
      <c r="D70">
        <v>56439.7</v>
      </c>
      <c r="E70">
        <v>8612.9</v>
      </c>
      <c r="F70">
        <f t="shared" si="96"/>
        <v>5.6439699999999995</v>
      </c>
      <c r="G70">
        <f t="shared" si="97"/>
        <v>1.8737400000000002</v>
      </c>
      <c r="H70">
        <f t="shared" si="98"/>
        <v>3.7702299999999993</v>
      </c>
      <c r="I70">
        <f t="shared" si="100"/>
        <v>0.86129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4.4669992642433591E-2</v>
      </c>
      <c r="P70" s="4">
        <v>14</v>
      </c>
      <c r="Q70" s="5">
        <f t="shared" si="103"/>
        <v>3.7702299999999993</v>
      </c>
      <c r="R70" s="5">
        <f t="shared" si="103"/>
        <v>0.86129</v>
      </c>
      <c r="S70" s="5">
        <f t="shared" si="104"/>
        <v>0.89758404214285714</v>
      </c>
      <c r="T70" s="5">
        <f t="shared" si="105"/>
        <v>5.3855042528571428E-2</v>
      </c>
      <c r="U70" s="5">
        <f t="shared" si="106"/>
        <v>0.12295671810176126</v>
      </c>
      <c r="V70" s="5">
        <f t="shared" si="99"/>
        <v>4.4669992642433591E-2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2.8806696412112791E-2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2.8806696412112791E-2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2446.9</v>
      </c>
      <c r="D75">
        <v>40582.199999999997</v>
      </c>
      <c r="E75">
        <v>5721.8</v>
      </c>
      <c r="F75">
        <f t="shared" ref="F75:F85" si="108">D75/10000</f>
        <v>4.0582199999999995</v>
      </c>
      <c r="G75">
        <f t="shared" ref="G75:G85" si="109">C75/10000</f>
        <v>0.24469000000000002</v>
      </c>
      <c r="H75">
        <f t="shared" ref="H75:H85" si="110">F75-G75</f>
        <v>3.8135299999999996</v>
      </c>
      <c r="I75">
        <f>E75/10000</f>
        <v>0.57218000000000002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0.47192667271442051</v>
      </c>
      <c r="P75" s="2">
        <v>3</v>
      </c>
      <c r="Q75" s="8">
        <f>H75</f>
        <v>3.8135299999999996</v>
      </c>
      <c r="R75" s="8">
        <f>I75</f>
        <v>0.57218000000000002</v>
      </c>
      <c r="S75" s="8">
        <f>Q75/10^6*$Z$4*$Z$3/P75*10^12</f>
        <v>4.2368318299999999</v>
      </c>
      <c r="T75" s="8">
        <f>S75*0.06</f>
        <v>0.25420990979999997</v>
      </c>
      <c r="U75" s="8">
        <f>S75/$Z$1</f>
        <v>0.58038792191780819</v>
      </c>
      <c r="V75" s="12">
        <f t="shared" ref="V75:V85" si="111">O75</f>
        <v>0.47192667271442051</v>
      </c>
    </row>
    <row r="76" spans="2:22" x14ac:dyDescent="0.3">
      <c r="B76">
        <v>2</v>
      </c>
      <c r="C76">
        <v>11018.5</v>
      </c>
      <c r="D76">
        <v>49074.8</v>
      </c>
      <c r="E76">
        <v>5015</v>
      </c>
      <c r="F76">
        <f t="shared" si="108"/>
        <v>4.9074800000000005</v>
      </c>
      <c r="G76">
        <f t="shared" si="109"/>
        <v>1.10185</v>
      </c>
      <c r="H76">
        <f t="shared" si="110"/>
        <v>3.8056300000000007</v>
      </c>
      <c r="I76">
        <f t="shared" ref="I76:I85" si="112">E76/10000</f>
        <v>0.50149999999999995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0.41861704240441577</v>
      </c>
      <c r="P76" s="4">
        <v>3</v>
      </c>
      <c r="Q76" s="5">
        <f t="shared" ref="Q76:R85" si="115">H76</f>
        <v>3.8056300000000007</v>
      </c>
      <c r="R76" s="5">
        <f t="shared" si="115"/>
        <v>0.50149999999999995</v>
      </c>
      <c r="S76" s="5">
        <f t="shared" ref="S76:S85" si="116">Q76/10^6*$Z$4*$Z$3/P76*10^12</f>
        <v>4.2280549300000008</v>
      </c>
      <c r="T76" s="5">
        <f t="shared" ref="T76:T85" si="117">S76*0.06</f>
        <v>0.25368329580000004</v>
      </c>
      <c r="U76" s="5">
        <f t="shared" ref="U76:U85" si="118">S76/$Z$1</f>
        <v>0.57918560684931519</v>
      </c>
      <c r="V76" s="5">
        <f t="shared" si="111"/>
        <v>0.41861704240441577</v>
      </c>
    </row>
    <row r="77" spans="2:22" x14ac:dyDescent="0.3">
      <c r="B77">
        <v>3</v>
      </c>
      <c r="C77">
        <v>12280.2</v>
      </c>
      <c r="D77">
        <v>62160.800000000003</v>
      </c>
      <c r="E77">
        <v>5649</v>
      </c>
      <c r="F77">
        <f t="shared" si="108"/>
        <v>6.2160800000000007</v>
      </c>
      <c r="G77">
        <f t="shared" si="109"/>
        <v>1.2280200000000001</v>
      </c>
      <c r="H77">
        <f t="shared" si="110"/>
        <v>4.9880600000000008</v>
      </c>
      <c r="I77">
        <f t="shared" si="112"/>
        <v>0.56489999999999996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0.36113829224159555</v>
      </c>
      <c r="P77" s="4">
        <v>3</v>
      </c>
      <c r="Q77" s="5">
        <f t="shared" si="115"/>
        <v>4.9880600000000008</v>
      </c>
      <c r="R77" s="5">
        <f t="shared" si="115"/>
        <v>0.56489999999999996</v>
      </c>
      <c r="S77" s="5">
        <f t="shared" si="116"/>
        <v>5.5417346600000021</v>
      </c>
      <c r="T77" s="5">
        <f t="shared" si="117"/>
        <v>0.33250407960000011</v>
      </c>
      <c r="U77" s="5">
        <f t="shared" si="118"/>
        <v>0.75914173424657561</v>
      </c>
      <c r="V77" s="5">
        <f t="shared" si="111"/>
        <v>0.36113829224159555</v>
      </c>
    </row>
    <row r="78" spans="2:22" x14ac:dyDescent="0.3">
      <c r="B78">
        <v>4</v>
      </c>
      <c r="C78">
        <v>34421.800000000003</v>
      </c>
      <c r="D78">
        <v>57363</v>
      </c>
      <c r="E78">
        <v>6636.5</v>
      </c>
      <c r="F78">
        <f t="shared" si="108"/>
        <v>5.7363</v>
      </c>
      <c r="G78">
        <f t="shared" si="109"/>
        <v>3.4421800000000005</v>
      </c>
      <c r="H78">
        <f t="shared" si="110"/>
        <v>2.2941199999999995</v>
      </c>
      <c r="I78">
        <f t="shared" si="112"/>
        <v>0.66364999999999996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0.21873269052119707</v>
      </c>
      <c r="P78" s="4">
        <v>3</v>
      </c>
      <c r="Q78" s="5">
        <f t="shared" si="115"/>
        <v>2.2941199999999995</v>
      </c>
      <c r="R78" s="5">
        <f t="shared" si="115"/>
        <v>0.66364999999999996</v>
      </c>
      <c r="S78" s="5">
        <f t="shared" si="116"/>
        <v>2.5487673199999992</v>
      </c>
      <c r="T78" s="5">
        <f t="shared" si="117"/>
        <v>0.15292603919999995</v>
      </c>
      <c r="U78" s="5">
        <f t="shared" si="118"/>
        <v>0.34914620821917797</v>
      </c>
      <c r="V78" s="5">
        <f t="shared" si="111"/>
        <v>0.21873269052119707</v>
      </c>
    </row>
    <row r="79" spans="2:22" x14ac:dyDescent="0.3">
      <c r="B79">
        <v>5</v>
      </c>
      <c r="C79">
        <v>28899.4</v>
      </c>
      <c r="D79">
        <v>56835.1</v>
      </c>
      <c r="E79">
        <v>5089.1000000000004</v>
      </c>
      <c r="F79">
        <f t="shared" si="108"/>
        <v>5.6835100000000001</v>
      </c>
      <c r="G79">
        <f t="shared" si="109"/>
        <v>2.8899400000000002</v>
      </c>
      <c r="H79">
        <f t="shared" si="110"/>
        <v>2.7935699999999999</v>
      </c>
      <c r="I79">
        <f t="shared" si="112"/>
        <v>0.50891000000000008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0.1580919714676555</v>
      </c>
      <c r="P79" s="4">
        <v>3</v>
      </c>
      <c r="Q79" s="5">
        <f t="shared" si="115"/>
        <v>2.7935699999999999</v>
      </c>
      <c r="R79" s="5">
        <f t="shared" si="115"/>
        <v>0.50891000000000008</v>
      </c>
      <c r="S79" s="5">
        <f t="shared" si="116"/>
        <v>3.1036562699999997</v>
      </c>
      <c r="T79" s="5">
        <f t="shared" si="117"/>
        <v>0.18621937619999998</v>
      </c>
      <c r="U79" s="5">
        <f t="shared" si="118"/>
        <v>0.42515839315068488</v>
      </c>
      <c r="V79" s="5">
        <f t="shared" si="111"/>
        <v>0.1580919714676555</v>
      </c>
    </row>
    <row r="80" spans="2:22" x14ac:dyDescent="0.3">
      <c r="B80">
        <v>6</v>
      </c>
      <c r="C80">
        <v>27360.9</v>
      </c>
      <c r="D80">
        <v>55001.7</v>
      </c>
      <c r="E80">
        <v>5789.9</v>
      </c>
      <c r="F80">
        <f t="shared" si="108"/>
        <v>5.5001699999999998</v>
      </c>
      <c r="G80">
        <f t="shared" si="109"/>
        <v>2.7360900000000004</v>
      </c>
      <c r="H80">
        <f t="shared" si="110"/>
        <v>2.7640799999999994</v>
      </c>
      <c r="I80">
        <f t="shared" si="112"/>
        <v>0.57899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0.10943008695708491</v>
      </c>
      <c r="P80" s="4">
        <v>4</v>
      </c>
      <c r="Q80" s="5">
        <f t="shared" si="115"/>
        <v>2.7640799999999994</v>
      </c>
      <c r="R80" s="5">
        <f t="shared" si="115"/>
        <v>0.57899</v>
      </c>
      <c r="S80" s="5">
        <f t="shared" si="116"/>
        <v>2.3031696599999996</v>
      </c>
      <c r="T80" s="5">
        <f t="shared" si="117"/>
        <v>0.13819017959999996</v>
      </c>
      <c r="U80" s="5">
        <f t="shared" si="118"/>
        <v>0.31550269315068485</v>
      </c>
      <c r="V80" s="5">
        <f t="shared" si="111"/>
        <v>0.10943008695708491</v>
      </c>
    </row>
    <row r="81" spans="2:22" x14ac:dyDescent="0.3">
      <c r="B81">
        <v>7</v>
      </c>
      <c r="C81">
        <v>33488.300000000003</v>
      </c>
      <c r="D81">
        <v>49049.3</v>
      </c>
      <c r="E81">
        <v>3974</v>
      </c>
      <c r="F81">
        <f t="shared" si="108"/>
        <v>4.9049300000000002</v>
      </c>
      <c r="G81">
        <f t="shared" si="109"/>
        <v>3.3488300000000004</v>
      </c>
      <c r="H81">
        <f t="shared" si="110"/>
        <v>1.5560999999999998</v>
      </c>
      <c r="I81">
        <f t="shared" si="112"/>
        <v>0.39739999999999998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7.9108775200242218E-2</v>
      </c>
      <c r="P81" s="4">
        <v>4</v>
      </c>
      <c r="Q81" s="5">
        <f t="shared" si="115"/>
        <v>1.5560999999999998</v>
      </c>
      <c r="R81" s="5">
        <f t="shared" si="115"/>
        <v>0.39739999999999998</v>
      </c>
      <c r="S81" s="5">
        <f t="shared" si="116"/>
        <v>1.2966203249999997</v>
      </c>
      <c r="T81" s="5">
        <f t="shared" si="117"/>
        <v>7.7797219499999973E-2</v>
      </c>
      <c r="U81" s="5">
        <f t="shared" si="118"/>
        <v>0.17761922260273968</v>
      </c>
      <c r="V81" s="5">
        <f t="shared" si="111"/>
        <v>7.9108775200242218E-2</v>
      </c>
    </row>
    <row r="82" spans="2:22" x14ac:dyDescent="0.3">
      <c r="B82">
        <v>8</v>
      </c>
      <c r="C82">
        <v>25134.3</v>
      </c>
      <c r="D82">
        <v>46897.9</v>
      </c>
      <c r="E82">
        <v>4380.3999999999996</v>
      </c>
      <c r="F82">
        <f t="shared" si="108"/>
        <v>4.6897900000000003</v>
      </c>
      <c r="G82">
        <f t="shared" si="109"/>
        <v>2.5134300000000001</v>
      </c>
      <c r="H82">
        <f t="shared" si="110"/>
        <v>2.1763600000000003</v>
      </c>
      <c r="I82">
        <f t="shared" si="112"/>
        <v>0.43803999999999998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6.6341851411621869E-2</v>
      </c>
      <c r="P82" s="4">
        <v>5</v>
      </c>
      <c r="Q82" s="5">
        <f t="shared" si="115"/>
        <v>2.1763600000000003</v>
      </c>
      <c r="R82" s="5">
        <f t="shared" si="115"/>
        <v>0.43803999999999998</v>
      </c>
      <c r="S82" s="5">
        <f t="shared" si="116"/>
        <v>1.4507615760000003</v>
      </c>
      <c r="T82" s="5">
        <f t="shared" si="117"/>
        <v>8.7045694560000011E-2</v>
      </c>
      <c r="U82" s="5">
        <f t="shared" si="118"/>
        <v>0.19873446246575346</v>
      </c>
      <c r="V82" s="5">
        <f t="shared" si="111"/>
        <v>6.6341851411621869E-2</v>
      </c>
    </row>
    <row r="83" spans="2:22" x14ac:dyDescent="0.3">
      <c r="B83">
        <v>9</v>
      </c>
      <c r="C83">
        <v>26838.5</v>
      </c>
      <c r="D83">
        <v>42816.2</v>
      </c>
      <c r="E83">
        <v>6456.4</v>
      </c>
      <c r="F83">
        <f t="shared" si="108"/>
        <v>4.2816199999999993</v>
      </c>
      <c r="G83">
        <f t="shared" si="109"/>
        <v>2.6838500000000001</v>
      </c>
      <c r="H83">
        <f t="shared" si="110"/>
        <v>1.5977699999999992</v>
      </c>
      <c r="I83">
        <f t="shared" si="112"/>
        <v>0.64563999999999999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5.3466814863302285E-2</v>
      </c>
      <c r="P83" s="4">
        <v>8</v>
      </c>
      <c r="Q83" s="5">
        <f t="shared" si="115"/>
        <v>1.5977699999999992</v>
      </c>
      <c r="R83" s="5">
        <f t="shared" si="115"/>
        <v>0.64563999999999999</v>
      </c>
      <c r="S83" s="5">
        <f t="shared" si="116"/>
        <v>0.66567092624999968</v>
      </c>
      <c r="T83" s="5">
        <f t="shared" si="117"/>
        <v>3.9940255574999979E-2</v>
      </c>
      <c r="U83" s="5">
        <f t="shared" si="118"/>
        <v>9.1187798116438318E-2</v>
      </c>
      <c r="V83" s="5">
        <f t="shared" si="111"/>
        <v>5.3466814863302285E-2</v>
      </c>
    </row>
    <row r="84" spans="2:22" x14ac:dyDescent="0.3">
      <c r="B84">
        <v>10</v>
      </c>
      <c r="C84">
        <v>22184.6</v>
      </c>
      <c r="D84">
        <v>52597.9</v>
      </c>
      <c r="E84">
        <v>8514.5</v>
      </c>
      <c r="F84">
        <f t="shared" si="108"/>
        <v>5.2597899999999997</v>
      </c>
      <c r="G84">
        <f t="shared" si="109"/>
        <v>2.2184599999999999</v>
      </c>
      <c r="H84">
        <f t="shared" si="110"/>
        <v>3.0413299999999999</v>
      </c>
      <c r="I84">
        <f t="shared" si="112"/>
        <v>0.85145000000000004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3.8288565122085935E-2</v>
      </c>
      <c r="P84" s="4">
        <v>14</v>
      </c>
      <c r="Q84" s="5">
        <f t="shared" si="115"/>
        <v>3.0413299999999999</v>
      </c>
      <c r="R84" s="5">
        <f t="shared" si="115"/>
        <v>0.85145000000000004</v>
      </c>
      <c r="S84" s="5">
        <f t="shared" si="116"/>
        <v>0.72405377785714287</v>
      </c>
      <c r="T84" s="5">
        <f t="shared" si="117"/>
        <v>4.3443226671428567E-2</v>
      </c>
      <c r="U84" s="5">
        <f t="shared" si="118"/>
        <v>9.9185449021526428E-2</v>
      </c>
      <c r="V84" s="5">
        <f t="shared" si="111"/>
        <v>3.8288565122085935E-2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2.4691454067525251E-2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2.4691454067525251E-2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-826</v>
      </c>
      <c r="D89">
        <v>41097.1</v>
      </c>
      <c r="E89">
        <v>6822.8</v>
      </c>
      <c r="F89">
        <f t="shared" ref="F89:F99" si="120">D89/10000</f>
        <v>4.1097099999999998</v>
      </c>
      <c r="G89">
        <f t="shared" ref="G89:G99" si="121">C89/10000</f>
        <v>-8.2600000000000007E-2</v>
      </c>
      <c r="H89">
        <f t="shared" ref="H89:H99" si="122">F89-G89</f>
        <v>4.19231</v>
      </c>
      <c r="I89">
        <f>E89/10000</f>
        <v>0.68228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0.41293583862511801</v>
      </c>
      <c r="P89" s="2">
        <v>3</v>
      </c>
      <c r="Q89" s="8">
        <f>H89</f>
        <v>4.19231</v>
      </c>
      <c r="R89" s="8">
        <f>I89</f>
        <v>0.68228</v>
      </c>
      <c r="S89" s="8">
        <f>Q89/10^6*$Z$4*$Z$3/P89*10^12</f>
        <v>4.6576564100000004</v>
      </c>
      <c r="T89" s="8">
        <f>S89*0.06</f>
        <v>0.27945938460000003</v>
      </c>
      <c r="U89" s="8">
        <f>S89/$Z$1</f>
        <v>0.63803512465753431</v>
      </c>
      <c r="V89" s="12">
        <f t="shared" ref="V89:V99" si="123">O89</f>
        <v>0.41293583862511801</v>
      </c>
    </row>
    <row r="90" spans="2:22" x14ac:dyDescent="0.3">
      <c r="B90">
        <v>2</v>
      </c>
      <c r="C90">
        <v>6958.2</v>
      </c>
      <c r="D90">
        <v>52505.599999999999</v>
      </c>
      <c r="E90">
        <v>6618.2</v>
      </c>
      <c r="F90">
        <f t="shared" si="120"/>
        <v>5.2505600000000001</v>
      </c>
      <c r="G90">
        <f t="shared" si="121"/>
        <v>0.69581999999999999</v>
      </c>
      <c r="H90">
        <f t="shared" si="122"/>
        <v>4.5547399999999998</v>
      </c>
      <c r="I90">
        <f t="shared" ref="I90:I99" si="124">E90/10000</f>
        <v>0.66181999999999996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0.3662899121038638</v>
      </c>
      <c r="P90" s="4">
        <v>3</v>
      </c>
      <c r="Q90" s="5">
        <f t="shared" ref="Q90:R99" si="127">H90</f>
        <v>4.5547399999999998</v>
      </c>
      <c r="R90" s="5">
        <f t="shared" si="127"/>
        <v>0.66181999999999996</v>
      </c>
      <c r="S90" s="5">
        <f t="shared" ref="S90:S99" si="128">Q90/10^6*$Z$4*$Z$3/P90*10^12</f>
        <v>5.0603161400000003</v>
      </c>
      <c r="T90" s="5">
        <f t="shared" ref="T90:T99" si="129">S90*0.06</f>
        <v>0.30361896840000002</v>
      </c>
      <c r="U90" s="5">
        <f t="shared" ref="U90:U99" si="130">S90/$Z$1</f>
        <v>0.69319399178082197</v>
      </c>
      <c r="V90" s="5">
        <f t="shared" si="123"/>
        <v>0.3662899121038638</v>
      </c>
    </row>
    <row r="91" spans="2:22" x14ac:dyDescent="0.3">
      <c r="B91">
        <v>3</v>
      </c>
      <c r="C91">
        <v>15930.4</v>
      </c>
      <c r="D91">
        <v>71242.600000000006</v>
      </c>
      <c r="E91">
        <v>5791.6</v>
      </c>
      <c r="F91">
        <f t="shared" si="120"/>
        <v>7.1242600000000005</v>
      </c>
      <c r="G91">
        <f t="shared" si="121"/>
        <v>1.59304</v>
      </c>
      <c r="H91">
        <f t="shared" si="122"/>
        <v>5.5312200000000002</v>
      </c>
      <c r="I91">
        <f t="shared" si="124"/>
        <v>0.57916000000000001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0.31599600571139608</v>
      </c>
      <c r="P91" s="4">
        <v>3</v>
      </c>
      <c r="Q91" s="5">
        <f t="shared" si="127"/>
        <v>5.5312200000000002</v>
      </c>
      <c r="R91" s="5">
        <f t="shared" si="127"/>
        <v>0.57916000000000001</v>
      </c>
      <c r="S91" s="5">
        <f t="shared" si="128"/>
        <v>6.1451854200000007</v>
      </c>
      <c r="T91" s="5">
        <f t="shared" si="129"/>
        <v>0.36871112520000004</v>
      </c>
      <c r="U91" s="5">
        <f t="shared" si="130"/>
        <v>0.84180622191780829</v>
      </c>
      <c r="V91" s="5">
        <f t="shared" si="123"/>
        <v>0.31599600571139608</v>
      </c>
    </row>
    <row r="92" spans="2:22" x14ac:dyDescent="0.3">
      <c r="B92">
        <v>4</v>
      </c>
      <c r="C92">
        <v>34009.199999999997</v>
      </c>
      <c r="D92">
        <v>61724.2</v>
      </c>
      <c r="E92">
        <v>5089.3</v>
      </c>
      <c r="F92">
        <f t="shared" si="120"/>
        <v>6.1724199999999998</v>
      </c>
      <c r="G92">
        <f t="shared" si="121"/>
        <v>3.4009199999999997</v>
      </c>
      <c r="H92">
        <f t="shared" si="122"/>
        <v>2.7715000000000001</v>
      </c>
      <c r="I92">
        <f t="shared" si="124"/>
        <v>0.50892999999999999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0.19139110420604744</v>
      </c>
      <c r="P92" s="4">
        <v>3</v>
      </c>
      <c r="Q92" s="5">
        <f t="shared" si="127"/>
        <v>2.7715000000000001</v>
      </c>
      <c r="R92" s="5">
        <f t="shared" si="127"/>
        <v>0.50892999999999999</v>
      </c>
      <c r="S92" s="5">
        <f t="shared" si="128"/>
        <v>3.0791365000000002</v>
      </c>
      <c r="T92" s="5">
        <f t="shared" si="129"/>
        <v>0.18474819000000001</v>
      </c>
      <c r="U92" s="5">
        <f t="shared" si="130"/>
        <v>0.42179952054794523</v>
      </c>
      <c r="V92" s="5">
        <f t="shared" si="123"/>
        <v>0.19139110420604744</v>
      </c>
    </row>
    <row r="93" spans="2:22" x14ac:dyDescent="0.3">
      <c r="B93">
        <v>5</v>
      </c>
      <c r="C93">
        <v>36876.1</v>
      </c>
      <c r="D93">
        <v>57045.3</v>
      </c>
      <c r="E93">
        <v>4995</v>
      </c>
      <c r="F93">
        <f t="shared" si="120"/>
        <v>5.7045300000000001</v>
      </c>
      <c r="G93">
        <f t="shared" si="121"/>
        <v>3.6876099999999998</v>
      </c>
      <c r="H93">
        <f t="shared" si="122"/>
        <v>2.0169200000000003</v>
      </c>
      <c r="I93">
        <f t="shared" si="124"/>
        <v>0.4995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0.13833047503419857</v>
      </c>
      <c r="P93" s="4">
        <v>3</v>
      </c>
      <c r="Q93" s="5">
        <f t="shared" si="127"/>
        <v>2.0169200000000003</v>
      </c>
      <c r="R93" s="5">
        <f t="shared" si="127"/>
        <v>0.4995</v>
      </c>
      <c r="S93" s="5">
        <f t="shared" si="128"/>
        <v>2.24079812</v>
      </c>
      <c r="T93" s="5">
        <f t="shared" si="129"/>
        <v>0.1344478872</v>
      </c>
      <c r="U93" s="5">
        <f t="shared" si="130"/>
        <v>0.3069586465753425</v>
      </c>
      <c r="V93" s="5">
        <f t="shared" si="123"/>
        <v>0.13833047503419857</v>
      </c>
    </row>
    <row r="94" spans="2:22" x14ac:dyDescent="0.3">
      <c r="B94">
        <v>6</v>
      </c>
      <c r="C94">
        <v>35148.9</v>
      </c>
      <c r="D94">
        <v>53800.1</v>
      </c>
      <c r="E94">
        <v>6882.6</v>
      </c>
      <c r="F94">
        <f t="shared" si="120"/>
        <v>5.3800099999999995</v>
      </c>
      <c r="G94">
        <f t="shared" si="121"/>
        <v>3.5148900000000003</v>
      </c>
      <c r="H94">
        <f t="shared" si="122"/>
        <v>1.8651199999999992</v>
      </c>
      <c r="I94">
        <f t="shared" si="124"/>
        <v>0.68825999999999998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9.5751326087449296E-2</v>
      </c>
      <c r="P94" s="4">
        <v>4</v>
      </c>
      <c r="Q94" s="5">
        <f t="shared" si="127"/>
        <v>1.8651199999999992</v>
      </c>
      <c r="R94" s="5">
        <f t="shared" si="127"/>
        <v>0.68825999999999998</v>
      </c>
      <c r="S94" s="5">
        <f t="shared" si="128"/>
        <v>1.5541112399999994</v>
      </c>
      <c r="T94" s="5">
        <f t="shared" si="129"/>
        <v>9.3246674399999965E-2</v>
      </c>
      <c r="U94" s="5">
        <f t="shared" si="130"/>
        <v>0.21289195068493144</v>
      </c>
      <c r="V94" s="5">
        <f t="shared" si="123"/>
        <v>9.5751326087449296E-2</v>
      </c>
    </row>
    <row r="95" spans="2:22" x14ac:dyDescent="0.3">
      <c r="B95">
        <v>7</v>
      </c>
      <c r="C95">
        <v>38053.9</v>
      </c>
      <c r="D95">
        <v>49347.4</v>
      </c>
      <c r="E95">
        <v>6906.9</v>
      </c>
      <c r="F95">
        <f t="shared" si="120"/>
        <v>4.9347400000000006</v>
      </c>
      <c r="G95">
        <f t="shared" si="121"/>
        <v>3.8053900000000001</v>
      </c>
      <c r="H95">
        <f t="shared" si="122"/>
        <v>1.1293500000000005</v>
      </c>
      <c r="I95">
        <f t="shared" si="124"/>
        <v>0.69068999999999992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6.9220178300211946E-2</v>
      </c>
      <c r="P95" s="4">
        <v>4</v>
      </c>
      <c r="Q95" s="5">
        <f t="shared" si="127"/>
        <v>1.1293500000000005</v>
      </c>
      <c r="R95" s="5">
        <f t="shared" si="127"/>
        <v>0.69068999999999992</v>
      </c>
      <c r="S95" s="5">
        <f t="shared" si="128"/>
        <v>0.94103088750000041</v>
      </c>
      <c r="T95" s="5">
        <f t="shared" si="129"/>
        <v>5.646185325000002E-2</v>
      </c>
      <c r="U95" s="5">
        <f t="shared" si="130"/>
        <v>0.12890834075342472</v>
      </c>
      <c r="V95" s="5">
        <f t="shared" si="123"/>
        <v>6.9220178300211946E-2</v>
      </c>
    </row>
    <row r="96" spans="2:22" x14ac:dyDescent="0.3">
      <c r="B96">
        <v>8</v>
      </c>
      <c r="C96">
        <v>22668.7</v>
      </c>
      <c r="D96">
        <v>42907.199999999997</v>
      </c>
      <c r="E96">
        <v>6473.2</v>
      </c>
      <c r="F96">
        <f t="shared" si="120"/>
        <v>4.2907199999999994</v>
      </c>
      <c r="G96">
        <f t="shared" si="121"/>
        <v>2.2668699999999999</v>
      </c>
      <c r="H96">
        <f t="shared" si="122"/>
        <v>2.0238499999999995</v>
      </c>
      <c r="I96">
        <f t="shared" si="124"/>
        <v>0.64732000000000001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5.8049119985169144E-2</v>
      </c>
      <c r="P96" s="4">
        <v>5</v>
      </c>
      <c r="Q96" s="5">
        <f t="shared" si="127"/>
        <v>2.0238499999999995</v>
      </c>
      <c r="R96" s="5">
        <f t="shared" si="127"/>
        <v>0.64732000000000001</v>
      </c>
      <c r="S96" s="5">
        <f t="shared" si="128"/>
        <v>1.3490984099999999</v>
      </c>
      <c r="T96" s="5">
        <f t="shared" si="129"/>
        <v>8.0945904599999993E-2</v>
      </c>
      <c r="U96" s="5">
        <f t="shared" si="130"/>
        <v>0.184808001369863</v>
      </c>
      <c r="V96" s="5">
        <f t="shared" si="123"/>
        <v>5.8049119985169144E-2</v>
      </c>
    </row>
    <row r="97" spans="2:22" x14ac:dyDescent="0.3">
      <c r="B97">
        <v>9</v>
      </c>
      <c r="C97">
        <v>21051.4</v>
      </c>
      <c r="D97">
        <v>45251.4</v>
      </c>
      <c r="E97">
        <v>7055.7</v>
      </c>
      <c r="F97">
        <f t="shared" si="120"/>
        <v>4.5251400000000004</v>
      </c>
      <c r="G97">
        <f t="shared" si="121"/>
        <v>2.10514</v>
      </c>
      <c r="H97">
        <f t="shared" si="122"/>
        <v>2.4200000000000004</v>
      </c>
      <c r="I97">
        <f t="shared" si="124"/>
        <v>0.70557000000000003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4.6783463005389499E-2</v>
      </c>
      <c r="P97" s="4">
        <v>8</v>
      </c>
      <c r="Q97" s="5">
        <f t="shared" si="127"/>
        <v>2.4200000000000004</v>
      </c>
      <c r="R97" s="5">
        <f t="shared" si="127"/>
        <v>0.70557000000000003</v>
      </c>
      <c r="S97" s="5">
        <f t="shared" si="128"/>
        <v>1.0082325000000003</v>
      </c>
      <c r="T97" s="5">
        <f t="shared" si="129"/>
        <v>6.0493950000000019E-2</v>
      </c>
      <c r="U97" s="5">
        <f t="shared" si="130"/>
        <v>0.13811404109589046</v>
      </c>
      <c r="V97" s="5">
        <f t="shared" si="123"/>
        <v>4.6783463005389499E-2</v>
      </c>
    </row>
    <row r="98" spans="2:22" x14ac:dyDescent="0.3">
      <c r="B98">
        <v>10</v>
      </c>
      <c r="C98">
        <v>16600.400000000001</v>
      </c>
      <c r="D98">
        <v>55964.4</v>
      </c>
      <c r="E98">
        <v>5740.1</v>
      </c>
      <c r="F98">
        <f t="shared" si="120"/>
        <v>5.5964400000000003</v>
      </c>
      <c r="G98">
        <f t="shared" si="121"/>
        <v>1.6600400000000002</v>
      </c>
      <c r="H98">
        <f t="shared" si="122"/>
        <v>3.9363999999999999</v>
      </c>
      <c r="I98">
        <f t="shared" si="124"/>
        <v>0.57401000000000002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3.3502494481825192E-2</v>
      </c>
      <c r="P98" s="4">
        <v>14</v>
      </c>
      <c r="Q98" s="5">
        <f t="shared" si="127"/>
        <v>3.9363999999999999</v>
      </c>
      <c r="R98" s="5">
        <f t="shared" si="127"/>
        <v>0.57401000000000002</v>
      </c>
      <c r="S98" s="5">
        <f t="shared" si="128"/>
        <v>0.93714437142857143</v>
      </c>
      <c r="T98" s="5">
        <f t="shared" si="129"/>
        <v>5.6228662285714284E-2</v>
      </c>
      <c r="U98" s="5">
        <f t="shared" si="130"/>
        <v>0.12837594129158514</v>
      </c>
      <c r="V98" s="5">
        <f t="shared" si="123"/>
        <v>3.3502494481825192E-2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2.1605022309084593E-2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2.1605022309084593E-2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-4001.9</v>
      </c>
      <c r="D103">
        <v>36369</v>
      </c>
      <c r="E103">
        <v>7602.4</v>
      </c>
      <c r="F103">
        <f t="shared" ref="F103:F113" si="132">D103/10000</f>
        <v>3.6368999999999998</v>
      </c>
      <c r="G103">
        <f t="shared" ref="G103:G113" si="133">C103/10000</f>
        <v>-0.40018999999999999</v>
      </c>
      <c r="H103">
        <f t="shared" ref="H103:H113" si="134">F103-G103</f>
        <v>4.0370900000000001</v>
      </c>
      <c r="I103">
        <f>E103/10000</f>
        <v>0.76023999999999992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0.36705407877788265</v>
      </c>
      <c r="P103" s="2">
        <v>3</v>
      </c>
      <c r="Q103" s="8">
        <f>H103</f>
        <v>4.0370900000000001</v>
      </c>
      <c r="R103" s="8">
        <f>I103</f>
        <v>0.76023999999999992</v>
      </c>
      <c r="S103" s="8">
        <f>Q103/10^6*$Z$4*$Z$3/P103*10^12</f>
        <v>4.48520699</v>
      </c>
      <c r="T103" s="8">
        <f>S103*0.06</f>
        <v>0.26911241939999997</v>
      </c>
      <c r="U103" s="8">
        <f>S103/$Z$1</f>
        <v>0.61441191643835613</v>
      </c>
      <c r="V103" s="12">
        <f t="shared" ref="V103:V113" si="135">O103</f>
        <v>0.36705407877788265</v>
      </c>
    </row>
    <row r="104" spans="2:22" x14ac:dyDescent="0.3">
      <c r="B104">
        <v>2</v>
      </c>
      <c r="C104">
        <v>13858.7</v>
      </c>
      <c r="D104">
        <v>44568.6</v>
      </c>
      <c r="E104">
        <v>5801.4</v>
      </c>
      <c r="F104">
        <f t="shared" si="132"/>
        <v>4.4568599999999998</v>
      </c>
      <c r="G104">
        <f t="shared" si="133"/>
        <v>1.3858700000000002</v>
      </c>
      <c r="H104">
        <f t="shared" si="134"/>
        <v>3.0709899999999997</v>
      </c>
      <c r="I104">
        <f t="shared" ref="I104:I113" si="136">E104/10000</f>
        <v>0.58013999999999999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0.32559103298121223</v>
      </c>
      <c r="P104" s="4">
        <v>3</v>
      </c>
      <c r="Q104" s="5">
        <f t="shared" ref="Q104:R113" si="139">H104</f>
        <v>3.0709899999999997</v>
      </c>
      <c r="R104" s="5">
        <f t="shared" si="139"/>
        <v>0.58013999999999999</v>
      </c>
      <c r="S104" s="5">
        <f t="shared" ref="S104:S113" si="140">Q104/10^6*$Z$4*$Z$3/P104*10^12</f>
        <v>3.4118698899999997</v>
      </c>
      <c r="T104" s="5">
        <f t="shared" ref="T104:T113" si="141">S104*0.06</f>
        <v>0.20471219339999996</v>
      </c>
      <c r="U104" s="5">
        <f t="shared" ref="U104:U113" si="142">S104/$Z$1</f>
        <v>0.46737943698630136</v>
      </c>
      <c r="V104" s="5">
        <f t="shared" si="135"/>
        <v>0.32559103298121223</v>
      </c>
    </row>
    <row r="105" spans="2:22" x14ac:dyDescent="0.3">
      <c r="B105">
        <v>3</v>
      </c>
      <c r="C105">
        <v>4676.1000000000004</v>
      </c>
      <c r="D105">
        <v>50791.9</v>
      </c>
      <c r="E105">
        <v>5705</v>
      </c>
      <c r="F105">
        <f t="shared" si="132"/>
        <v>5.0791900000000005</v>
      </c>
      <c r="G105">
        <f t="shared" si="133"/>
        <v>0.46761000000000003</v>
      </c>
      <c r="H105">
        <f t="shared" si="134"/>
        <v>4.6115800000000009</v>
      </c>
      <c r="I105">
        <f t="shared" si="136"/>
        <v>0.57050000000000001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0.28088533841012986</v>
      </c>
      <c r="P105" s="4">
        <v>3</v>
      </c>
      <c r="Q105" s="5">
        <f t="shared" si="139"/>
        <v>4.6115800000000009</v>
      </c>
      <c r="R105" s="5">
        <f t="shared" si="139"/>
        <v>0.57050000000000001</v>
      </c>
      <c r="S105" s="5">
        <f t="shared" si="140"/>
        <v>5.1234653800000016</v>
      </c>
      <c r="T105" s="5">
        <f t="shared" si="141"/>
        <v>0.30740792280000007</v>
      </c>
      <c r="U105" s="5">
        <f t="shared" si="142"/>
        <v>0.70184457260273991</v>
      </c>
      <c r="V105" s="5">
        <f t="shared" si="135"/>
        <v>0.28088533841012986</v>
      </c>
    </row>
    <row r="106" spans="2:22" x14ac:dyDescent="0.3">
      <c r="B106">
        <v>4</v>
      </c>
      <c r="C106">
        <v>27136</v>
      </c>
      <c r="D106">
        <v>56720.2</v>
      </c>
      <c r="E106">
        <v>3929.3</v>
      </c>
      <c r="F106">
        <f t="shared" si="132"/>
        <v>5.6720199999999998</v>
      </c>
      <c r="G106">
        <f t="shared" si="133"/>
        <v>2.7136</v>
      </c>
      <c r="H106">
        <f t="shared" si="134"/>
        <v>2.9584199999999998</v>
      </c>
      <c r="I106">
        <f t="shared" si="136"/>
        <v>0.39293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0.17012542596093105</v>
      </c>
      <c r="P106" s="4">
        <v>3</v>
      </c>
      <c r="Q106" s="5">
        <f t="shared" si="139"/>
        <v>2.9584199999999998</v>
      </c>
      <c r="R106" s="5">
        <f t="shared" si="139"/>
        <v>0.39293</v>
      </c>
      <c r="S106" s="5">
        <f t="shared" si="140"/>
        <v>3.2868046199999994</v>
      </c>
      <c r="T106" s="5">
        <f t="shared" si="141"/>
        <v>0.19720827719999995</v>
      </c>
      <c r="U106" s="5">
        <f t="shared" si="142"/>
        <v>0.45024720821917802</v>
      </c>
      <c r="V106" s="5">
        <f t="shared" si="135"/>
        <v>0.17012542596093105</v>
      </c>
    </row>
    <row r="107" spans="2:22" x14ac:dyDescent="0.3">
      <c r="B107">
        <v>5</v>
      </c>
      <c r="C107">
        <v>17519.5</v>
      </c>
      <c r="D107">
        <v>56889.599999999999</v>
      </c>
      <c r="E107">
        <v>4094.1</v>
      </c>
      <c r="F107">
        <f t="shared" si="132"/>
        <v>5.6889599999999998</v>
      </c>
      <c r="G107">
        <f t="shared" si="133"/>
        <v>1.7519499999999999</v>
      </c>
      <c r="H107">
        <f t="shared" si="134"/>
        <v>3.9370099999999999</v>
      </c>
      <c r="I107">
        <f t="shared" si="136"/>
        <v>0.40941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0.12296042225262094</v>
      </c>
      <c r="P107" s="4">
        <v>3</v>
      </c>
      <c r="Q107" s="5">
        <f t="shared" si="139"/>
        <v>3.9370099999999999</v>
      </c>
      <c r="R107" s="5">
        <f t="shared" si="139"/>
        <v>0.40941</v>
      </c>
      <c r="S107" s="5">
        <f t="shared" si="140"/>
        <v>4.3740181099999997</v>
      </c>
      <c r="T107" s="5">
        <f t="shared" si="141"/>
        <v>0.26244108659999998</v>
      </c>
      <c r="U107" s="5">
        <f t="shared" si="142"/>
        <v>0.5991805630136986</v>
      </c>
      <c r="V107" s="5">
        <f t="shared" si="135"/>
        <v>0.12296042225262094</v>
      </c>
    </row>
    <row r="108" spans="2:22" x14ac:dyDescent="0.3">
      <c r="B108">
        <v>6</v>
      </c>
      <c r="C108">
        <v>24383.5</v>
      </c>
      <c r="D108">
        <v>54690.6</v>
      </c>
      <c r="E108">
        <v>4900.2</v>
      </c>
      <c r="F108">
        <f t="shared" si="132"/>
        <v>5.4690599999999998</v>
      </c>
      <c r="G108">
        <f t="shared" si="133"/>
        <v>2.4383499999999998</v>
      </c>
      <c r="H108">
        <f t="shared" si="134"/>
        <v>3.03071</v>
      </c>
      <c r="I108">
        <f t="shared" si="136"/>
        <v>0.49001999999999996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8.511228985551049E-2</v>
      </c>
      <c r="P108" s="4">
        <v>4</v>
      </c>
      <c r="Q108" s="5">
        <f t="shared" si="139"/>
        <v>3.03071</v>
      </c>
      <c r="R108" s="5">
        <f t="shared" si="139"/>
        <v>0.49001999999999996</v>
      </c>
      <c r="S108" s="5">
        <f t="shared" si="140"/>
        <v>2.5253391075000002</v>
      </c>
      <c r="T108" s="5">
        <f t="shared" si="141"/>
        <v>0.15152034645000001</v>
      </c>
      <c r="U108" s="5">
        <f t="shared" si="142"/>
        <v>0.34593686404109592</v>
      </c>
      <c r="V108" s="5">
        <f t="shared" si="135"/>
        <v>8.511228985551049E-2</v>
      </c>
    </row>
    <row r="109" spans="2:22" x14ac:dyDescent="0.3">
      <c r="B109">
        <v>7</v>
      </c>
      <c r="C109">
        <v>27818.2</v>
      </c>
      <c r="D109">
        <v>49028.5</v>
      </c>
      <c r="E109">
        <v>5170.3</v>
      </c>
      <c r="F109">
        <f t="shared" si="132"/>
        <v>4.9028499999999999</v>
      </c>
      <c r="G109">
        <f t="shared" si="133"/>
        <v>2.7818200000000002</v>
      </c>
      <c r="H109">
        <f t="shared" si="134"/>
        <v>2.1210299999999997</v>
      </c>
      <c r="I109">
        <f t="shared" si="136"/>
        <v>0.51702999999999999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6.1529047377966169E-2</v>
      </c>
      <c r="P109" s="4">
        <v>4</v>
      </c>
      <c r="Q109" s="5">
        <f t="shared" si="139"/>
        <v>2.1210299999999997</v>
      </c>
      <c r="R109" s="5">
        <f t="shared" si="139"/>
        <v>0.51702999999999999</v>
      </c>
      <c r="S109" s="5">
        <f t="shared" si="140"/>
        <v>1.7673482474999997</v>
      </c>
      <c r="T109" s="5">
        <f t="shared" si="141"/>
        <v>0.10604089484999998</v>
      </c>
      <c r="U109" s="5">
        <f t="shared" si="142"/>
        <v>0.24210249965753422</v>
      </c>
      <c r="V109" s="5">
        <f t="shared" si="135"/>
        <v>6.1529047377966169E-2</v>
      </c>
    </row>
    <row r="110" spans="2:22" x14ac:dyDescent="0.3">
      <c r="B110">
        <v>8</v>
      </c>
      <c r="C110">
        <v>30407.8</v>
      </c>
      <c r="D110">
        <v>48048</v>
      </c>
      <c r="E110">
        <v>5711.8</v>
      </c>
      <c r="F110">
        <f t="shared" si="132"/>
        <v>4.8048000000000002</v>
      </c>
      <c r="G110">
        <f t="shared" si="133"/>
        <v>3.0407799999999998</v>
      </c>
      <c r="H110">
        <f t="shared" si="134"/>
        <v>1.7640200000000004</v>
      </c>
      <c r="I110">
        <f t="shared" si="136"/>
        <v>0.57118000000000002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5.1599217764594786E-2</v>
      </c>
      <c r="P110" s="4">
        <v>5</v>
      </c>
      <c r="Q110" s="5">
        <f t="shared" si="139"/>
        <v>1.7640200000000004</v>
      </c>
      <c r="R110" s="5">
        <f t="shared" si="139"/>
        <v>0.57118000000000002</v>
      </c>
      <c r="S110" s="5">
        <f t="shared" si="140"/>
        <v>1.1758957320000003</v>
      </c>
      <c r="T110" s="5">
        <f t="shared" si="141"/>
        <v>7.0553743920000009E-2</v>
      </c>
      <c r="U110" s="5">
        <f t="shared" si="142"/>
        <v>0.16108160712328773</v>
      </c>
      <c r="V110" s="5">
        <f t="shared" si="135"/>
        <v>5.1599217764594786E-2</v>
      </c>
    </row>
    <row r="111" spans="2:22" x14ac:dyDescent="0.3">
      <c r="B111">
        <v>9</v>
      </c>
      <c r="C111">
        <v>36811.300000000003</v>
      </c>
      <c r="D111">
        <v>53983.6</v>
      </c>
      <c r="E111">
        <v>6018.5</v>
      </c>
      <c r="F111">
        <f t="shared" si="132"/>
        <v>5.3983600000000003</v>
      </c>
      <c r="G111">
        <f t="shared" si="133"/>
        <v>3.6811300000000005</v>
      </c>
      <c r="H111">
        <f t="shared" si="134"/>
        <v>1.7172299999999998</v>
      </c>
      <c r="I111">
        <f t="shared" si="136"/>
        <v>0.60185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4.1585300449235113E-2</v>
      </c>
      <c r="P111" s="4">
        <v>8</v>
      </c>
      <c r="Q111" s="5">
        <f t="shared" si="139"/>
        <v>1.7172299999999998</v>
      </c>
      <c r="R111" s="5">
        <f t="shared" si="139"/>
        <v>0.60185</v>
      </c>
      <c r="S111" s="5">
        <f t="shared" si="140"/>
        <v>0.71544094874999997</v>
      </c>
      <c r="T111" s="5">
        <f t="shared" si="141"/>
        <v>4.2926456924999995E-2</v>
      </c>
      <c r="U111" s="5">
        <f t="shared" si="142"/>
        <v>9.8005609417808212E-2</v>
      </c>
      <c r="V111" s="5">
        <f t="shared" si="135"/>
        <v>4.1585300449235113E-2</v>
      </c>
    </row>
    <row r="112" spans="2:22" x14ac:dyDescent="0.3">
      <c r="B112">
        <v>10</v>
      </c>
      <c r="C112">
        <v>28640</v>
      </c>
      <c r="D112">
        <v>57071.6</v>
      </c>
      <c r="E112">
        <v>4496.8999999999996</v>
      </c>
      <c r="F112">
        <f t="shared" si="132"/>
        <v>5.70716</v>
      </c>
      <c r="G112">
        <f t="shared" si="133"/>
        <v>2.8639999999999999</v>
      </c>
      <c r="H112">
        <f t="shared" si="134"/>
        <v>2.8431600000000001</v>
      </c>
      <c r="I112">
        <f t="shared" si="136"/>
        <v>0.44968999999999998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2.9779995094955727E-2</v>
      </c>
      <c r="P112" s="4">
        <v>14</v>
      </c>
      <c r="Q112" s="5">
        <f t="shared" si="139"/>
        <v>2.8431600000000001</v>
      </c>
      <c r="R112" s="5">
        <f t="shared" si="139"/>
        <v>0.44968999999999998</v>
      </c>
      <c r="S112" s="5">
        <f t="shared" si="140"/>
        <v>0.676875162857143</v>
      </c>
      <c r="T112" s="5">
        <f t="shared" si="141"/>
        <v>4.0612509771428579E-2</v>
      </c>
      <c r="U112" s="5">
        <f t="shared" si="142"/>
        <v>9.2722625048923701E-2</v>
      </c>
      <c r="V112" s="5">
        <f t="shared" si="135"/>
        <v>2.9779995094955727E-2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1.9204464274741862E-2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1.9204464274741862E-2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-5606.5</v>
      </c>
      <c r="D117">
        <v>26454.1</v>
      </c>
      <c r="E117">
        <v>7403.8</v>
      </c>
      <c r="F117">
        <f t="shared" ref="F117:F127" si="144">D117/10000</f>
        <v>2.64541</v>
      </c>
      <c r="G117">
        <f t="shared" ref="G117:G127" si="145">C117/10000</f>
        <v>-0.56064999999999998</v>
      </c>
      <c r="H117">
        <f t="shared" ref="H117:H127" si="146">F117-G117</f>
        <v>3.2060599999999999</v>
      </c>
      <c r="I117">
        <f>E117/10000</f>
        <v>0.74038000000000004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0.3303486709000944</v>
      </c>
      <c r="P117" s="2">
        <v>3</v>
      </c>
      <c r="Q117" s="8">
        <f>H117</f>
        <v>3.2060599999999999</v>
      </c>
      <c r="R117" s="8">
        <f>I117</f>
        <v>0.74038000000000004</v>
      </c>
      <c r="S117" s="8">
        <f>Q117/10^6*$Z$4*$Z$3/P117*10^12</f>
        <v>3.5619326599999996</v>
      </c>
      <c r="T117" s="8">
        <f>S117*0.06</f>
        <v>0.21371595959999998</v>
      </c>
      <c r="U117" s="8">
        <f>S117/$Z$1</f>
        <v>0.48793598082191775</v>
      </c>
      <c r="V117" s="12">
        <f t="shared" ref="V117:V127" si="147">O117</f>
        <v>0.3303486709000944</v>
      </c>
    </row>
    <row r="118" spans="2:22" x14ac:dyDescent="0.3">
      <c r="B118">
        <v>2</v>
      </c>
      <c r="C118">
        <v>3612.8</v>
      </c>
      <c r="D118">
        <v>51610.7</v>
      </c>
      <c r="E118">
        <v>5029.7</v>
      </c>
      <c r="F118">
        <f t="shared" si="144"/>
        <v>5.1610699999999996</v>
      </c>
      <c r="G118">
        <f t="shared" si="145"/>
        <v>0.36128000000000005</v>
      </c>
      <c r="H118">
        <f t="shared" si="146"/>
        <v>4.7997899999999998</v>
      </c>
      <c r="I118">
        <f t="shared" ref="I118:I127" si="148">E118/10000</f>
        <v>0.50297000000000003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0.29303192968309105</v>
      </c>
      <c r="P118" s="4">
        <v>3</v>
      </c>
      <c r="Q118" s="5">
        <f t="shared" ref="Q118:R127" si="151">H118</f>
        <v>4.7997899999999998</v>
      </c>
      <c r="R118" s="5">
        <f t="shared" si="151"/>
        <v>0.50297000000000003</v>
      </c>
      <c r="S118" s="5">
        <f t="shared" ref="S118:S127" si="152">Q118/10^6*$Z$4*$Z$3/P118*10^12</f>
        <v>5.3325666899999993</v>
      </c>
      <c r="T118" s="5">
        <f t="shared" ref="T118:T127" si="153">S118*0.06</f>
        <v>0.31995400139999997</v>
      </c>
      <c r="U118" s="5">
        <f t="shared" ref="U118:U127" si="154">S118/$Z$1</f>
        <v>0.73048858767123281</v>
      </c>
      <c r="V118" s="5">
        <f t="shared" si="147"/>
        <v>0.29303192968309105</v>
      </c>
    </row>
    <row r="119" spans="2:22" x14ac:dyDescent="0.3">
      <c r="B119">
        <v>3</v>
      </c>
      <c r="C119">
        <v>26416.9</v>
      </c>
      <c r="D119">
        <v>54943.7</v>
      </c>
      <c r="E119">
        <v>5602.2</v>
      </c>
      <c r="F119">
        <f t="shared" si="144"/>
        <v>5.49437</v>
      </c>
      <c r="G119">
        <f t="shared" si="145"/>
        <v>2.6416900000000001</v>
      </c>
      <c r="H119">
        <f t="shared" si="146"/>
        <v>2.8526799999999999</v>
      </c>
      <c r="I119">
        <f t="shared" si="148"/>
        <v>0.56021999999999994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0.25279680456911685</v>
      </c>
      <c r="P119" s="4">
        <v>3</v>
      </c>
      <c r="Q119" s="5">
        <f t="shared" si="151"/>
        <v>2.8526799999999999</v>
      </c>
      <c r="R119" s="5">
        <f t="shared" si="151"/>
        <v>0.56021999999999994</v>
      </c>
      <c r="S119" s="5">
        <f t="shared" si="152"/>
        <v>3.1693274799999993</v>
      </c>
      <c r="T119" s="5">
        <f t="shared" si="153"/>
        <v>0.19015964879999994</v>
      </c>
      <c r="U119" s="5">
        <f t="shared" si="154"/>
        <v>0.43415444931506841</v>
      </c>
      <c r="V119" s="5">
        <f t="shared" si="147"/>
        <v>0.25279680456911685</v>
      </c>
    </row>
    <row r="120" spans="2:22" x14ac:dyDescent="0.3">
      <c r="B120">
        <v>4</v>
      </c>
      <c r="C120">
        <v>14099</v>
      </c>
      <c r="D120">
        <v>57653.1</v>
      </c>
      <c r="E120">
        <v>4403.3</v>
      </c>
      <c r="F120">
        <f t="shared" si="144"/>
        <v>5.7653099999999995</v>
      </c>
      <c r="G120">
        <f t="shared" si="145"/>
        <v>1.4098999999999999</v>
      </c>
      <c r="H120">
        <f t="shared" si="146"/>
        <v>4.3554099999999991</v>
      </c>
      <c r="I120">
        <f t="shared" si="148"/>
        <v>0.44033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0.15311288336483794</v>
      </c>
      <c r="P120" s="4">
        <v>3</v>
      </c>
      <c r="Q120" s="5">
        <f t="shared" si="151"/>
        <v>4.3554099999999991</v>
      </c>
      <c r="R120" s="5">
        <f t="shared" si="151"/>
        <v>0.44033</v>
      </c>
      <c r="S120" s="5">
        <f t="shared" si="152"/>
        <v>4.8388605099999982</v>
      </c>
      <c r="T120" s="5">
        <f t="shared" si="153"/>
        <v>0.29033163059999989</v>
      </c>
      <c r="U120" s="5">
        <f t="shared" si="154"/>
        <v>0.66285760410958883</v>
      </c>
      <c r="V120" s="5">
        <f t="shared" si="147"/>
        <v>0.15311288336483794</v>
      </c>
    </row>
    <row r="121" spans="2:22" x14ac:dyDescent="0.3">
      <c r="B121">
        <v>5</v>
      </c>
      <c r="C121">
        <v>20801</v>
      </c>
      <c r="D121">
        <v>51342</v>
      </c>
      <c r="E121">
        <v>3616</v>
      </c>
      <c r="F121">
        <f t="shared" si="144"/>
        <v>5.1341999999999999</v>
      </c>
      <c r="G121">
        <f t="shared" si="145"/>
        <v>2.0800999999999998</v>
      </c>
      <c r="H121">
        <f t="shared" si="146"/>
        <v>3.0541</v>
      </c>
      <c r="I121">
        <f t="shared" si="148"/>
        <v>0.36159999999999998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0.11066438002735884</v>
      </c>
      <c r="P121" s="4">
        <v>3</v>
      </c>
      <c r="Q121" s="5">
        <f t="shared" si="151"/>
        <v>3.0541</v>
      </c>
      <c r="R121" s="5">
        <f t="shared" si="151"/>
        <v>0.36159999999999998</v>
      </c>
      <c r="S121" s="5">
        <f t="shared" si="152"/>
        <v>3.3931050999999997</v>
      </c>
      <c r="T121" s="5">
        <f t="shared" si="153"/>
        <v>0.20358630599999997</v>
      </c>
      <c r="U121" s="5">
        <f t="shared" si="154"/>
        <v>0.46480891780821915</v>
      </c>
      <c r="V121" s="5">
        <f t="shared" si="147"/>
        <v>0.11066438002735884</v>
      </c>
    </row>
    <row r="122" spans="2:22" x14ac:dyDescent="0.3">
      <c r="B122">
        <v>6</v>
      </c>
      <c r="C122">
        <v>26714.7</v>
      </c>
      <c r="D122">
        <v>52288.7</v>
      </c>
      <c r="E122">
        <v>4603.8999999999996</v>
      </c>
      <c r="F122">
        <f t="shared" si="144"/>
        <v>5.2288699999999997</v>
      </c>
      <c r="G122">
        <f t="shared" si="145"/>
        <v>2.6714700000000002</v>
      </c>
      <c r="H122">
        <f t="shared" si="146"/>
        <v>2.5573999999999995</v>
      </c>
      <c r="I122">
        <f t="shared" si="148"/>
        <v>0.46038999999999997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7.6601060869959436E-2</v>
      </c>
      <c r="P122" s="4">
        <v>4</v>
      </c>
      <c r="Q122" s="5">
        <f t="shared" si="151"/>
        <v>2.5573999999999995</v>
      </c>
      <c r="R122" s="5">
        <f t="shared" si="151"/>
        <v>0.46038999999999997</v>
      </c>
      <c r="S122" s="5">
        <f t="shared" si="152"/>
        <v>2.1309535499999996</v>
      </c>
      <c r="T122" s="5">
        <f t="shared" si="153"/>
        <v>0.12785721299999997</v>
      </c>
      <c r="U122" s="5">
        <f t="shared" si="154"/>
        <v>0.2919114452054794</v>
      </c>
      <c r="V122" s="5">
        <f t="shared" si="147"/>
        <v>7.6601060869959436E-2</v>
      </c>
    </row>
    <row r="123" spans="2:22" x14ac:dyDescent="0.3">
      <c r="B123">
        <v>7</v>
      </c>
      <c r="C123">
        <v>23004</v>
      </c>
      <c r="D123">
        <v>48813.8</v>
      </c>
      <c r="E123">
        <v>5010.8</v>
      </c>
      <c r="F123">
        <f t="shared" si="144"/>
        <v>4.8813800000000001</v>
      </c>
      <c r="G123">
        <f t="shared" si="145"/>
        <v>2.3003999999999998</v>
      </c>
      <c r="H123">
        <f t="shared" si="146"/>
        <v>2.5809800000000003</v>
      </c>
      <c r="I123">
        <f t="shared" si="148"/>
        <v>0.50107999999999997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5.5376142640169553E-2</v>
      </c>
      <c r="P123" s="4">
        <v>4</v>
      </c>
      <c r="Q123" s="5">
        <f t="shared" si="151"/>
        <v>2.5809800000000003</v>
      </c>
      <c r="R123" s="5">
        <f t="shared" si="151"/>
        <v>0.50107999999999997</v>
      </c>
      <c r="S123" s="5">
        <f t="shared" si="152"/>
        <v>2.1506015850000004</v>
      </c>
      <c r="T123" s="5">
        <f t="shared" si="153"/>
        <v>0.12903609510000003</v>
      </c>
      <c r="U123" s="5">
        <f t="shared" si="154"/>
        <v>0.29460295684931515</v>
      </c>
      <c r="V123" s="5">
        <f t="shared" si="147"/>
        <v>5.5376142640169553E-2</v>
      </c>
    </row>
    <row r="124" spans="2:22" x14ac:dyDescent="0.3">
      <c r="B124">
        <v>8</v>
      </c>
      <c r="C124">
        <v>39342.5</v>
      </c>
      <c r="D124">
        <v>46852.6</v>
      </c>
      <c r="E124">
        <v>4833.2</v>
      </c>
      <c r="F124">
        <f t="shared" si="144"/>
        <v>4.6852599999999995</v>
      </c>
      <c r="G124">
        <f t="shared" si="145"/>
        <v>3.93425</v>
      </c>
      <c r="H124">
        <f t="shared" si="146"/>
        <v>0.75100999999999951</v>
      </c>
      <c r="I124">
        <f t="shared" si="148"/>
        <v>0.48331999999999997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4.6439295988135315E-2</v>
      </c>
      <c r="P124" s="4">
        <v>5</v>
      </c>
      <c r="Q124" s="5">
        <f t="shared" si="151"/>
        <v>0.75100999999999951</v>
      </c>
      <c r="R124" s="5">
        <f t="shared" si="151"/>
        <v>0.48331999999999997</v>
      </c>
      <c r="S124" s="5">
        <f t="shared" si="152"/>
        <v>0.50062326599999984</v>
      </c>
      <c r="T124" s="5">
        <f t="shared" si="153"/>
        <v>3.0037395959999991E-2</v>
      </c>
      <c r="U124" s="5">
        <f t="shared" si="154"/>
        <v>6.8578529589041079E-2</v>
      </c>
      <c r="V124" s="5">
        <f t="shared" si="147"/>
        <v>4.6439295988135315E-2</v>
      </c>
    </row>
    <row r="125" spans="2:22" x14ac:dyDescent="0.3">
      <c r="B125">
        <v>9</v>
      </c>
      <c r="C125">
        <v>22801.200000000001</v>
      </c>
      <c r="D125">
        <v>55496.6</v>
      </c>
      <c r="E125">
        <v>6663.1</v>
      </c>
      <c r="F125">
        <f t="shared" si="144"/>
        <v>5.5496600000000003</v>
      </c>
      <c r="G125">
        <f t="shared" si="145"/>
        <v>2.2801200000000001</v>
      </c>
      <c r="H125">
        <f t="shared" si="146"/>
        <v>3.2695400000000001</v>
      </c>
      <c r="I125">
        <f t="shared" si="148"/>
        <v>0.66631000000000007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3.7426770404311603E-2</v>
      </c>
      <c r="P125" s="4">
        <v>8</v>
      </c>
      <c r="Q125" s="5">
        <f t="shared" si="151"/>
        <v>3.2695400000000001</v>
      </c>
      <c r="R125" s="5">
        <f t="shared" si="151"/>
        <v>0.66631000000000007</v>
      </c>
      <c r="S125" s="5">
        <f t="shared" si="152"/>
        <v>1.3621721025</v>
      </c>
      <c r="T125" s="5">
        <f t="shared" si="153"/>
        <v>8.1730326149999991E-2</v>
      </c>
      <c r="U125" s="5">
        <f t="shared" si="154"/>
        <v>0.18659891815068494</v>
      </c>
      <c r="V125" s="5">
        <f t="shared" si="147"/>
        <v>3.7426770404311603E-2</v>
      </c>
    </row>
    <row r="126" spans="2:22" x14ac:dyDescent="0.3">
      <c r="B126">
        <v>10</v>
      </c>
      <c r="C126">
        <v>12772.3</v>
      </c>
      <c r="D126">
        <v>46465.1</v>
      </c>
      <c r="E126">
        <v>6370.6</v>
      </c>
      <c r="F126">
        <f t="shared" si="144"/>
        <v>4.6465100000000001</v>
      </c>
      <c r="G126">
        <f t="shared" si="145"/>
        <v>1.2772299999999999</v>
      </c>
      <c r="H126">
        <f t="shared" si="146"/>
        <v>3.3692800000000003</v>
      </c>
      <c r="I126">
        <f t="shared" si="148"/>
        <v>0.63706000000000007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2.6801995585460158E-2</v>
      </c>
      <c r="P126" s="4">
        <v>14</v>
      </c>
      <c r="Q126" s="5">
        <f t="shared" si="151"/>
        <v>3.3692800000000003</v>
      </c>
      <c r="R126" s="5">
        <f t="shared" si="151"/>
        <v>0.63706000000000007</v>
      </c>
      <c r="S126" s="5">
        <f t="shared" si="152"/>
        <v>0.80212930285714301</v>
      </c>
      <c r="T126" s="5">
        <f t="shared" si="153"/>
        <v>4.8127758171428579E-2</v>
      </c>
      <c r="U126" s="5">
        <f t="shared" si="154"/>
        <v>0.10988072641878671</v>
      </c>
      <c r="V126" s="5">
        <f t="shared" si="147"/>
        <v>2.6801995585460158E-2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1.7284017847267675E-2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1.7284017847267675E-2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-2351</v>
      </c>
      <c r="D131">
        <v>32098.799999999999</v>
      </c>
      <c r="E131">
        <v>8969.4</v>
      </c>
      <c r="F131">
        <f t="shared" ref="F131:F141" si="156">D131/10000</f>
        <v>3.2098800000000001</v>
      </c>
      <c r="G131">
        <f t="shared" ref="G131:G141" si="157">C131/10000</f>
        <v>-0.2351</v>
      </c>
      <c r="H131">
        <f t="shared" ref="H131:H141" si="158">F131-G131</f>
        <v>3.4449800000000002</v>
      </c>
      <c r="I131">
        <f>E131/10000</f>
        <v>0.89693999999999996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0.22023244726672961</v>
      </c>
      <c r="P131" s="2">
        <v>3</v>
      </c>
      <c r="Q131" s="8">
        <f>H131</f>
        <v>3.4449800000000002</v>
      </c>
      <c r="R131" s="8">
        <f>I131</f>
        <v>0.89693999999999996</v>
      </c>
      <c r="S131" s="8">
        <f>Q131/10^6*$Z$4*$Z$3/P131*10^12</f>
        <v>3.8273727800000006</v>
      </c>
      <c r="T131" s="8">
        <f>S131*0.06</f>
        <v>0.22964236680000003</v>
      </c>
      <c r="U131" s="8">
        <f>S131/$Z$1</f>
        <v>0.5242976410958905</v>
      </c>
      <c r="V131" s="12">
        <f t="shared" ref="V131:V141" si="159">O131</f>
        <v>0.22023244726672961</v>
      </c>
    </row>
    <row r="132" spans="2:22" x14ac:dyDescent="0.3">
      <c r="B132">
        <v>2</v>
      </c>
      <c r="C132">
        <v>-1053.5999999999999</v>
      </c>
      <c r="D132">
        <v>43625.599999999999</v>
      </c>
      <c r="E132">
        <v>8582.7999999999993</v>
      </c>
      <c r="F132">
        <f t="shared" si="156"/>
        <v>4.3625600000000002</v>
      </c>
      <c r="G132">
        <f t="shared" si="157"/>
        <v>-0.10536</v>
      </c>
      <c r="H132">
        <f t="shared" si="158"/>
        <v>4.4679200000000003</v>
      </c>
      <c r="I132">
        <f t="shared" ref="I132:I141" si="160">E132/10000</f>
        <v>0.85827999999999993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0.19535461978872737</v>
      </c>
      <c r="P132" s="4">
        <v>3</v>
      </c>
      <c r="Q132" s="5">
        <f t="shared" ref="Q132:R141" si="163">H132</f>
        <v>4.4679200000000003</v>
      </c>
      <c r="R132" s="5">
        <f t="shared" si="163"/>
        <v>0.85827999999999993</v>
      </c>
      <c r="S132" s="5">
        <f t="shared" ref="S132:S141" si="164">Q132/10^6*$Z$4*$Z$3/P132*10^12</f>
        <v>4.9638591200000013</v>
      </c>
      <c r="T132" s="5">
        <f t="shared" ref="T132:T141" si="165">S132*0.06</f>
        <v>0.29783154720000005</v>
      </c>
      <c r="U132" s="5">
        <f t="shared" ref="U132:U141" si="166">S132/$Z$1</f>
        <v>0.67998070136986322</v>
      </c>
      <c r="V132" s="5">
        <f t="shared" si="159"/>
        <v>0.19535461978872737</v>
      </c>
    </row>
    <row r="133" spans="2:22" x14ac:dyDescent="0.3">
      <c r="B133">
        <v>3</v>
      </c>
      <c r="C133">
        <v>2579</v>
      </c>
      <c r="D133">
        <v>58053</v>
      </c>
      <c r="E133">
        <v>6467.8</v>
      </c>
      <c r="F133">
        <f t="shared" si="156"/>
        <v>5.8052999999999999</v>
      </c>
      <c r="G133">
        <f t="shared" si="157"/>
        <v>0.25790000000000002</v>
      </c>
      <c r="H133">
        <f t="shared" si="158"/>
        <v>5.5473999999999997</v>
      </c>
      <c r="I133">
        <f t="shared" si="160"/>
        <v>0.64678000000000002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0.16853120304607791</v>
      </c>
      <c r="P133" s="4">
        <v>3</v>
      </c>
      <c r="Q133" s="5">
        <f t="shared" si="163"/>
        <v>5.5473999999999997</v>
      </c>
      <c r="R133" s="5">
        <f t="shared" si="163"/>
        <v>0.64678000000000002</v>
      </c>
      <c r="S133" s="5">
        <f t="shared" si="164"/>
        <v>6.1631613999999999</v>
      </c>
      <c r="T133" s="5">
        <f t="shared" si="165"/>
        <v>0.36978968400000001</v>
      </c>
      <c r="U133" s="5">
        <f t="shared" si="166"/>
        <v>0.84426868493150686</v>
      </c>
      <c r="V133" s="5">
        <f t="shared" si="159"/>
        <v>0.16853120304607791</v>
      </c>
    </row>
    <row r="134" spans="2:22" x14ac:dyDescent="0.3">
      <c r="B134">
        <v>4</v>
      </c>
      <c r="C134">
        <v>30790.5</v>
      </c>
      <c r="D134">
        <v>57697.3</v>
      </c>
      <c r="E134">
        <v>10031.200000000001</v>
      </c>
      <c r="F134">
        <f t="shared" si="156"/>
        <v>5.76973</v>
      </c>
      <c r="G134">
        <f t="shared" si="157"/>
        <v>3.0790500000000001</v>
      </c>
      <c r="H134">
        <f t="shared" si="158"/>
        <v>2.69068</v>
      </c>
      <c r="I134">
        <f t="shared" si="160"/>
        <v>1.00312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0.10207525557655862</v>
      </c>
      <c r="P134" s="4">
        <v>3</v>
      </c>
      <c r="Q134" s="5">
        <f t="shared" si="163"/>
        <v>2.69068</v>
      </c>
      <c r="R134" s="5">
        <f t="shared" si="163"/>
        <v>1.00312</v>
      </c>
      <c r="S134" s="5">
        <f t="shared" si="164"/>
        <v>2.9893454799999999</v>
      </c>
      <c r="T134" s="5">
        <f t="shared" si="165"/>
        <v>0.17936072879999998</v>
      </c>
      <c r="U134" s="5">
        <f t="shared" si="166"/>
        <v>0.40949938082191778</v>
      </c>
      <c r="V134" s="5">
        <f t="shared" si="159"/>
        <v>0.10207525557655862</v>
      </c>
    </row>
    <row r="135" spans="2:22" x14ac:dyDescent="0.3">
      <c r="B135">
        <v>5</v>
      </c>
      <c r="C135">
        <v>23660.2</v>
      </c>
      <c r="D135">
        <v>38422</v>
      </c>
      <c r="E135">
        <v>19101.099999999999</v>
      </c>
      <c r="F135">
        <f t="shared" si="156"/>
        <v>3.8422000000000001</v>
      </c>
      <c r="G135">
        <f t="shared" si="157"/>
        <v>2.3660200000000002</v>
      </c>
      <c r="H135">
        <f t="shared" si="158"/>
        <v>1.4761799999999998</v>
      </c>
      <c r="I135">
        <f t="shared" si="160"/>
        <v>1.9101099999999998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7.3776253351572563E-2</v>
      </c>
      <c r="P135" s="4">
        <v>3</v>
      </c>
      <c r="Q135" s="5">
        <f t="shared" si="163"/>
        <v>1.4761799999999998</v>
      </c>
      <c r="R135" s="5">
        <f t="shared" si="163"/>
        <v>1.9101099999999998</v>
      </c>
      <c r="S135" s="5">
        <f t="shared" si="164"/>
        <v>1.6400359799999997</v>
      </c>
      <c r="T135" s="5">
        <f t="shared" si="165"/>
        <v>9.8402158799999986E-2</v>
      </c>
      <c r="U135" s="5">
        <f t="shared" si="166"/>
        <v>0.2246624630136986</v>
      </c>
      <c r="V135" s="5">
        <f t="shared" si="159"/>
        <v>7.3776253351572563E-2</v>
      </c>
    </row>
    <row r="136" spans="2:22" x14ac:dyDescent="0.3">
      <c r="B136">
        <v>6</v>
      </c>
      <c r="C136">
        <v>26146.400000000001</v>
      </c>
      <c r="D136">
        <v>48772.7</v>
      </c>
      <c r="E136">
        <v>9591</v>
      </c>
      <c r="F136">
        <f t="shared" si="156"/>
        <v>4.8772699999999993</v>
      </c>
      <c r="G136">
        <f t="shared" si="157"/>
        <v>2.6146400000000001</v>
      </c>
      <c r="H136">
        <f t="shared" si="158"/>
        <v>2.2626299999999993</v>
      </c>
      <c r="I136">
        <f t="shared" si="160"/>
        <v>0.95909999999999995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5.1067373913306291E-2</v>
      </c>
      <c r="P136" s="4">
        <v>4</v>
      </c>
      <c r="Q136" s="5">
        <f t="shared" si="163"/>
        <v>2.2626299999999993</v>
      </c>
      <c r="R136" s="5">
        <f t="shared" si="163"/>
        <v>0.95909999999999995</v>
      </c>
      <c r="S136" s="5">
        <f t="shared" si="164"/>
        <v>1.8853364474999994</v>
      </c>
      <c r="T136" s="5">
        <f t="shared" si="165"/>
        <v>0.11312018684999996</v>
      </c>
      <c r="U136" s="5">
        <f t="shared" si="166"/>
        <v>0.25826526678082184</v>
      </c>
      <c r="V136" s="5">
        <f t="shared" si="159"/>
        <v>5.1067373913306291E-2</v>
      </c>
    </row>
    <row r="137" spans="2:22" x14ac:dyDescent="0.3">
      <c r="B137">
        <v>7</v>
      </c>
      <c r="C137">
        <v>26633.1</v>
      </c>
      <c r="D137">
        <v>40405.300000000003</v>
      </c>
      <c r="E137">
        <v>4691.5</v>
      </c>
      <c r="F137">
        <f t="shared" si="156"/>
        <v>4.0405300000000004</v>
      </c>
      <c r="G137">
        <f t="shared" si="157"/>
        <v>2.6633100000000001</v>
      </c>
      <c r="H137">
        <f t="shared" si="158"/>
        <v>1.3772200000000003</v>
      </c>
      <c r="I137">
        <f t="shared" si="160"/>
        <v>0.46915000000000001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3.6917428426779704E-2</v>
      </c>
      <c r="P137" s="4">
        <v>4</v>
      </c>
      <c r="Q137" s="5">
        <f t="shared" si="163"/>
        <v>1.3772200000000003</v>
      </c>
      <c r="R137" s="5">
        <f t="shared" si="163"/>
        <v>0.46915000000000001</v>
      </c>
      <c r="S137" s="5">
        <f t="shared" si="164"/>
        <v>1.1475685650000003</v>
      </c>
      <c r="T137" s="5">
        <f t="shared" si="165"/>
        <v>6.8854113900000014E-2</v>
      </c>
      <c r="U137" s="5">
        <f t="shared" si="166"/>
        <v>0.15720117328767128</v>
      </c>
      <c r="V137" s="5">
        <f t="shared" si="159"/>
        <v>3.6917428426779704E-2</v>
      </c>
    </row>
    <row r="138" spans="2:22" x14ac:dyDescent="0.3">
      <c r="B138">
        <v>8</v>
      </c>
      <c r="C138">
        <v>24069.3</v>
      </c>
      <c r="D138">
        <v>40007</v>
      </c>
      <c r="E138">
        <v>5685.2</v>
      </c>
      <c r="F138">
        <f t="shared" si="156"/>
        <v>4.0007000000000001</v>
      </c>
      <c r="G138">
        <f t="shared" si="157"/>
        <v>2.40693</v>
      </c>
      <c r="H138">
        <f t="shared" si="158"/>
        <v>1.5937700000000001</v>
      </c>
      <c r="I138">
        <f t="shared" si="160"/>
        <v>0.56852000000000003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3.0959530658756878E-2</v>
      </c>
      <c r="P138" s="4">
        <v>5</v>
      </c>
      <c r="Q138" s="5">
        <f t="shared" si="163"/>
        <v>1.5937700000000001</v>
      </c>
      <c r="R138" s="5">
        <f t="shared" si="163"/>
        <v>0.56852000000000003</v>
      </c>
      <c r="S138" s="5">
        <f t="shared" si="164"/>
        <v>1.0624070820000002</v>
      </c>
      <c r="T138" s="5">
        <f t="shared" si="165"/>
        <v>6.3744424920000015E-2</v>
      </c>
      <c r="U138" s="5">
        <f t="shared" si="166"/>
        <v>0.1455352167123288</v>
      </c>
      <c r="V138" s="5">
        <f t="shared" si="159"/>
        <v>3.0959530658756878E-2</v>
      </c>
    </row>
    <row r="139" spans="2:22" x14ac:dyDescent="0.3">
      <c r="B139">
        <v>9</v>
      </c>
      <c r="C139">
        <v>31002.5</v>
      </c>
      <c r="D139">
        <v>44985.7</v>
      </c>
      <c r="E139">
        <v>7270.8</v>
      </c>
      <c r="F139">
        <f t="shared" si="156"/>
        <v>4.49857</v>
      </c>
      <c r="G139">
        <f t="shared" si="157"/>
        <v>3.10025</v>
      </c>
      <c r="H139">
        <f t="shared" si="158"/>
        <v>1.39832</v>
      </c>
      <c r="I139">
        <f t="shared" si="160"/>
        <v>0.72708000000000006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2.495118026954107E-2</v>
      </c>
      <c r="P139" s="4">
        <v>8</v>
      </c>
      <c r="Q139" s="5">
        <f t="shared" si="163"/>
        <v>1.39832</v>
      </c>
      <c r="R139" s="5">
        <f t="shared" si="163"/>
        <v>0.72708000000000006</v>
      </c>
      <c r="S139" s="5">
        <f t="shared" si="164"/>
        <v>0.58257506999999997</v>
      </c>
      <c r="T139" s="5">
        <f t="shared" si="165"/>
        <v>3.49545042E-2</v>
      </c>
      <c r="U139" s="5">
        <f t="shared" si="166"/>
        <v>7.9804804109589039E-2</v>
      </c>
      <c r="V139" s="5">
        <f t="shared" si="159"/>
        <v>2.495118026954107E-2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1.7867997056973436E-2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1.7867997056973436E-2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1.1522678564845117E-2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1.1522678564845117E-2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356.5</v>
      </c>
      <c r="D145">
        <v>36569.1</v>
      </c>
      <c r="E145">
        <v>10707.2</v>
      </c>
      <c r="F145">
        <f t="shared" ref="F145:F155" si="168">D145/10000</f>
        <v>3.6569099999999999</v>
      </c>
      <c r="G145">
        <f t="shared" ref="G145:G155" si="169">C145/10000</f>
        <v>3.5650000000000001E-2</v>
      </c>
      <c r="H145">
        <f t="shared" ref="H145:H155" si="170">F145-G145</f>
        <v>3.6212599999999999</v>
      </c>
      <c r="I145">
        <f>E145/10000</f>
        <v>1.0707200000000001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0.1651743354500472</v>
      </c>
      <c r="P145" s="2">
        <v>3</v>
      </c>
      <c r="Q145" s="8">
        <f>H145</f>
        <v>3.6212599999999999</v>
      </c>
      <c r="R145" s="8">
        <f>I145</f>
        <v>1.0707200000000001</v>
      </c>
      <c r="S145" s="8">
        <f>Q145/10^6*$Z$4*$Z$3/P145*10^12</f>
        <v>4.0232198600000011</v>
      </c>
      <c r="T145" s="8">
        <f>S145*0.06</f>
        <v>0.24139319160000006</v>
      </c>
      <c r="U145" s="8">
        <f>S145/$Z$1</f>
        <v>0.55112600821917823</v>
      </c>
      <c r="V145" s="12">
        <f t="shared" ref="V145:V155" si="171">O145</f>
        <v>0.1651743354500472</v>
      </c>
    </row>
    <row r="146" spans="2:22" x14ac:dyDescent="0.3">
      <c r="B146">
        <v>2</v>
      </c>
      <c r="C146">
        <v>6550.9</v>
      </c>
      <c r="D146">
        <v>53645.2</v>
      </c>
      <c r="E146">
        <v>7368.9</v>
      </c>
      <c r="F146">
        <f t="shared" si="168"/>
        <v>5.3645199999999997</v>
      </c>
      <c r="G146">
        <f t="shared" si="169"/>
        <v>0.65508999999999995</v>
      </c>
      <c r="H146">
        <f t="shared" si="170"/>
        <v>4.7094299999999993</v>
      </c>
      <c r="I146">
        <f t="shared" ref="I146:I155" si="172">E146/10000</f>
        <v>0.73688999999999993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0.14651596484154553</v>
      </c>
      <c r="P146" s="4">
        <v>3</v>
      </c>
      <c r="Q146" s="5">
        <f t="shared" ref="Q146:R155" si="175">H146</f>
        <v>4.7094299999999993</v>
      </c>
      <c r="R146" s="5">
        <f t="shared" si="175"/>
        <v>0.73688999999999993</v>
      </c>
      <c r="S146" s="5">
        <f t="shared" ref="S146:S155" si="176">Q146/10^6*$Z$4*$Z$3/P146*10^12</f>
        <v>5.2321767299999999</v>
      </c>
      <c r="T146" s="5">
        <f t="shared" ref="T146:T155" si="177">S146*0.06</f>
        <v>0.31393060379999999</v>
      </c>
      <c r="U146" s="5">
        <f t="shared" ref="U146:U155" si="178">S146/$Z$1</f>
        <v>0.71673653835616435</v>
      </c>
      <c r="V146" s="5">
        <f t="shared" si="171"/>
        <v>0.14651596484154553</v>
      </c>
    </row>
    <row r="147" spans="2:22" x14ac:dyDescent="0.3">
      <c r="B147">
        <v>3</v>
      </c>
      <c r="C147">
        <v>25377.3</v>
      </c>
      <c r="D147">
        <v>72330.3</v>
      </c>
      <c r="E147">
        <v>7585.5</v>
      </c>
      <c r="F147">
        <f t="shared" si="168"/>
        <v>7.2330300000000003</v>
      </c>
      <c r="G147">
        <f t="shared" si="169"/>
        <v>2.5377299999999998</v>
      </c>
      <c r="H147">
        <f t="shared" si="170"/>
        <v>4.6953000000000005</v>
      </c>
      <c r="I147">
        <f t="shared" si="172"/>
        <v>0.75854999999999995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0.12639840228455843</v>
      </c>
      <c r="P147" s="4">
        <v>3</v>
      </c>
      <c r="Q147" s="5">
        <f t="shared" si="175"/>
        <v>4.6953000000000005</v>
      </c>
      <c r="R147" s="5">
        <f t="shared" si="175"/>
        <v>0.75854999999999995</v>
      </c>
      <c r="S147" s="5">
        <f t="shared" si="176"/>
        <v>5.2164783000000012</v>
      </c>
      <c r="T147" s="5">
        <f t="shared" si="177"/>
        <v>0.31298869800000007</v>
      </c>
      <c r="U147" s="5">
        <f t="shared" si="178"/>
        <v>0.71458606849315087</v>
      </c>
      <c r="V147" s="5">
        <f t="shared" si="171"/>
        <v>0.12639840228455843</v>
      </c>
    </row>
    <row r="148" spans="2:22" x14ac:dyDescent="0.3">
      <c r="B148">
        <v>4</v>
      </c>
      <c r="C148">
        <v>26800.799999999999</v>
      </c>
      <c r="D148">
        <v>59201.5</v>
      </c>
      <c r="E148">
        <v>12181.3</v>
      </c>
      <c r="F148">
        <f t="shared" si="168"/>
        <v>5.9201499999999996</v>
      </c>
      <c r="G148">
        <f t="shared" si="169"/>
        <v>2.6800799999999998</v>
      </c>
      <c r="H148">
        <f t="shared" si="170"/>
        <v>3.2400699999999998</v>
      </c>
      <c r="I148">
        <f t="shared" si="172"/>
        <v>1.2181299999999999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7.6556441682418971E-2</v>
      </c>
      <c r="P148" s="4">
        <v>3</v>
      </c>
      <c r="Q148" s="5">
        <f t="shared" si="175"/>
        <v>3.2400699999999998</v>
      </c>
      <c r="R148" s="5">
        <f t="shared" si="175"/>
        <v>1.2181299999999999</v>
      </c>
      <c r="S148" s="5">
        <f t="shared" si="176"/>
        <v>3.5997177699999998</v>
      </c>
      <c r="T148" s="5">
        <f t="shared" si="177"/>
        <v>0.21598306619999999</v>
      </c>
      <c r="U148" s="5">
        <f t="shared" si="178"/>
        <v>0.49311202328767123</v>
      </c>
      <c r="V148" s="5">
        <f t="shared" si="171"/>
        <v>7.6556441682418971E-2</v>
      </c>
    </row>
    <row r="149" spans="2:22" x14ac:dyDescent="0.3">
      <c r="B149">
        <v>5</v>
      </c>
      <c r="C149">
        <v>29643.200000000001</v>
      </c>
      <c r="D149">
        <v>30324.6</v>
      </c>
      <c r="E149">
        <v>30985.4</v>
      </c>
      <c r="F149">
        <f t="shared" si="168"/>
        <v>3.0324599999999999</v>
      </c>
      <c r="G149">
        <f t="shared" si="169"/>
        <v>2.9643200000000003</v>
      </c>
      <c r="H149">
        <f t="shared" si="170"/>
        <v>6.8139999999999645E-2</v>
      </c>
      <c r="I149">
        <f t="shared" si="172"/>
        <v>3.0985400000000003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5.5332190013679422E-2</v>
      </c>
      <c r="P149" s="4">
        <v>3</v>
      </c>
      <c r="Q149" s="5">
        <f t="shared" si="175"/>
        <v>6.8139999999999645E-2</v>
      </c>
      <c r="R149" s="5">
        <f t="shared" si="175"/>
        <v>3.0985400000000003</v>
      </c>
      <c r="S149" s="5">
        <f t="shared" si="176"/>
        <v>7.5703539999999597E-2</v>
      </c>
      <c r="T149" s="5">
        <f t="shared" si="177"/>
        <v>4.5422123999999753E-3</v>
      </c>
      <c r="U149" s="5">
        <f t="shared" si="178"/>
        <v>1.0370347945205425E-2</v>
      </c>
      <c r="V149" s="5">
        <f t="shared" si="171"/>
        <v>5.5332190013679422E-2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3.8300530434979718E-2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3.8300530434979718E-2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2.7688071320084776E-2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2.7688071320084776E-2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2.3219647994067658E-2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2.3219647994067658E-2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1.8713385202155802E-2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1.8713385202155802E-2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1.3400997792730079E-2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1.3400997792730079E-2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8.6420089236338374E-3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8.6420089236338374E-3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895.1</v>
      </c>
      <c r="D159">
        <v>38162.6</v>
      </c>
      <c r="E159">
        <v>9885.2000000000007</v>
      </c>
      <c r="F159">
        <f t="shared" ref="F159:F169" si="180">D159/10000</f>
        <v>3.8162599999999998</v>
      </c>
      <c r="G159">
        <f t="shared" ref="G159:G169" si="181">C159/10000</f>
        <v>8.9510000000000006E-2</v>
      </c>
      <c r="H159">
        <f t="shared" ref="H159:H169" si="182">F159-G159</f>
        <v>3.7267499999999996</v>
      </c>
      <c r="I159">
        <f>E159/10000</f>
        <v>0.98852000000000007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0.13213946836003776</v>
      </c>
      <c r="P159" s="2">
        <v>3</v>
      </c>
      <c r="Q159" s="8">
        <f>H159</f>
        <v>3.7267499999999996</v>
      </c>
      <c r="R159" s="8">
        <f>I159</f>
        <v>0.98852000000000007</v>
      </c>
      <c r="S159" s="8">
        <f>Q159/10^6*$Z$4*$Z$3/P159*10^12</f>
        <v>4.140419249999999</v>
      </c>
      <c r="T159" s="8">
        <f>S159*0.06</f>
        <v>0.24842515499999993</v>
      </c>
      <c r="U159" s="8">
        <f>S159/$Z$1</f>
        <v>0.5671807191780821</v>
      </c>
      <c r="V159" s="12">
        <f t="shared" ref="V159:V169" si="183">O159</f>
        <v>0.13213946836003776</v>
      </c>
    </row>
    <row r="160" spans="2:22" x14ac:dyDescent="0.3">
      <c r="B160">
        <v>2</v>
      </c>
      <c r="C160">
        <v>13711.8</v>
      </c>
      <c r="D160">
        <v>49123.4</v>
      </c>
      <c r="E160">
        <v>9111.9</v>
      </c>
      <c r="F160">
        <f t="shared" si="180"/>
        <v>4.9123400000000004</v>
      </c>
      <c r="G160">
        <f t="shared" si="181"/>
        <v>1.3711799999999998</v>
      </c>
      <c r="H160">
        <f t="shared" si="182"/>
        <v>3.5411600000000005</v>
      </c>
      <c r="I160">
        <f t="shared" ref="I160:I169" si="184">E160/10000</f>
        <v>0.91118999999999994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0.11721277187323641</v>
      </c>
      <c r="P160" s="4">
        <v>3</v>
      </c>
      <c r="Q160" s="5">
        <f t="shared" ref="Q160:R169" si="187">H160</f>
        <v>3.5411600000000005</v>
      </c>
      <c r="R160" s="5">
        <f t="shared" si="187"/>
        <v>0.91118999999999994</v>
      </c>
      <c r="S160" s="5">
        <f t="shared" ref="S160:S169" si="188">Q160/10^6*$Z$4*$Z$3/P160*10^12</f>
        <v>3.9342287600000008</v>
      </c>
      <c r="T160" s="5">
        <f t="shared" ref="T160:T169" si="189">S160*0.06</f>
        <v>0.23605372560000004</v>
      </c>
      <c r="U160" s="5">
        <f t="shared" ref="U160:U169" si="190">S160/$Z$1</f>
        <v>0.53893544657534254</v>
      </c>
      <c r="V160" s="5">
        <f t="shared" si="183"/>
        <v>0.11721277187323641</v>
      </c>
    </row>
    <row r="161" spans="2:22" x14ac:dyDescent="0.3">
      <c r="B161">
        <v>3</v>
      </c>
      <c r="C161">
        <v>6922.4</v>
      </c>
      <c r="D161">
        <v>46819.1</v>
      </c>
      <c r="E161">
        <v>11285.3</v>
      </c>
      <c r="F161">
        <f t="shared" si="180"/>
        <v>4.6819100000000002</v>
      </c>
      <c r="G161">
        <f t="shared" si="181"/>
        <v>0.69223999999999997</v>
      </c>
      <c r="H161">
        <f t="shared" si="182"/>
        <v>3.9896700000000003</v>
      </c>
      <c r="I161">
        <f t="shared" si="184"/>
        <v>1.12853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0.10111872182764675</v>
      </c>
      <c r="P161" s="4">
        <v>3</v>
      </c>
      <c r="Q161" s="5">
        <f t="shared" si="187"/>
        <v>3.9896700000000003</v>
      </c>
      <c r="R161" s="5">
        <f t="shared" si="187"/>
        <v>1.12853</v>
      </c>
      <c r="S161" s="5">
        <f t="shared" si="188"/>
        <v>4.4325233700000011</v>
      </c>
      <c r="T161" s="5">
        <f t="shared" si="189"/>
        <v>0.26595140220000008</v>
      </c>
      <c r="U161" s="5">
        <f t="shared" si="190"/>
        <v>0.60719498219178103</v>
      </c>
      <c r="V161" s="5">
        <f t="shared" si="183"/>
        <v>0.10111872182764675</v>
      </c>
    </row>
    <row r="162" spans="2:22" x14ac:dyDescent="0.3">
      <c r="B162">
        <v>4</v>
      </c>
      <c r="C162">
        <v>24905.5</v>
      </c>
      <c r="D162">
        <v>51738.7</v>
      </c>
      <c r="E162">
        <v>18746</v>
      </c>
      <c r="F162">
        <f t="shared" si="180"/>
        <v>5.17387</v>
      </c>
      <c r="G162">
        <f t="shared" si="181"/>
        <v>2.4905499999999998</v>
      </c>
      <c r="H162">
        <f t="shared" si="182"/>
        <v>2.6833200000000001</v>
      </c>
      <c r="I162">
        <f t="shared" si="184"/>
        <v>1.8746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6.1245153345935173E-2</v>
      </c>
      <c r="P162" s="4">
        <v>3</v>
      </c>
      <c r="Q162" s="5">
        <f t="shared" si="187"/>
        <v>2.6833200000000001</v>
      </c>
      <c r="R162" s="5">
        <f t="shared" si="187"/>
        <v>1.8746</v>
      </c>
      <c r="S162" s="5">
        <f t="shared" si="188"/>
        <v>2.9811685200000002</v>
      </c>
      <c r="T162" s="5">
        <f t="shared" si="189"/>
        <v>0.17887011120000001</v>
      </c>
      <c r="U162" s="5">
        <f t="shared" si="190"/>
        <v>0.40837924931506853</v>
      </c>
      <c r="V162" s="5">
        <f t="shared" si="183"/>
        <v>6.1245153345935173E-2</v>
      </c>
    </row>
    <row r="163" spans="2:22" x14ac:dyDescent="0.3">
      <c r="B163">
        <v>5</v>
      </c>
      <c r="C163">
        <v>16492</v>
      </c>
      <c r="D163">
        <v>36960.699999999997</v>
      </c>
      <c r="E163">
        <v>8811.2000000000007</v>
      </c>
      <c r="F163">
        <f t="shared" si="180"/>
        <v>3.6960699999999997</v>
      </c>
      <c r="G163">
        <f t="shared" si="181"/>
        <v>1.6492</v>
      </c>
      <c r="H163">
        <f t="shared" si="182"/>
        <v>2.0468699999999997</v>
      </c>
      <c r="I163">
        <f t="shared" si="184"/>
        <v>0.88112000000000013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4.4265752010943543E-2</v>
      </c>
      <c r="P163" s="4">
        <v>3</v>
      </c>
      <c r="Q163" s="5">
        <f t="shared" si="187"/>
        <v>2.0468699999999997</v>
      </c>
      <c r="R163" s="5">
        <f t="shared" si="187"/>
        <v>0.88112000000000013</v>
      </c>
      <c r="S163" s="5">
        <f t="shared" si="188"/>
        <v>2.27407257</v>
      </c>
      <c r="T163" s="5">
        <f t="shared" si="189"/>
        <v>0.13644435419999998</v>
      </c>
      <c r="U163" s="5">
        <f t="shared" si="190"/>
        <v>0.31151679041095892</v>
      </c>
      <c r="V163" s="5">
        <f t="shared" si="183"/>
        <v>4.4265752010943543E-2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3.0640424347983777E-2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3.0640424347983777E-2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2.2150457056067819E-2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2.2150457056067819E-2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1.8575718395254126E-2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1.8575718395254126E-2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1.497070816172464E-2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1.497070816172464E-2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1.0720798234184063E-2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1.0720798234184063E-2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6.9136071389070694E-3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6.9136071389070694E-3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CQ170"/>
  <sheetViews>
    <sheetView zoomScale="60" zoomScaleNormal="60"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1108.9000000000001</v>
      </c>
      <c r="D5">
        <v>113581.5</v>
      </c>
      <c r="E5">
        <v>6957.9</v>
      </c>
      <c r="F5">
        <f t="shared" ref="F5:F15" si="0">D5/10000</f>
        <v>11.35815</v>
      </c>
      <c r="G5">
        <f t="shared" ref="G5:G15" si="1">C5/10000</f>
        <v>0.11089</v>
      </c>
      <c r="H5">
        <f t="shared" ref="H5:H15" si="2">F5-G5</f>
        <v>11.247260000000001</v>
      </c>
      <c r="I5">
        <f>E5/10000</f>
        <v>0.69578999999999991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1.238807515875354</v>
      </c>
      <c r="P5" s="2">
        <v>3</v>
      </c>
      <c r="Q5" s="8">
        <f>H5</f>
        <v>11.247260000000001</v>
      </c>
      <c r="R5" s="8">
        <f>I5</f>
        <v>0.69578999999999991</v>
      </c>
      <c r="S5" s="8">
        <f>Q5/10^6*$Z$4*$Z$3/P5*10^12</f>
        <v>12.495705860000001</v>
      </c>
      <c r="T5" s="8">
        <f>S5*0.06</f>
        <v>0.74974235160000002</v>
      </c>
      <c r="U5" s="8">
        <f>S5/$Z$1</f>
        <v>1.7117405287671235</v>
      </c>
      <c r="V5" s="12">
        <f t="shared" ref="V5:V15" si="4">O5</f>
        <v>1.238807515875354</v>
      </c>
    </row>
    <row r="6" spans="2:95" x14ac:dyDescent="0.3">
      <c r="B6">
        <v>2</v>
      </c>
      <c r="C6">
        <v>818.5</v>
      </c>
      <c r="D6">
        <v>123064.1</v>
      </c>
      <c r="E6">
        <v>5248.1</v>
      </c>
      <c r="F6">
        <f t="shared" si="0"/>
        <v>12.306410000000001</v>
      </c>
      <c r="G6">
        <f t="shared" si="1"/>
        <v>8.1850000000000006E-2</v>
      </c>
      <c r="H6">
        <f t="shared" si="2"/>
        <v>12.224560000000002</v>
      </c>
      <c r="I6">
        <f t="shared" ref="I6:I15" si="5">E6/10000</f>
        <v>0.52481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1.0988697363115913</v>
      </c>
      <c r="P6" s="4">
        <v>3</v>
      </c>
      <c r="Q6" s="5">
        <f t="shared" ref="Q6:R15" si="7">H6</f>
        <v>12.224560000000002</v>
      </c>
      <c r="R6" s="5">
        <f t="shared" si="7"/>
        <v>0.52481</v>
      </c>
      <c r="S6" s="5">
        <f t="shared" ref="S6:S15" si="8">Q6/10^6*$Z$4*$Z$3/P6*10^12</f>
        <v>13.581486160000004</v>
      </c>
      <c r="T6" s="5">
        <f t="shared" ref="T6:T15" si="9">S6*0.06</f>
        <v>0.81488916960000024</v>
      </c>
      <c r="U6" s="5">
        <f t="shared" ref="U6:U15" si="10">S6/$Z$1</f>
        <v>1.8604775561643843</v>
      </c>
      <c r="V6" s="5">
        <f t="shared" si="4"/>
        <v>1.0988697363115913</v>
      </c>
    </row>
    <row r="7" spans="2:95" x14ac:dyDescent="0.3">
      <c r="B7">
        <v>3</v>
      </c>
      <c r="C7">
        <v>2098.6</v>
      </c>
      <c r="D7">
        <v>119723.7</v>
      </c>
      <c r="E7">
        <v>4477</v>
      </c>
      <c r="F7">
        <f t="shared" si="0"/>
        <v>11.97237</v>
      </c>
      <c r="G7">
        <f t="shared" si="1"/>
        <v>0.20985999999999999</v>
      </c>
      <c r="H7">
        <f t="shared" si="2"/>
        <v>11.762509999999999</v>
      </c>
      <c r="I7">
        <f t="shared" si="5"/>
        <v>0.44769999999999999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0.94798801713418823</v>
      </c>
      <c r="P7" s="4">
        <v>3</v>
      </c>
      <c r="Q7" s="5">
        <f t="shared" si="7"/>
        <v>11.762509999999999</v>
      </c>
      <c r="R7" s="5">
        <f t="shared" si="7"/>
        <v>0.44769999999999999</v>
      </c>
      <c r="S7" s="5">
        <f t="shared" si="8"/>
        <v>13.068148609999998</v>
      </c>
      <c r="T7" s="5">
        <f t="shared" si="9"/>
        <v>0.7840889165999998</v>
      </c>
      <c r="U7" s="5">
        <f t="shared" si="10"/>
        <v>1.7901573438356162</v>
      </c>
      <c r="V7" s="5">
        <f t="shared" si="4"/>
        <v>0.94798801713418823</v>
      </c>
      <c r="Y7" t="s">
        <v>41</v>
      </c>
      <c r="Z7">
        <v>4</v>
      </c>
    </row>
    <row r="8" spans="2:95" x14ac:dyDescent="0.3">
      <c r="B8">
        <v>4</v>
      </c>
      <c r="C8">
        <v>1149.9000000000001</v>
      </c>
      <c r="D8">
        <v>112948.9</v>
      </c>
      <c r="E8">
        <v>4415.3</v>
      </c>
      <c r="F8">
        <f t="shared" si="0"/>
        <v>11.294889999999999</v>
      </c>
      <c r="G8">
        <f t="shared" si="1"/>
        <v>0.11499000000000001</v>
      </c>
      <c r="H8">
        <f t="shared" si="2"/>
        <v>11.179899999999998</v>
      </c>
      <c r="I8">
        <f t="shared" si="5"/>
        <v>0.44153000000000003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0.57417331261814231</v>
      </c>
      <c r="P8" s="4">
        <v>3</v>
      </c>
      <c r="Q8" s="5">
        <f t="shared" si="7"/>
        <v>11.179899999999998</v>
      </c>
      <c r="R8" s="5">
        <f t="shared" si="7"/>
        <v>0.44153000000000003</v>
      </c>
      <c r="S8" s="5">
        <f t="shared" si="8"/>
        <v>12.420868899999997</v>
      </c>
      <c r="T8" s="5">
        <f t="shared" si="9"/>
        <v>0.74525213399999979</v>
      </c>
      <c r="U8" s="5">
        <f t="shared" si="10"/>
        <v>1.7014888904109584</v>
      </c>
      <c r="V8" s="5">
        <f t="shared" si="4"/>
        <v>0.57417331261814231</v>
      </c>
    </row>
    <row r="9" spans="2:95" x14ac:dyDescent="0.3">
      <c r="B9">
        <v>5</v>
      </c>
      <c r="C9">
        <v>-1881.3</v>
      </c>
      <c r="D9">
        <v>94900.6</v>
      </c>
      <c r="E9">
        <v>4682.7</v>
      </c>
      <c r="F9">
        <f t="shared" si="0"/>
        <v>9.4900599999999997</v>
      </c>
      <c r="G9">
        <f t="shared" si="1"/>
        <v>-0.18812999999999999</v>
      </c>
      <c r="H9">
        <f t="shared" si="2"/>
        <v>9.678189999999999</v>
      </c>
      <c r="I9">
        <f t="shared" si="5"/>
        <v>0.46826999999999996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0.41499142510259568</v>
      </c>
      <c r="P9" s="4">
        <v>3</v>
      </c>
      <c r="Q9" s="5">
        <f t="shared" si="7"/>
        <v>9.678189999999999</v>
      </c>
      <c r="R9" s="5">
        <f t="shared" si="7"/>
        <v>0.46826999999999996</v>
      </c>
      <c r="S9" s="5">
        <f t="shared" si="8"/>
        <v>10.75246909</v>
      </c>
      <c r="T9" s="5">
        <f t="shared" si="9"/>
        <v>0.64514814539999998</v>
      </c>
      <c r="U9" s="5">
        <f t="shared" si="10"/>
        <v>1.4729409712328767</v>
      </c>
      <c r="V9" s="5">
        <f t="shared" si="4"/>
        <v>0.41499142510259568</v>
      </c>
    </row>
    <row r="10" spans="2:95" ht="15" thickBot="1" x14ac:dyDescent="0.35">
      <c r="B10">
        <v>6</v>
      </c>
      <c r="C10">
        <v>-2023.1</v>
      </c>
      <c r="D10">
        <v>108725.5</v>
      </c>
      <c r="E10">
        <v>4651</v>
      </c>
      <c r="F10">
        <f t="shared" si="0"/>
        <v>10.87255</v>
      </c>
      <c r="G10">
        <f t="shared" si="1"/>
        <v>-0.20230999999999999</v>
      </c>
      <c r="H10">
        <f t="shared" si="2"/>
        <v>11.074860000000001</v>
      </c>
      <c r="I10">
        <f t="shared" si="5"/>
        <v>0.46510000000000001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0.28725397826234789</v>
      </c>
      <c r="P10" s="4">
        <v>4</v>
      </c>
      <c r="Q10" s="5">
        <f t="shared" si="7"/>
        <v>11.074860000000001</v>
      </c>
      <c r="R10" s="5">
        <f t="shared" si="7"/>
        <v>0.46510000000000001</v>
      </c>
      <c r="S10" s="5">
        <f t="shared" si="8"/>
        <v>9.2281270949999996</v>
      </c>
      <c r="T10" s="5">
        <f t="shared" si="9"/>
        <v>0.55368762569999996</v>
      </c>
      <c r="U10" s="5">
        <f t="shared" si="10"/>
        <v>1.2641269993150686</v>
      </c>
      <c r="V10" s="5">
        <f t="shared" si="4"/>
        <v>0.28725397826234789</v>
      </c>
    </row>
    <row r="11" spans="2:95" ht="15.6" thickTop="1" thickBot="1" x14ac:dyDescent="0.35">
      <c r="B11">
        <v>7</v>
      </c>
      <c r="C11">
        <v>-419.7</v>
      </c>
      <c r="D11">
        <v>87912.6</v>
      </c>
      <c r="E11">
        <v>6668.6</v>
      </c>
      <c r="F11">
        <f t="shared" si="0"/>
        <v>8.7912600000000012</v>
      </c>
      <c r="G11">
        <f t="shared" si="1"/>
        <v>-4.197E-2</v>
      </c>
      <c r="H11">
        <f t="shared" si="2"/>
        <v>8.8332300000000004</v>
      </c>
      <c r="I11">
        <f t="shared" si="5"/>
        <v>0.66686000000000001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0.20766053490063582</v>
      </c>
      <c r="P11" s="4">
        <v>4</v>
      </c>
      <c r="Q11" s="5">
        <f t="shared" si="7"/>
        <v>8.8332300000000004</v>
      </c>
      <c r="R11" s="5">
        <f t="shared" si="7"/>
        <v>0.66686000000000001</v>
      </c>
      <c r="S11" s="5">
        <f t="shared" si="8"/>
        <v>7.3602888975000011</v>
      </c>
      <c r="T11" s="5">
        <f t="shared" si="9"/>
        <v>0.44161733385000007</v>
      </c>
      <c r="U11" s="5">
        <f t="shared" si="10"/>
        <v>1.008258753082192</v>
      </c>
      <c r="V11" s="5">
        <f t="shared" si="4"/>
        <v>0.20766053490063582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1607.2</v>
      </c>
      <c r="D12">
        <v>86406.1</v>
      </c>
      <c r="E12">
        <v>8780.2999999999993</v>
      </c>
      <c r="F12">
        <f t="shared" si="0"/>
        <v>8.6406100000000006</v>
      </c>
      <c r="G12">
        <f t="shared" si="1"/>
        <v>0.16072</v>
      </c>
      <c r="H12">
        <f t="shared" si="2"/>
        <v>8.479890000000001</v>
      </c>
      <c r="I12">
        <f t="shared" si="5"/>
        <v>0.87802999999999998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0.17414735995550742</v>
      </c>
      <c r="P12" s="4">
        <v>5</v>
      </c>
      <c r="Q12" s="5">
        <f t="shared" si="7"/>
        <v>8.479890000000001</v>
      </c>
      <c r="R12" s="5">
        <f t="shared" si="7"/>
        <v>0.87802999999999998</v>
      </c>
      <c r="S12" s="5">
        <f t="shared" si="8"/>
        <v>5.652694674000001</v>
      </c>
      <c r="T12" s="5">
        <f t="shared" si="9"/>
        <v>0.33916168044000006</v>
      </c>
      <c r="U12" s="5">
        <f t="shared" si="10"/>
        <v>0.77434173616438373</v>
      </c>
      <c r="V12" s="5">
        <f t="shared" si="4"/>
        <v>0.17414735995550742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-1772.3</v>
      </c>
      <c r="D13">
        <v>97066.9</v>
      </c>
      <c r="E13">
        <v>13935.5</v>
      </c>
      <c r="F13">
        <f t="shared" si="0"/>
        <v>9.70669</v>
      </c>
      <c r="G13">
        <f t="shared" si="1"/>
        <v>-0.17723</v>
      </c>
      <c r="H13">
        <f t="shared" si="2"/>
        <v>9.8839199999999998</v>
      </c>
      <c r="I13">
        <f t="shared" si="5"/>
        <v>1.3935500000000001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0.1403503890161685</v>
      </c>
      <c r="P13" s="4">
        <v>8</v>
      </c>
      <c r="Q13" s="5">
        <f t="shared" si="7"/>
        <v>9.8839199999999998</v>
      </c>
      <c r="R13" s="5">
        <f t="shared" si="7"/>
        <v>1.3935500000000001</v>
      </c>
      <c r="S13" s="5">
        <f t="shared" si="8"/>
        <v>4.1178881700000005</v>
      </c>
      <c r="T13" s="5">
        <f t="shared" si="9"/>
        <v>0.24707329020000002</v>
      </c>
      <c r="U13" s="5">
        <f t="shared" si="10"/>
        <v>0.56409426986301381</v>
      </c>
      <c r="V13" s="5">
        <f t="shared" si="4"/>
        <v>0.1403503890161685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823</v>
      </c>
      <c r="D14">
        <v>119744.9</v>
      </c>
      <c r="E14">
        <v>20719.900000000001</v>
      </c>
      <c r="F14">
        <f t="shared" si="0"/>
        <v>11.974489999999999</v>
      </c>
      <c r="G14">
        <f t="shared" si="1"/>
        <v>8.2299999999999998E-2</v>
      </c>
      <c r="H14">
        <f t="shared" si="2"/>
        <v>11.892189999999999</v>
      </c>
      <c r="I14">
        <f t="shared" si="5"/>
        <v>2.07199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0.10050748344547558</v>
      </c>
      <c r="P14" s="4">
        <v>14</v>
      </c>
      <c r="Q14" s="5">
        <f t="shared" si="7"/>
        <v>11.892189999999999</v>
      </c>
      <c r="R14" s="5">
        <f t="shared" si="7"/>
        <v>2.07199</v>
      </c>
      <c r="S14" s="5">
        <f t="shared" si="8"/>
        <v>2.8311906621428573</v>
      </c>
      <c r="T14" s="5">
        <f t="shared" si="9"/>
        <v>0.16987143972857144</v>
      </c>
      <c r="U14" s="5">
        <f t="shared" si="10"/>
        <v>0.38783433727984346</v>
      </c>
      <c r="V14" s="5">
        <f t="shared" si="4"/>
        <v>0.10050748344547558</v>
      </c>
      <c r="X14" s="31">
        <f t="shared" ref="X14:X24" si="12">O5</f>
        <v>1.238807515875354</v>
      </c>
      <c r="Y14" s="32">
        <f t="shared" ref="Y14:AA24" si="13">S5</f>
        <v>12.495705860000001</v>
      </c>
      <c r="Z14" s="32">
        <f t="shared" si="13"/>
        <v>0.74974235160000002</v>
      </c>
      <c r="AA14" s="32">
        <f t="shared" si="13"/>
        <v>1.7117405287671235</v>
      </c>
      <c r="AB14" s="41">
        <f>I5/H5</f>
        <v>6.1863067093674361E-2</v>
      </c>
      <c r="AC14" s="33">
        <f t="shared" ref="AC14:AC24" si="14">R5</f>
        <v>0.69578999999999991</v>
      </c>
      <c r="AD14" s="31">
        <f t="shared" ref="AD14:AD24" si="15">O19</f>
        <v>0.82587167725023602</v>
      </c>
      <c r="AE14" s="32">
        <f t="shared" ref="AE14:AG24" si="16">S19</f>
        <v>7.96726986</v>
      </c>
      <c r="AF14" s="32">
        <f t="shared" si="16"/>
        <v>0.47803619159999999</v>
      </c>
      <c r="AG14" s="32">
        <f t="shared" si="16"/>
        <v>1.0914068301369864</v>
      </c>
      <c r="AH14" s="41">
        <f>I19/H19</f>
        <v>0.11490309931588034</v>
      </c>
      <c r="AI14" s="33">
        <f>R19</f>
        <v>0.82399999999999995</v>
      </c>
      <c r="AJ14" s="31">
        <f t="shared" ref="AJ14:AJ23" si="17">O33</f>
        <v>0.61940375793767699</v>
      </c>
      <c r="AK14" s="32">
        <f t="shared" ref="AK14:AM23" si="18">S33</f>
        <v>6.1784487600000002</v>
      </c>
      <c r="AL14" s="32">
        <f t="shared" si="18"/>
        <v>0.37070692560000001</v>
      </c>
      <c r="AM14" s="32">
        <f t="shared" si="18"/>
        <v>0.84636284383561644</v>
      </c>
      <c r="AN14" s="41">
        <f>I33/H33</f>
        <v>0.13622697422839838</v>
      </c>
      <c r="AO14" s="33">
        <f>R33</f>
        <v>0.75758000000000003</v>
      </c>
      <c r="AP14" s="31">
        <f t="shared" ref="AP14:AP23" si="19">O47</f>
        <v>0.49552300635014157</v>
      </c>
      <c r="AQ14" s="32">
        <f t="shared" ref="AQ14:AS23" si="20">S47</f>
        <v>5.5607660900000004</v>
      </c>
      <c r="AR14" s="32">
        <f t="shared" si="20"/>
        <v>0.33364596540000002</v>
      </c>
      <c r="AS14" s="32">
        <f t="shared" si="20"/>
        <v>0.76174877945205488</v>
      </c>
      <c r="AT14" s="41">
        <f>I47/H47</f>
        <v>0.19550306781560739</v>
      </c>
      <c r="AU14" s="33">
        <f>R47</f>
        <v>0.9785299999999999</v>
      </c>
      <c r="AV14" s="31">
        <f t="shared" ref="AV14:AV23" si="21">O61</f>
        <v>0.41293583862511801</v>
      </c>
      <c r="AW14" s="32">
        <f t="shared" ref="AW14:AY23" si="22">S61</f>
        <v>4.4266795100000005</v>
      </c>
      <c r="AX14" s="32">
        <f t="shared" si="22"/>
        <v>0.26560077060000004</v>
      </c>
      <c r="AY14" s="32">
        <f t="shared" si="22"/>
        <v>0.60639445342465759</v>
      </c>
      <c r="AZ14" s="41">
        <f>I61/H61</f>
        <v>0.23182102243494021</v>
      </c>
      <c r="BA14" s="33">
        <f>R61</f>
        <v>0.9236700000000001</v>
      </c>
      <c r="BB14" s="31">
        <f t="shared" ref="BB14:BB23" si="23">O75</f>
        <v>0.3539450045358154</v>
      </c>
      <c r="BC14" s="32">
        <f t="shared" ref="BC14:BE23" si="24">S75</f>
        <v>4.08571361</v>
      </c>
      <c r="BD14" s="32">
        <f t="shared" si="24"/>
        <v>0.24514281659999998</v>
      </c>
      <c r="BE14" s="32">
        <f t="shared" si="24"/>
        <v>0.55968679589041093</v>
      </c>
      <c r="BF14" s="41">
        <f>I75/H75</f>
        <v>0.21026183477407265</v>
      </c>
      <c r="BG14" s="33">
        <f>R75</f>
        <v>0.77323999999999993</v>
      </c>
      <c r="BH14" s="31">
        <f t="shared" ref="BH14:BH23" si="25">O89</f>
        <v>0.3097018789688385</v>
      </c>
      <c r="BI14" s="32">
        <f t="shared" ref="BI14:BK23" si="26">S89</f>
        <v>3.6149384700000002</v>
      </c>
      <c r="BJ14" s="32">
        <f t="shared" si="26"/>
        <v>0.2168963082</v>
      </c>
      <c r="BK14" s="32">
        <f t="shared" si="26"/>
        <v>0.49519705068493153</v>
      </c>
      <c r="BL14" s="41">
        <f>I89/H89</f>
        <v>0.29345651352123842</v>
      </c>
      <c r="BM14" s="33">
        <f>R89</f>
        <v>0.95483999999999991</v>
      </c>
      <c r="BN14" s="31">
        <f t="shared" ref="BN14:BN22" si="27">O103</f>
        <v>0.27529055908341199</v>
      </c>
      <c r="BO14" s="32">
        <f t="shared" ref="BO14:BQ22" si="28">S103</f>
        <v>3.8476152000000008</v>
      </c>
      <c r="BP14" s="32">
        <f t="shared" si="28"/>
        <v>0.23085691200000003</v>
      </c>
      <c r="BQ14" s="32">
        <f t="shared" si="28"/>
        <v>0.52707057534246582</v>
      </c>
      <c r="BR14" s="41">
        <f>I103/H103</f>
        <v>0.28052668052668056</v>
      </c>
      <c r="BS14" s="33">
        <f>R103</f>
        <v>0.97152000000000005</v>
      </c>
      <c r="BT14" s="31">
        <f t="shared" ref="BT14:BT22" si="29">O117</f>
        <v>0.24776150317507079</v>
      </c>
      <c r="BU14" s="32">
        <f t="shared" ref="BU14:BW22" si="30">S117</f>
        <v>3.6098723099999996</v>
      </c>
      <c r="BV14" s="32">
        <f t="shared" si="30"/>
        <v>0.21659233859999996</v>
      </c>
      <c r="BW14" s="32">
        <f t="shared" si="30"/>
        <v>0.4945030561643835</v>
      </c>
      <c r="BX14" s="41">
        <f>I117/H117</f>
        <v>0.27339876462278523</v>
      </c>
      <c r="BY14" s="33">
        <f>R117</f>
        <v>0.88832999999999995</v>
      </c>
      <c r="BZ14" s="31">
        <f t="shared" ref="BZ14:BZ22" si="31">O131</f>
        <v>0.1651743354500472</v>
      </c>
      <c r="CA14" s="32">
        <f t="shared" ref="CA14:CC22" si="32">S131</f>
        <v>3.0848914800000005</v>
      </c>
      <c r="CB14" s="32">
        <f t="shared" si="32"/>
        <v>0.18509348880000001</v>
      </c>
      <c r="CC14" s="32">
        <f t="shared" si="32"/>
        <v>0.42258787397260283</v>
      </c>
      <c r="CD14" s="41">
        <f>I131/H131</f>
        <v>0.36383378711266701</v>
      </c>
      <c r="CE14" s="33">
        <f>R131</f>
        <v>1.0102500000000001</v>
      </c>
      <c r="CF14" s="31">
        <f t="shared" ref="CF14:CF22" si="33">O145</f>
        <v>0.12388075158753539</v>
      </c>
      <c r="CG14" s="32">
        <f t="shared" ref="CG14:CI22" si="34">S145</f>
        <v>2.9406725700000003</v>
      </c>
      <c r="CH14" s="32">
        <f t="shared" si="34"/>
        <v>0.17644035420000001</v>
      </c>
      <c r="CI14" s="32">
        <f t="shared" si="34"/>
        <v>0.40283185890410961</v>
      </c>
      <c r="CJ14" s="41">
        <f>I145/H145</f>
        <v>0.39889000970958161</v>
      </c>
      <c r="CK14" s="33">
        <f>R145</f>
        <v>1.0558100000000001</v>
      </c>
      <c r="CL14" s="31">
        <f t="shared" ref="CL14:CL18" si="35">O159</f>
        <v>9.910460127002832E-2</v>
      </c>
      <c r="CM14" s="32">
        <f t="shared" ref="CM14:CO18" si="36">S159</f>
        <v>3.6171715799999995</v>
      </c>
      <c r="CN14" s="32">
        <f t="shared" si="36"/>
        <v>0.21703029479999997</v>
      </c>
      <c r="CO14" s="32">
        <f t="shared" si="36"/>
        <v>0.4955029561643835</v>
      </c>
      <c r="CP14" s="41">
        <f>I159/H159</f>
        <v>0.30657476856544363</v>
      </c>
      <c r="CQ14" s="33">
        <f>R159</f>
        <v>0.99813999999999992</v>
      </c>
    </row>
    <row r="15" spans="2:95" ht="15" thickBot="1" x14ac:dyDescent="0.35">
      <c r="B15">
        <v>11</v>
      </c>
      <c r="C15">
        <v>936.8</v>
      </c>
      <c r="D15">
        <v>47325.4</v>
      </c>
      <c r="E15">
        <v>17735</v>
      </c>
      <c r="F15">
        <f t="shared" si="0"/>
        <v>4.7325400000000002</v>
      </c>
      <c r="G15">
        <f t="shared" si="1"/>
        <v>9.3679999999999999E-2</v>
      </c>
      <c r="H15">
        <f t="shared" si="2"/>
        <v>4.6388600000000002</v>
      </c>
      <c r="I15">
        <f t="shared" si="5"/>
        <v>1.7735000000000001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6.4815066927253778E-2</v>
      </c>
      <c r="P15" s="7">
        <v>21</v>
      </c>
      <c r="Q15" s="6">
        <f t="shared" si="7"/>
        <v>4.6388600000000002</v>
      </c>
      <c r="R15" s="6">
        <f t="shared" si="7"/>
        <v>1.7735000000000001</v>
      </c>
      <c r="S15" s="6">
        <f t="shared" si="8"/>
        <v>0.7362533514285714</v>
      </c>
      <c r="T15" s="6">
        <f t="shared" si="9"/>
        <v>4.417520108571428E-2</v>
      </c>
      <c r="U15" s="6">
        <f t="shared" si="10"/>
        <v>0.10085662348336595</v>
      </c>
      <c r="V15" s="6">
        <f t="shared" si="4"/>
        <v>6.4815066927253778E-2</v>
      </c>
      <c r="X15" s="34">
        <f t="shared" si="12"/>
        <v>1.0988697363115913</v>
      </c>
      <c r="Y15" s="35">
        <f t="shared" si="13"/>
        <v>13.581486160000004</v>
      </c>
      <c r="Z15" s="35">
        <f t="shared" si="13"/>
        <v>0.81488916960000024</v>
      </c>
      <c r="AA15" s="35">
        <f t="shared" si="13"/>
        <v>1.8604775561643843</v>
      </c>
      <c r="AB15" s="42">
        <f t="shared" ref="AB15:AB24" si="37">I6/H6</f>
        <v>4.2930788510997527E-2</v>
      </c>
      <c r="AC15" s="36">
        <f t="shared" si="14"/>
        <v>0.52481</v>
      </c>
      <c r="AD15" s="34">
        <f t="shared" si="15"/>
        <v>0.7325798242077276</v>
      </c>
      <c r="AE15" s="35">
        <f t="shared" si="16"/>
        <v>8.7884210699999983</v>
      </c>
      <c r="AF15" s="35">
        <f t="shared" si="16"/>
        <v>0.5273052641999999</v>
      </c>
      <c r="AG15" s="35">
        <f t="shared" si="16"/>
        <v>1.2038932972602738</v>
      </c>
      <c r="AH15" s="42">
        <f t="shared" ref="AH15:AH24" si="38">I20/H20</f>
        <v>7.8474205378509493E-2</v>
      </c>
      <c r="AI15" s="36">
        <f t="shared" ref="AI15:AI24" si="39">R20</f>
        <v>0.62076000000000009</v>
      </c>
      <c r="AJ15" s="34">
        <f t="shared" si="17"/>
        <v>0.54943486815579567</v>
      </c>
      <c r="AK15" s="35">
        <f t="shared" si="18"/>
        <v>7.2561854200000004</v>
      </c>
      <c r="AL15" s="35">
        <f t="shared" si="18"/>
        <v>0.43537112519999999</v>
      </c>
      <c r="AM15" s="35">
        <f t="shared" si="18"/>
        <v>0.99399800273972616</v>
      </c>
      <c r="AN15" s="42">
        <f t="shared" ref="AN15:AN23" si="40">I34/H34</f>
        <v>0.12892537688211392</v>
      </c>
      <c r="AO15" s="36">
        <f t="shared" ref="AO15:AO23" si="41">R34</f>
        <v>0.84204000000000001</v>
      </c>
      <c r="AP15" s="34">
        <f t="shared" si="19"/>
        <v>0.43954789452463655</v>
      </c>
      <c r="AQ15" s="35">
        <f t="shared" si="20"/>
        <v>5.8006198799999993</v>
      </c>
      <c r="AR15" s="35">
        <f t="shared" si="20"/>
        <v>0.34803719279999995</v>
      </c>
      <c r="AS15" s="35">
        <f t="shared" si="20"/>
        <v>0.7946054630136985</v>
      </c>
      <c r="AT15" s="42">
        <f t="shared" ref="AT15:AT23" si="42">I48/H48</f>
        <v>0.1526293410558735</v>
      </c>
      <c r="AU15" s="36">
        <f t="shared" ref="AU15:AU23" si="43">R48</f>
        <v>0.79688999999999999</v>
      </c>
      <c r="AV15" s="34">
        <f t="shared" si="21"/>
        <v>0.3662899121038638</v>
      </c>
      <c r="AW15" s="35">
        <f t="shared" si="22"/>
        <v>5.5568998099999991</v>
      </c>
      <c r="AX15" s="35">
        <f t="shared" si="22"/>
        <v>0.33341398859999993</v>
      </c>
      <c r="AY15" s="35">
        <f t="shared" si="22"/>
        <v>0.7612191520547944</v>
      </c>
      <c r="AZ15" s="42">
        <f t="shared" ref="AZ15:AZ23" si="44">I62/H62</f>
        <v>0.13793282697317519</v>
      </c>
      <c r="BA15" s="36">
        <f t="shared" ref="BA15:BA23" si="45">R62</f>
        <v>0.68989999999999996</v>
      </c>
      <c r="BB15" s="34">
        <f t="shared" si="23"/>
        <v>0.31396278180331183</v>
      </c>
      <c r="BC15" s="35">
        <f t="shared" si="24"/>
        <v>5.3484095500000004</v>
      </c>
      <c r="BD15" s="35">
        <f t="shared" si="24"/>
        <v>0.32090457300000003</v>
      </c>
      <c r="BE15" s="35">
        <f t="shared" si="24"/>
        <v>0.73265884246575352</v>
      </c>
      <c r="BF15" s="42">
        <f t="shared" ref="BF15:BF23" si="46">I76/H76</f>
        <v>0.12895794601219349</v>
      </c>
      <c r="BG15" s="36">
        <f t="shared" ref="BG15:BG23" si="47">R76</f>
        <v>0.62081000000000008</v>
      </c>
      <c r="BH15" s="34">
        <f t="shared" si="25"/>
        <v>0.27471743407789784</v>
      </c>
      <c r="BI15" s="35">
        <f t="shared" si="26"/>
        <v>5.0256751600000005</v>
      </c>
      <c r="BJ15" s="35">
        <f t="shared" si="26"/>
        <v>0.30154050960000001</v>
      </c>
      <c r="BK15" s="35">
        <f t="shared" si="26"/>
        <v>0.68844865205479455</v>
      </c>
      <c r="BL15" s="42">
        <f t="shared" ref="BL15:BL23" si="48">I90/H90</f>
        <v>0.16638222992510324</v>
      </c>
      <c r="BM15" s="36">
        <f t="shared" ref="BM15:BM23" si="49">R90</f>
        <v>0.75263999999999998</v>
      </c>
      <c r="BN15" s="34">
        <f t="shared" si="27"/>
        <v>0.24419327473590918</v>
      </c>
      <c r="BO15" s="35">
        <f t="shared" si="28"/>
        <v>4.6394249000000007</v>
      </c>
      <c r="BP15" s="35">
        <f t="shared" si="28"/>
        <v>0.27836549400000005</v>
      </c>
      <c r="BQ15" s="35">
        <f t="shared" si="28"/>
        <v>0.63553765753424674</v>
      </c>
      <c r="BR15" s="42">
        <f t="shared" ref="BR15:BR22" si="50">I104/H104</f>
        <v>0.1715103331018463</v>
      </c>
      <c r="BS15" s="36">
        <f t="shared" ref="BS15:BS22" si="51">R104</f>
        <v>0.71621000000000001</v>
      </c>
      <c r="BT15" s="34">
        <f t="shared" si="29"/>
        <v>0.21977394726231828</v>
      </c>
      <c r="BU15" s="35">
        <f t="shared" si="30"/>
        <v>4.5108710900000011</v>
      </c>
      <c r="BV15" s="35">
        <f t="shared" si="30"/>
        <v>0.27065226540000004</v>
      </c>
      <c r="BW15" s="35">
        <f t="shared" si="30"/>
        <v>0.61792754657534266</v>
      </c>
      <c r="BX15" s="42">
        <f t="shared" ref="BX15:BX22" si="52">I118/H118</f>
        <v>0.18768826089419458</v>
      </c>
      <c r="BY15" s="36">
        <f t="shared" ref="BY15:BY22" si="53">R118</f>
        <v>0.76205000000000001</v>
      </c>
      <c r="BZ15" s="34">
        <f t="shared" si="31"/>
        <v>0.14651596484154553</v>
      </c>
      <c r="CA15" s="35">
        <f t="shared" si="32"/>
        <v>4.4260906800000006</v>
      </c>
      <c r="CB15" s="35">
        <f t="shared" si="32"/>
        <v>0.26556544080000005</v>
      </c>
      <c r="CC15" s="35">
        <f t="shared" si="32"/>
        <v>0.60631379178082201</v>
      </c>
      <c r="CD15" s="42">
        <f t="shared" ref="CD15:CD22" si="54">I132/H132</f>
        <v>0.22702993062040022</v>
      </c>
      <c r="CE15" s="36">
        <f t="shared" ref="CE15:CE22" si="55">R132</f>
        <v>0.90446000000000004</v>
      </c>
      <c r="CF15" s="34">
        <f t="shared" si="33"/>
        <v>0.10988697363115914</v>
      </c>
      <c r="CG15" s="35">
        <f t="shared" si="34"/>
        <v>4.6866646200000002</v>
      </c>
      <c r="CH15" s="35">
        <f t="shared" si="34"/>
        <v>0.2811998772</v>
      </c>
      <c r="CI15" s="35">
        <f t="shared" si="34"/>
        <v>0.64200885205479452</v>
      </c>
      <c r="CJ15" s="42">
        <f t="shared" ref="CJ15:CJ22" si="56">I146/H146</f>
        <v>0.29428553818728337</v>
      </c>
      <c r="CK15" s="36">
        <f t="shared" ref="CK15:CK22" si="57">R146</f>
        <v>1.24142</v>
      </c>
      <c r="CL15" s="34">
        <f t="shared" si="35"/>
        <v>8.7909578904927302E-2</v>
      </c>
      <c r="CM15" s="35">
        <f t="shared" si="36"/>
        <v>4.4657200499999998</v>
      </c>
      <c r="CN15" s="35">
        <f t="shared" si="36"/>
        <v>0.26794320299999996</v>
      </c>
      <c r="CO15" s="35">
        <f t="shared" si="36"/>
        <v>0.61174247260273973</v>
      </c>
      <c r="CP15" s="42">
        <f t="shared" ref="CP15:CP18" si="58">I160/H160</f>
        <v>0.21141918871515472</v>
      </c>
      <c r="CQ15" s="36">
        <f t="shared" ref="CQ15:CQ18" si="59">R160</f>
        <v>0.84981000000000007</v>
      </c>
    </row>
    <row r="16" spans="2:95" ht="15" thickTop="1" x14ac:dyDescent="0.3">
      <c r="X16" s="34">
        <f t="shared" si="12"/>
        <v>0.94798801713418823</v>
      </c>
      <c r="Y16" s="35">
        <f t="shared" si="13"/>
        <v>13.068148609999998</v>
      </c>
      <c r="Z16" s="35">
        <f t="shared" si="13"/>
        <v>0.7840889165999998</v>
      </c>
      <c r="AA16" s="35">
        <f t="shared" si="13"/>
        <v>1.7901573438356162</v>
      </c>
      <c r="AB16" s="42">
        <f t="shared" si="37"/>
        <v>3.8061604198423638E-2</v>
      </c>
      <c r="AC16" s="36">
        <f t="shared" si="14"/>
        <v>0.44769999999999999</v>
      </c>
      <c r="AD16" s="34">
        <f t="shared" si="15"/>
        <v>0.63199201142279215</v>
      </c>
      <c r="AE16" s="35">
        <f t="shared" si="16"/>
        <v>8.9415835300000008</v>
      </c>
      <c r="AF16" s="35">
        <f t="shared" si="16"/>
        <v>0.53649501180000003</v>
      </c>
      <c r="AG16" s="35">
        <f t="shared" si="16"/>
        <v>1.2248744561643836</v>
      </c>
      <c r="AH16" s="42">
        <f t="shared" si="38"/>
        <v>7.7134972534333643E-2</v>
      </c>
      <c r="AI16" s="36">
        <f t="shared" si="39"/>
        <v>0.62080000000000002</v>
      </c>
      <c r="AJ16" s="34">
        <f t="shared" si="17"/>
        <v>0.47399400856709412</v>
      </c>
      <c r="AK16" s="35">
        <f t="shared" si="18"/>
        <v>7.2379761300000016</v>
      </c>
      <c r="AL16" s="35">
        <f t="shared" si="18"/>
        <v>0.43427856780000007</v>
      </c>
      <c r="AM16" s="35">
        <f t="shared" si="18"/>
        <v>0.99150357945205503</v>
      </c>
      <c r="AN16" s="42">
        <f t="shared" si="40"/>
        <v>9.0359994044357239E-2</v>
      </c>
      <c r="AO16" s="36">
        <f t="shared" si="41"/>
        <v>0.58867999999999998</v>
      </c>
      <c r="AP16" s="34">
        <f t="shared" si="19"/>
        <v>0.3791952068536753</v>
      </c>
      <c r="AQ16" s="35">
        <f t="shared" si="20"/>
        <v>6.5654433900000004</v>
      </c>
      <c r="AR16" s="35">
        <f t="shared" si="20"/>
        <v>0.39392660340000002</v>
      </c>
      <c r="AS16" s="35">
        <f t="shared" si="20"/>
        <v>0.89937580684931517</v>
      </c>
      <c r="AT16" s="42">
        <f t="shared" si="42"/>
        <v>9.8490732702822062E-2</v>
      </c>
      <c r="AU16" s="36">
        <f t="shared" si="43"/>
        <v>0.58203000000000005</v>
      </c>
      <c r="AV16" s="34">
        <f t="shared" si="21"/>
        <v>0.31599600571139608</v>
      </c>
      <c r="AW16" s="35">
        <f t="shared" si="22"/>
        <v>5.9283959900000003</v>
      </c>
      <c r="AX16" s="35">
        <f t="shared" si="22"/>
        <v>0.35570375939999999</v>
      </c>
      <c r="AY16" s="35">
        <f t="shared" si="22"/>
        <v>0.81210903972602744</v>
      </c>
      <c r="AZ16" s="42">
        <f t="shared" si="44"/>
        <v>0.1330093757788943</v>
      </c>
      <c r="BA16" s="36">
        <f t="shared" si="45"/>
        <v>0.70974999999999999</v>
      </c>
      <c r="BB16" s="34">
        <f t="shared" si="23"/>
        <v>0.27085371918119666</v>
      </c>
      <c r="BC16" s="35">
        <f t="shared" si="24"/>
        <v>5.6361030000000012</v>
      </c>
      <c r="BD16" s="35">
        <f t="shared" si="24"/>
        <v>0.33816618000000004</v>
      </c>
      <c r="BE16" s="35">
        <f t="shared" si="24"/>
        <v>0.77206890410958917</v>
      </c>
      <c r="BF16" s="42">
        <f t="shared" si="46"/>
        <v>0.11303370786516852</v>
      </c>
      <c r="BG16" s="36">
        <f t="shared" si="47"/>
        <v>0.57341999999999993</v>
      </c>
      <c r="BH16" s="34">
        <f t="shared" si="25"/>
        <v>0.23699700428354706</v>
      </c>
      <c r="BI16" s="35">
        <f t="shared" si="26"/>
        <v>5.4817739899999998</v>
      </c>
      <c r="BJ16" s="35">
        <f t="shared" si="26"/>
        <v>0.32890643939999997</v>
      </c>
      <c r="BK16" s="35">
        <f t="shared" si="26"/>
        <v>0.75092794383561645</v>
      </c>
      <c r="BL16" s="42">
        <f t="shared" si="48"/>
        <v>0.11750089682190637</v>
      </c>
      <c r="BM16" s="36">
        <f t="shared" si="49"/>
        <v>0.57976000000000005</v>
      </c>
      <c r="BN16" s="34">
        <f t="shared" si="27"/>
        <v>0.21066400380759739</v>
      </c>
      <c r="BO16" s="35">
        <f t="shared" si="28"/>
        <v>5.1089779400000017</v>
      </c>
      <c r="BP16" s="35">
        <f t="shared" si="28"/>
        <v>0.3065386764000001</v>
      </c>
      <c r="BQ16" s="35">
        <f t="shared" si="28"/>
        <v>0.69985999178082214</v>
      </c>
      <c r="BR16" s="42">
        <f t="shared" si="50"/>
        <v>0.10585968590030748</v>
      </c>
      <c r="BS16" s="36">
        <f t="shared" si="51"/>
        <v>0.48680000000000001</v>
      </c>
      <c r="BT16" s="34">
        <f t="shared" si="29"/>
        <v>0.18959760342683765</v>
      </c>
      <c r="BU16" s="35">
        <f t="shared" si="30"/>
        <v>5.3239897700000007</v>
      </c>
      <c r="BV16" s="35">
        <f t="shared" si="30"/>
        <v>0.31943938620000001</v>
      </c>
      <c r="BW16" s="35">
        <f t="shared" si="30"/>
        <v>0.72931366712328782</v>
      </c>
      <c r="BX16" s="42">
        <f t="shared" si="52"/>
        <v>0.11948698579110903</v>
      </c>
      <c r="BY16" s="36">
        <f t="shared" si="53"/>
        <v>0.57258999999999993</v>
      </c>
      <c r="BZ16" s="34">
        <f t="shared" si="31"/>
        <v>0.12639840228455843</v>
      </c>
      <c r="CA16" s="35">
        <f t="shared" si="32"/>
        <v>5.1986689700000008</v>
      </c>
      <c r="CB16" s="35">
        <f t="shared" si="32"/>
        <v>0.31192013820000003</v>
      </c>
      <c r="CC16" s="35">
        <f t="shared" si="32"/>
        <v>0.71214643424657542</v>
      </c>
      <c r="CD16" s="42">
        <f t="shared" si="54"/>
        <v>0.2000867656707136</v>
      </c>
      <c r="CE16" s="36">
        <f t="shared" si="55"/>
        <v>0.93625999999999998</v>
      </c>
      <c r="CF16" s="34">
        <f t="shared" si="33"/>
        <v>9.4798801713418826E-2</v>
      </c>
      <c r="CG16" s="35">
        <f t="shared" si="34"/>
        <v>4.188214470000001</v>
      </c>
      <c r="CH16" s="35">
        <f t="shared" si="34"/>
        <v>0.25129286820000007</v>
      </c>
      <c r="CI16" s="35">
        <f t="shared" si="34"/>
        <v>0.57372800958904124</v>
      </c>
      <c r="CJ16" s="42">
        <f t="shared" si="56"/>
        <v>0.28869665788629018</v>
      </c>
      <c r="CK16" s="36">
        <f t="shared" si="57"/>
        <v>1.0883200000000002</v>
      </c>
      <c r="CL16" s="34">
        <f t="shared" si="35"/>
        <v>7.5839041370735064E-2</v>
      </c>
      <c r="CM16" s="35">
        <f t="shared" si="36"/>
        <v>5.3584085500000009</v>
      </c>
      <c r="CN16" s="35">
        <f t="shared" si="36"/>
        <v>0.32150451300000005</v>
      </c>
      <c r="CO16" s="35">
        <f t="shared" si="36"/>
        <v>0.73402856849315079</v>
      </c>
      <c r="CP16" s="42">
        <f t="shared" si="58"/>
        <v>0.24801940680689605</v>
      </c>
      <c r="CQ16" s="36">
        <f t="shared" si="59"/>
        <v>1.19621</v>
      </c>
    </row>
    <row r="17" spans="2:95" ht="15" thickBot="1" x14ac:dyDescent="0.35">
      <c r="X17" s="34">
        <f t="shared" si="12"/>
        <v>0.57417331261814231</v>
      </c>
      <c r="Y17" s="35">
        <f t="shared" si="13"/>
        <v>12.420868899999997</v>
      </c>
      <c r="Z17" s="35">
        <f t="shared" si="13"/>
        <v>0.74525213399999979</v>
      </c>
      <c r="AA17" s="35">
        <f t="shared" si="13"/>
        <v>1.7014888904109584</v>
      </c>
      <c r="AB17" s="42">
        <f t="shared" si="37"/>
        <v>3.9493197613574373E-2</v>
      </c>
      <c r="AC17" s="36">
        <f t="shared" si="14"/>
        <v>0.44153000000000003</v>
      </c>
      <c r="AD17" s="34">
        <f t="shared" si="15"/>
        <v>0.38278220841209487</v>
      </c>
      <c r="AE17" s="35">
        <f t="shared" si="16"/>
        <v>8.1054116</v>
      </c>
      <c r="AF17" s="35">
        <f t="shared" si="16"/>
        <v>0.486324696</v>
      </c>
      <c r="AG17" s="35">
        <f t="shared" si="16"/>
        <v>1.1103303561643836</v>
      </c>
      <c r="AH17" s="42">
        <f t="shared" si="38"/>
        <v>5.622567026701026E-2</v>
      </c>
      <c r="AI17" s="36">
        <f t="shared" si="39"/>
        <v>0.41020000000000001</v>
      </c>
      <c r="AJ17" s="34">
        <f t="shared" si="17"/>
        <v>0.28708665630907115</v>
      </c>
      <c r="AK17" s="35">
        <f t="shared" si="18"/>
        <v>6.1629169799999994</v>
      </c>
      <c r="AL17" s="35">
        <f t="shared" si="18"/>
        <v>0.36977501879999997</v>
      </c>
      <c r="AM17" s="35">
        <f t="shared" si="18"/>
        <v>0.84423520273972597</v>
      </c>
      <c r="AN17" s="42">
        <f t="shared" si="40"/>
        <v>9.2043164274460201E-2</v>
      </c>
      <c r="AO17" s="36">
        <f t="shared" si="41"/>
        <v>0.51058000000000003</v>
      </c>
      <c r="AP17" s="34">
        <f t="shared" si="19"/>
        <v>0.22966932504725693</v>
      </c>
      <c r="AQ17" s="35">
        <f t="shared" si="20"/>
        <v>5.0015664600000003</v>
      </c>
      <c r="AR17" s="35">
        <f t="shared" si="20"/>
        <v>0.3000939876</v>
      </c>
      <c r="AS17" s="35">
        <f t="shared" si="20"/>
        <v>0.68514609041095897</v>
      </c>
      <c r="AT17" s="42">
        <f t="shared" si="42"/>
        <v>0.14358287463404013</v>
      </c>
      <c r="AU17" s="36">
        <f t="shared" si="43"/>
        <v>0.64638999999999991</v>
      </c>
      <c r="AV17" s="34">
        <f t="shared" si="21"/>
        <v>0.19139110420604744</v>
      </c>
      <c r="AW17" s="35">
        <f t="shared" si="22"/>
        <v>4.8434600499999991</v>
      </c>
      <c r="AX17" s="35">
        <f t="shared" si="22"/>
        <v>0.29060760299999994</v>
      </c>
      <c r="AY17" s="35">
        <f t="shared" si="22"/>
        <v>0.66348767808219167</v>
      </c>
      <c r="AZ17" s="42">
        <f t="shared" si="44"/>
        <v>0.14310651328692184</v>
      </c>
      <c r="BA17" s="36">
        <f t="shared" si="45"/>
        <v>0.62387999999999999</v>
      </c>
      <c r="BB17" s="34">
        <f t="shared" si="23"/>
        <v>0.16404951789089781</v>
      </c>
      <c r="BC17" s="35">
        <f t="shared" si="24"/>
        <v>4.5287581900000013</v>
      </c>
      <c r="BD17" s="35">
        <f t="shared" si="24"/>
        <v>0.27172549140000007</v>
      </c>
      <c r="BE17" s="35">
        <f t="shared" si="24"/>
        <v>0.62037783424657555</v>
      </c>
      <c r="BF17" s="42">
        <f t="shared" si="46"/>
        <v>0.13462241400881683</v>
      </c>
      <c r="BG17" s="36">
        <f t="shared" si="47"/>
        <v>0.54876000000000003</v>
      </c>
      <c r="BH17" s="34">
        <f t="shared" si="25"/>
        <v>0.14354332815453558</v>
      </c>
      <c r="BI17" s="35">
        <f t="shared" si="26"/>
        <v>4.1667388399999989</v>
      </c>
      <c r="BJ17" s="35">
        <f t="shared" si="26"/>
        <v>0.25000433039999992</v>
      </c>
      <c r="BK17" s="35">
        <f t="shared" si="26"/>
        <v>0.57078614246575332</v>
      </c>
      <c r="BL17" s="42">
        <f t="shared" si="48"/>
        <v>0.15260876057209288</v>
      </c>
      <c r="BM17" s="36">
        <f t="shared" si="49"/>
        <v>0.57235000000000003</v>
      </c>
      <c r="BN17" s="34">
        <f t="shared" si="27"/>
        <v>0.12759406947069829</v>
      </c>
      <c r="BO17" s="35">
        <f t="shared" si="28"/>
        <v>3.869679660000001</v>
      </c>
      <c r="BP17" s="35">
        <f t="shared" si="28"/>
        <v>0.23218077960000005</v>
      </c>
      <c r="BQ17" s="35">
        <f t="shared" si="28"/>
        <v>0.53009310410958921</v>
      </c>
      <c r="BR17" s="42">
        <f t="shared" si="50"/>
        <v>0.16289125079671324</v>
      </c>
      <c r="BS17" s="36">
        <f t="shared" si="51"/>
        <v>0.56736000000000009</v>
      </c>
      <c r="BT17" s="34">
        <f t="shared" si="29"/>
        <v>0.11483466252362846</v>
      </c>
      <c r="BU17" s="35">
        <f t="shared" si="30"/>
        <v>3.2824939399999993</v>
      </c>
      <c r="BV17" s="35">
        <f t="shared" si="30"/>
        <v>0.19694963639999996</v>
      </c>
      <c r="BW17" s="35">
        <f t="shared" si="30"/>
        <v>0.44965670410958897</v>
      </c>
      <c r="BX17" s="42">
        <f t="shared" si="52"/>
        <v>0.16764030948980216</v>
      </c>
      <c r="BY17" s="36">
        <f t="shared" si="53"/>
        <v>0.49530000000000002</v>
      </c>
      <c r="BZ17" s="34">
        <f t="shared" si="31"/>
        <v>7.6556441682418971E-2</v>
      </c>
      <c r="CA17" s="35">
        <f t="shared" si="32"/>
        <v>2.2809385500000001</v>
      </c>
      <c r="CB17" s="35">
        <f t="shared" si="32"/>
        <v>0.13685631300000001</v>
      </c>
      <c r="CC17" s="35">
        <f t="shared" si="32"/>
        <v>0.3124573356164384</v>
      </c>
      <c r="CD17" s="42">
        <f t="shared" si="54"/>
        <v>1.0034241737902148</v>
      </c>
      <c r="CE17" s="36">
        <f t="shared" si="55"/>
        <v>2.0600800000000001</v>
      </c>
      <c r="CF17" s="34">
        <f t="shared" si="33"/>
        <v>5.7417331261814232E-2</v>
      </c>
      <c r="CG17" s="35">
        <f t="shared" si="34"/>
        <v>0.28133852999999992</v>
      </c>
      <c r="CH17" s="35">
        <f t="shared" si="34"/>
        <v>1.6880311799999995E-2</v>
      </c>
      <c r="CI17" s="35">
        <f t="shared" si="34"/>
        <v>3.8539524657534234E-2</v>
      </c>
      <c r="CJ17" s="42">
        <f t="shared" si="56"/>
        <v>14.147020495201993</v>
      </c>
      <c r="CK17" s="36">
        <f t="shared" si="57"/>
        <v>3.5824500000000001</v>
      </c>
      <c r="CL17" s="34">
        <f t="shared" si="35"/>
        <v>4.5933865009451381E-2</v>
      </c>
      <c r="CM17" s="35">
        <f t="shared" si="36"/>
        <v>1.2942372300000002</v>
      </c>
      <c r="CN17" s="35">
        <f t="shared" si="36"/>
        <v>7.7654233800000014E-2</v>
      </c>
      <c r="CO17" s="35">
        <f t="shared" si="36"/>
        <v>0.17729277123287676</v>
      </c>
      <c r="CP17" s="42">
        <f t="shared" si="58"/>
        <v>3.118256032551312</v>
      </c>
      <c r="CQ17" s="36">
        <f t="shared" si="59"/>
        <v>3.6325500000000002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0.41499142510259568</v>
      </c>
      <c r="Y18" s="35">
        <f t="shared" si="13"/>
        <v>10.75246909</v>
      </c>
      <c r="Z18" s="35">
        <f t="shared" si="13"/>
        <v>0.64514814539999998</v>
      </c>
      <c r="AA18" s="35">
        <f t="shared" si="13"/>
        <v>1.4729409712328767</v>
      </c>
      <c r="AB18" s="42">
        <f t="shared" si="37"/>
        <v>4.8384047017055877E-2</v>
      </c>
      <c r="AC18" s="36">
        <f t="shared" si="14"/>
        <v>0.46826999999999996</v>
      </c>
      <c r="AD18" s="34">
        <f t="shared" si="15"/>
        <v>0.27666095006839714</v>
      </c>
      <c r="AE18" s="35">
        <f t="shared" si="16"/>
        <v>6.4329344199999996</v>
      </c>
      <c r="AF18" s="35">
        <f t="shared" si="16"/>
        <v>0.38597606519999994</v>
      </c>
      <c r="AG18" s="35">
        <f t="shared" si="16"/>
        <v>0.88122389315068494</v>
      </c>
      <c r="AH18" s="42">
        <f t="shared" si="38"/>
        <v>9.3024099257023068E-2</v>
      </c>
      <c r="AI18" s="36">
        <f t="shared" si="39"/>
        <v>0.53863000000000005</v>
      </c>
      <c r="AJ18" s="34">
        <f t="shared" si="17"/>
        <v>0.20749571255129784</v>
      </c>
      <c r="AK18" s="35">
        <f t="shared" si="18"/>
        <v>4.9672587800000008</v>
      </c>
      <c r="AL18" s="35">
        <f t="shared" si="18"/>
        <v>0.29803552680000006</v>
      </c>
      <c r="AM18" s="35">
        <f t="shared" si="18"/>
        <v>0.68044640821917823</v>
      </c>
      <c r="AN18" s="42">
        <f t="shared" si="40"/>
        <v>0.10130664865421003</v>
      </c>
      <c r="AO18" s="36">
        <f t="shared" si="41"/>
        <v>0.45293999999999995</v>
      </c>
      <c r="AP18" s="34">
        <f t="shared" si="19"/>
        <v>0.16599657004103827</v>
      </c>
      <c r="AQ18" s="35">
        <f t="shared" si="20"/>
        <v>4.1520736400000011</v>
      </c>
      <c r="AR18" s="35">
        <f t="shared" si="20"/>
        <v>0.24912441840000005</v>
      </c>
      <c r="AS18" s="35">
        <f t="shared" si="20"/>
        <v>0.56877721095890432</v>
      </c>
      <c r="AT18" s="42">
        <f t="shared" si="42"/>
        <v>0.14854812642484827</v>
      </c>
      <c r="AU18" s="36">
        <f t="shared" si="43"/>
        <v>0.55515999999999999</v>
      </c>
      <c r="AV18" s="34">
        <f t="shared" si="21"/>
        <v>0.13833047503419857</v>
      </c>
      <c r="AW18" s="35">
        <f t="shared" si="22"/>
        <v>3.4379783900000001</v>
      </c>
      <c r="AX18" s="35">
        <f t="shared" si="22"/>
        <v>0.20627870339999999</v>
      </c>
      <c r="AY18" s="35">
        <f t="shared" si="22"/>
        <v>0.47095594383561645</v>
      </c>
      <c r="AZ18" s="42">
        <f t="shared" si="44"/>
        <v>0.1920801165943338</v>
      </c>
      <c r="BA18" s="36">
        <f t="shared" si="45"/>
        <v>0.59438999999999997</v>
      </c>
      <c r="BB18" s="34">
        <f t="shared" si="23"/>
        <v>0.11856897860074163</v>
      </c>
      <c r="BC18" s="35">
        <f t="shared" si="24"/>
        <v>2.86196933</v>
      </c>
      <c r="BD18" s="35">
        <f t="shared" si="24"/>
        <v>0.17171815979999999</v>
      </c>
      <c r="BE18" s="35">
        <f t="shared" si="24"/>
        <v>0.39205059315068491</v>
      </c>
      <c r="BF18" s="42">
        <f t="shared" si="46"/>
        <v>0.1890661211243658</v>
      </c>
      <c r="BG18" s="36">
        <f t="shared" si="47"/>
        <v>0.48703999999999997</v>
      </c>
      <c r="BH18" s="34">
        <f t="shared" si="25"/>
        <v>0.10374785627564892</v>
      </c>
      <c r="BI18" s="35">
        <f t="shared" si="26"/>
        <v>2.5421568699999999</v>
      </c>
      <c r="BJ18" s="35">
        <f t="shared" si="26"/>
        <v>0.15252941219999999</v>
      </c>
      <c r="BK18" s="35">
        <f t="shared" si="26"/>
        <v>0.34824066712328766</v>
      </c>
      <c r="BL18" s="42">
        <f t="shared" si="48"/>
        <v>0.27001927304352386</v>
      </c>
      <c r="BM18" s="36">
        <f t="shared" si="49"/>
        <v>0.61785000000000001</v>
      </c>
      <c r="BN18" s="34">
        <f t="shared" si="27"/>
        <v>9.2220316689465703E-2</v>
      </c>
      <c r="BO18" s="35">
        <f t="shared" si="28"/>
        <v>2.4261129200000009</v>
      </c>
      <c r="BP18" s="35">
        <f t="shared" si="28"/>
        <v>0.14556677520000005</v>
      </c>
      <c r="BQ18" s="35">
        <f t="shared" si="28"/>
        <v>0.3323442356164385</v>
      </c>
      <c r="BR18" s="42">
        <f t="shared" si="50"/>
        <v>0.2076456688586448</v>
      </c>
      <c r="BS18" s="36">
        <f t="shared" si="51"/>
        <v>0.45343999999999995</v>
      </c>
      <c r="BT18" s="34">
        <f t="shared" si="29"/>
        <v>8.2998285020519133E-2</v>
      </c>
      <c r="BU18" s="35">
        <f t="shared" si="30"/>
        <v>2.4299458700000005</v>
      </c>
      <c r="BV18" s="35">
        <f t="shared" si="30"/>
        <v>0.14579675220000002</v>
      </c>
      <c r="BW18" s="35">
        <f t="shared" si="30"/>
        <v>0.33286929726027403</v>
      </c>
      <c r="BX18" s="42">
        <f t="shared" si="52"/>
        <v>0.21974972224381273</v>
      </c>
      <c r="BY18" s="36">
        <f t="shared" si="53"/>
        <v>0.48063</v>
      </c>
      <c r="BZ18" s="34">
        <f t="shared" si="31"/>
        <v>5.5332190013679422E-2</v>
      </c>
      <c r="CA18" s="35">
        <f t="shared" si="32"/>
        <v>-0.55653323000000021</v>
      </c>
      <c r="CB18" s="35">
        <f t="shared" si="32"/>
        <v>-3.3391993800000012E-2</v>
      </c>
      <c r="CC18" s="35">
        <f t="shared" si="32"/>
        <v>-7.6237428767123319E-2</v>
      </c>
      <c r="CD18" s="42">
        <f t="shared" si="54"/>
        <v>-5.4053260934661518</v>
      </c>
      <c r="CE18" s="36">
        <f t="shared" si="55"/>
        <v>2.7076899999999999</v>
      </c>
      <c r="CF18" s="34">
        <f t="shared" si="33"/>
        <v>4.1499142510259567E-2</v>
      </c>
      <c r="CG18" s="35">
        <f t="shared" si="34"/>
        <v>2.3115021600000003</v>
      </c>
      <c r="CH18" s="35">
        <f t="shared" si="34"/>
        <v>0.13869012960000002</v>
      </c>
      <c r="CI18" s="35">
        <f t="shared" si="34"/>
        <v>0.31664413150684939</v>
      </c>
      <c r="CJ18" s="42">
        <f t="shared" si="56"/>
        <v>1.5942438574230011</v>
      </c>
      <c r="CK18" s="36">
        <f t="shared" si="57"/>
        <v>3.3169199999999996</v>
      </c>
      <c r="CL18" s="34">
        <f t="shared" si="35"/>
        <v>3.3199314008207657E-2</v>
      </c>
      <c r="CM18" s="35">
        <f t="shared" si="36"/>
        <v>4.3092468100000003</v>
      </c>
      <c r="CN18" s="35">
        <f t="shared" si="36"/>
        <v>0.25855480860000002</v>
      </c>
      <c r="CO18" s="35">
        <f t="shared" si="36"/>
        <v>0.59030778219178093</v>
      </c>
      <c r="CP18" s="42">
        <f t="shared" si="58"/>
        <v>0.71812019975713581</v>
      </c>
      <c r="CQ18" s="36">
        <f t="shared" si="59"/>
        <v>2.78538</v>
      </c>
    </row>
    <row r="19" spans="2:95" ht="15" thickTop="1" x14ac:dyDescent="0.3">
      <c r="B19">
        <v>1</v>
      </c>
      <c r="C19">
        <v>4111.3</v>
      </c>
      <c r="D19">
        <v>75823.899999999994</v>
      </c>
      <c r="E19">
        <v>8240</v>
      </c>
      <c r="F19">
        <f t="shared" ref="F19:F29" si="60">D19/10000</f>
        <v>7.5823899999999993</v>
      </c>
      <c r="G19">
        <f t="shared" ref="G19:G29" si="61">C19/10000</f>
        <v>0.41113</v>
      </c>
      <c r="H19">
        <f t="shared" ref="H19:H29" si="62">F19-G19</f>
        <v>7.1712599999999993</v>
      </c>
      <c r="I19">
        <f>E19/10000</f>
        <v>0.82399999999999995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0.82587167725023602</v>
      </c>
      <c r="P19" s="2">
        <v>3</v>
      </c>
      <c r="Q19" s="8">
        <f>H19</f>
        <v>7.1712599999999993</v>
      </c>
      <c r="R19" s="8">
        <f>I19</f>
        <v>0.82399999999999995</v>
      </c>
      <c r="S19" s="8">
        <f>Q19/10^6*$Z$4*$Z$3/P19*10^12</f>
        <v>7.96726986</v>
      </c>
      <c r="T19" s="8">
        <f>S19*0.06</f>
        <v>0.47803619159999999</v>
      </c>
      <c r="U19" s="8">
        <f>S19/$Z$1</f>
        <v>1.0914068301369864</v>
      </c>
      <c r="V19" s="12">
        <f t="shared" ref="V19:V29" si="63">O19</f>
        <v>0.82587167725023602</v>
      </c>
      <c r="W19" s="19"/>
      <c r="X19" s="34">
        <f t="shared" si="12"/>
        <v>0.28725397826234789</v>
      </c>
      <c r="Y19" s="35">
        <f t="shared" si="13"/>
        <v>9.2281270949999996</v>
      </c>
      <c r="Z19" s="35">
        <f t="shared" si="13"/>
        <v>0.55368762569999996</v>
      </c>
      <c r="AA19" s="35">
        <f t="shared" si="13"/>
        <v>1.2641269993150686</v>
      </c>
      <c r="AB19" s="42">
        <f t="shared" si="37"/>
        <v>4.1996016202462148E-2</v>
      </c>
      <c r="AC19" s="36">
        <f t="shared" si="14"/>
        <v>0.46510000000000001</v>
      </c>
      <c r="AD19" s="34">
        <f t="shared" si="15"/>
        <v>0.19150265217489859</v>
      </c>
      <c r="AE19" s="35">
        <f t="shared" si="16"/>
        <v>5.0271972300000005</v>
      </c>
      <c r="AF19" s="35">
        <f t="shared" si="16"/>
        <v>0.30163183380000003</v>
      </c>
      <c r="AG19" s="35">
        <f t="shared" si="16"/>
        <v>0.68865715479452061</v>
      </c>
      <c r="AH19" s="42">
        <f t="shared" si="38"/>
        <v>9.7867812319748601E-2</v>
      </c>
      <c r="AI19" s="36">
        <f t="shared" si="39"/>
        <v>0.59045999999999998</v>
      </c>
      <c r="AJ19" s="34">
        <f t="shared" si="17"/>
        <v>0.14362698913117394</v>
      </c>
      <c r="AK19" s="35">
        <f t="shared" si="18"/>
        <v>3.4027430250000004</v>
      </c>
      <c r="AL19" s="35">
        <f t="shared" si="18"/>
        <v>0.20416458150000003</v>
      </c>
      <c r="AM19" s="35">
        <f t="shared" si="18"/>
        <v>0.4661291815068494</v>
      </c>
      <c r="AN19" s="42">
        <f t="shared" si="40"/>
        <v>0.11966598917648211</v>
      </c>
      <c r="AO19" s="36">
        <f t="shared" si="41"/>
        <v>0.48868</v>
      </c>
      <c r="AP19" s="34">
        <f t="shared" si="19"/>
        <v>0.11490159130493915</v>
      </c>
      <c r="AQ19" s="35">
        <f t="shared" si="20"/>
        <v>2.5479368475000004</v>
      </c>
      <c r="AR19" s="35">
        <f t="shared" si="20"/>
        <v>0.15287621085000003</v>
      </c>
      <c r="AS19" s="35">
        <f t="shared" si="20"/>
        <v>0.34903244486301377</v>
      </c>
      <c r="AT19" s="42">
        <f t="shared" si="42"/>
        <v>0.21520490020700958</v>
      </c>
      <c r="AU19" s="36">
        <f t="shared" si="43"/>
        <v>0.65806000000000009</v>
      </c>
      <c r="AV19" s="34">
        <f t="shared" si="21"/>
        <v>9.5751326087449296E-2</v>
      </c>
      <c r="AW19" s="35">
        <f t="shared" si="22"/>
        <v>2.2941288974999994</v>
      </c>
      <c r="AX19" s="35">
        <f t="shared" si="22"/>
        <v>0.13764773384999995</v>
      </c>
      <c r="AY19" s="35">
        <f t="shared" si="22"/>
        <v>0.31426423253424651</v>
      </c>
      <c r="AZ19" s="42">
        <f t="shared" si="44"/>
        <v>0.21118468126527754</v>
      </c>
      <c r="BA19" s="36">
        <f t="shared" si="45"/>
        <v>0.58143999999999996</v>
      </c>
      <c r="BB19" s="34">
        <f t="shared" si="23"/>
        <v>8.2072565217813684E-2</v>
      </c>
      <c r="BC19" s="35">
        <f t="shared" si="24"/>
        <v>2.2481001675000001</v>
      </c>
      <c r="BD19" s="35">
        <f t="shared" si="24"/>
        <v>0.13488601005</v>
      </c>
      <c r="BE19" s="35">
        <f t="shared" si="24"/>
        <v>0.30795892705479455</v>
      </c>
      <c r="BF19" s="42">
        <f t="shared" si="46"/>
        <v>0.20742849306335454</v>
      </c>
      <c r="BG19" s="36">
        <f t="shared" si="47"/>
        <v>0.55963999999999992</v>
      </c>
      <c r="BH19" s="34">
        <f t="shared" si="25"/>
        <v>7.1813494565586972E-2</v>
      </c>
      <c r="BI19" s="35">
        <f t="shared" si="26"/>
        <v>2.0331883275000004</v>
      </c>
      <c r="BJ19" s="35">
        <f t="shared" si="26"/>
        <v>0.12199129965000002</v>
      </c>
      <c r="BK19" s="35">
        <f t="shared" si="26"/>
        <v>0.27851894897260282</v>
      </c>
      <c r="BL19" s="42">
        <f t="shared" si="48"/>
        <v>0.20791206809640708</v>
      </c>
      <c r="BM19" s="36">
        <f t="shared" si="49"/>
        <v>0.50731999999999999</v>
      </c>
      <c r="BN19" s="34">
        <f t="shared" si="27"/>
        <v>6.3834217391632864E-2</v>
      </c>
      <c r="BO19" s="35">
        <f t="shared" si="28"/>
        <v>1.7529746850000001</v>
      </c>
      <c r="BP19" s="35">
        <f t="shared" si="28"/>
        <v>0.1051784811</v>
      </c>
      <c r="BQ19" s="35">
        <f t="shared" si="28"/>
        <v>0.2401335184931507</v>
      </c>
      <c r="BR19" s="42">
        <f t="shared" si="50"/>
        <v>0.26501345197691772</v>
      </c>
      <c r="BS19" s="36">
        <f t="shared" si="51"/>
        <v>0.55752999999999997</v>
      </c>
      <c r="BT19" s="34">
        <f t="shared" si="29"/>
        <v>5.7450795652469577E-2</v>
      </c>
      <c r="BU19" s="35">
        <f t="shared" si="30"/>
        <v>1.5903576150000001</v>
      </c>
      <c r="BV19" s="35">
        <f t="shared" si="30"/>
        <v>9.5421456900000007E-2</v>
      </c>
      <c r="BW19" s="35">
        <f t="shared" si="30"/>
        <v>0.21785720753424659</v>
      </c>
      <c r="BX19" s="42">
        <f t="shared" si="52"/>
        <v>0.28024960442623464</v>
      </c>
      <c r="BY19" s="36">
        <f t="shared" si="53"/>
        <v>0.53488999999999998</v>
      </c>
      <c r="BZ19" s="34">
        <f t="shared" si="31"/>
        <v>3.8300530434979718E-2</v>
      </c>
      <c r="CA19" s="35">
        <f t="shared" si="32"/>
        <v>1.1475685650000003</v>
      </c>
      <c r="CB19" s="35">
        <f t="shared" si="32"/>
        <v>6.8854113900000014E-2</v>
      </c>
      <c r="CC19" s="35">
        <f t="shared" si="32"/>
        <v>0.15720117328767128</v>
      </c>
      <c r="CD19" s="42">
        <f t="shared" si="54"/>
        <v>0.66766384455642513</v>
      </c>
      <c r="CE19" s="36">
        <f t="shared" si="55"/>
        <v>0.91952000000000012</v>
      </c>
      <c r="CF19" s="34">
        <f t="shared" si="33"/>
        <v>2.8725397826234789E-2</v>
      </c>
      <c r="CG19" s="35">
        <f t="shared" si="34"/>
        <v>0.98424323250000001</v>
      </c>
      <c r="CH19" s="35">
        <f t="shared" si="34"/>
        <v>5.9054593949999998E-2</v>
      </c>
      <c r="CI19" s="35">
        <f t="shared" si="34"/>
        <v>0.13482784006849316</v>
      </c>
      <c r="CJ19" s="42">
        <f t="shared" si="56"/>
        <v>0.55929089662295439</v>
      </c>
      <c r="CK19" s="36">
        <f t="shared" si="57"/>
        <v>0.66064000000000001</v>
      </c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-1068.8</v>
      </c>
      <c r="D20">
        <v>78034.899999999994</v>
      </c>
      <c r="E20">
        <v>6207.6</v>
      </c>
      <c r="F20">
        <f t="shared" si="60"/>
        <v>7.8034899999999991</v>
      </c>
      <c r="G20">
        <f t="shared" si="61"/>
        <v>-0.10687999999999999</v>
      </c>
      <c r="H20">
        <f t="shared" si="62"/>
        <v>7.9103699999999995</v>
      </c>
      <c r="I20">
        <f t="shared" ref="I20:I29" si="64">E20/10000</f>
        <v>0.62076000000000009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0.7325798242077276</v>
      </c>
      <c r="P20" s="4">
        <v>3</v>
      </c>
      <c r="Q20" s="5">
        <f t="shared" ref="Q20:R29" si="67">H20</f>
        <v>7.9103699999999995</v>
      </c>
      <c r="R20" s="5">
        <f t="shared" si="67"/>
        <v>0.62076000000000009</v>
      </c>
      <c r="S20" s="5">
        <f t="shared" ref="S20:S29" si="68">Q20/10^6*$Z$4*$Z$3/P20*10^12</f>
        <v>8.7884210699999983</v>
      </c>
      <c r="T20" s="5">
        <f t="shared" ref="T20:T29" si="69">S20*0.06</f>
        <v>0.5273052641999999</v>
      </c>
      <c r="U20" s="5">
        <f t="shared" ref="U20:U29" si="70">S20/$Z$1</f>
        <v>1.2038932972602738</v>
      </c>
      <c r="V20" s="5">
        <f t="shared" si="63"/>
        <v>0.7325798242077276</v>
      </c>
      <c r="W20" s="19"/>
      <c r="X20" s="34">
        <f t="shared" si="12"/>
        <v>0.20766053490063582</v>
      </c>
      <c r="Y20" s="35">
        <f t="shared" si="13"/>
        <v>7.3602888975000011</v>
      </c>
      <c r="Z20" s="35">
        <f t="shared" si="13"/>
        <v>0.44161733385000007</v>
      </c>
      <c r="AA20" s="35">
        <f t="shared" si="13"/>
        <v>1.008258753082192</v>
      </c>
      <c r="AB20" s="42">
        <f t="shared" si="37"/>
        <v>7.5494468048494148E-2</v>
      </c>
      <c r="AC20" s="36">
        <f t="shared" si="14"/>
        <v>0.66686000000000001</v>
      </c>
      <c r="AD20" s="34">
        <f t="shared" si="15"/>
        <v>0.13844035660042389</v>
      </c>
      <c r="AE20" s="35">
        <f t="shared" si="16"/>
        <v>3.7190113949999999</v>
      </c>
      <c r="AF20" s="35">
        <f t="shared" si="16"/>
        <v>0.22314068369999998</v>
      </c>
      <c r="AG20" s="35">
        <f t="shared" si="16"/>
        <v>0.50945361575342463</v>
      </c>
      <c r="AH20" s="42">
        <f t="shared" si="38"/>
        <v>0.10895175275471293</v>
      </c>
      <c r="AI20" s="36">
        <f t="shared" si="39"/>
        <v>0.48628000000000005</v>
      </c>
      <c r="AJ20" s="34">
        <f t="shared" si="17"/>
        <v>0.10383026745031791</v>
      </c>
      <c r="AK20" s="35">
        <f t="shared" si="18"/>
        <v>2.4308985525000009</v>
      </c>
      <c r="AL20" s="35">
        <f t="shared" si="18"/>
        <v>0.14585391315000004</v>
      </c>
      <c r="AM20" s="35">
        <f t="shared" si="18"/>
        <v>0.3329998017123289</v>
      </c>
      <c r="AN20" s="42">
        <f t="shared" si="40"/>
        <v>0.16469628466735448</v>
      </c>
      <c r="AO20" s="36">
        <f t="shared" si="41"/>
        <v>0.48048000000000002</v>
      </c>
      <c r="AP20" s="34">
        <f t="shared" si="19"/>
        <v>8.3064213960254332E-2</v>
      </c>
      <c r="AQ20" s="35">
        <f t="shared" si="20"/>
        <v>1.5831833325</v>
      </c>
      <c r="AR20" s="35">
        <f t="shared" si="20"/>
        <v>9.4990999950000002E-2</v>
      </c>
      <c r="AS20" s="35">
        <f t="shared" si="20"/>
        <v>0.21687442910958904</v>
      </c>
      <c r="AT20" s="42">
        <f t="shared" si="42"/>
        <v>0.30347735011920995</v>
      </c>
      <c r="AU20" s="36">
        <f t="shared" si="43"/>
        <v>0.57661000000000007</v>
      </c>
      <c r="AV20" s="34">
        <f t="shared" si="21"/>
        <v>6.9220178300211946E-2</v>
      </c>
      <c r="AW20" s="35">
        <f t="shared" si="22"/>
        <v>1.4525214</v>
      </c>
      <c r="AX20" s="35">
        <f t="shared" si="22"/>
        <v>8.7151283999999996E-2</v>
      </c>
      <c r="AY20" s="35">
        <f t="shared" si="22"/>
        <v>0.19897553424657535</v>
      </c>
      <c r="AZ20" s="42">
        <f t="shared" si="44"/>
        <v>0.3211335474988527</v>
      </c>
      <c r="BA20" s="36">
        <f t="shared" si="45"/>
        <v>0.55979999999999996</v>
      </c>
      <c r="BB20" s="34">
        <f t="shared" si="23"/>
        <v>5.9331581400181667E-2</v>
      </c>
      <c r="BC20" s="35">
        <f t="shared" si="24"/>
        <v>1.29360396</v>
      </c>
      <c r="BD20" s="35">
        <f t="shared" si="24"/>
        <v>7.7616237599999999E-2</v>
      </c>
      <c r="BE20" s="35">
        <f t="shared" si="24"/>
        <v>0.17720602191780821</v>
      </c>
      <c r="BF20" s="42">
        <f t="shared" si="46"/>
        <v>0.31523755539523857</v>
      </c>
      <c r="BG20" s="36">
        <f t="shared" si="47"/>
        <v>0.4894</v>
      </c>
      <c r="BH20" s="34">
        <f t="shared" si="25"/>
        <v>5.1915133725158956E-2</v>
      </c>
      <c r="BI20" s="35">
        <f t="shared" si="26"/>
        <v>1.3723544175</v>
      </c>
      <c r="BJ20" s="35">
        <f t="shared" si="26"/>
        <v>8.2341265050000001E-2</v>
      </c>
      <c r="BK20" s="35">
        <f t="shared" si="26"/>
        <v>0.1879937558219178</v>
      </c>
      <c r="BL20" s="42">
        <f t="shared" si="48"/>
        <v>0.33405788741886711</v>
      </c>
      <c r="BM20" s="36">
        <f t="shared" si="49"/>
        <v>0.55018999999999996</v>
      </c>
      <c r="BN20" s="34">
        <f t="shared" si="27"/>
        <v>4.6146785533474628E-2</v>
      </c>
      <c r="BO20" s="35">
        <f t="shared" si="28"/>
        <v>1.1730910125</v>
      </c>
      <c r="BP20" s="35">
        <f t="shared" si="28"/>
        <v>7.0385460750000003E-2</v>
      </c>
      <c r="BQ20" s="35">
        <f t="shared" si="28"/>
        <v>0.16069739897260274</v>
      </c>
      <c r="BR20" s="42">
        <f t="shared" si="50"/>
        <v>0.37343466988670665</v>
      </c>
      <c r="BS20" s="36">
        <f t="shared" si="51"/>
        <v>0.52573999999999999</v>
      </c>
      <c r="BT20" s="34">
        <f t="shared" si="29"/>
        <v>4.1532106980127166E-2</v>
      </c>
      <c r="BU20" s="35">
        <f t="shared" si="30"/>
        <v>1.0143402225</v>
      </c>
      <c r="BV20" s="35">
        <f t="shared" si="30"/>
        <v>6.0860413349999996E-2</v>
      </c>
      <c r="BW20" s="35">
        <f t="shared" si="30"/>
        <v>0.13895071541095891</v>
      </c>
      <c r="BX20" s="42">
        <f t="shared" si="52"/>
        <v>0.46248757526718315</v>
      </c>
      <c r="BY20" s="36">
        <f t="shared" si="53"/>
        <v>0.56299999999999994</v>
      </c>
      <c r="BZ20" s="34">
        <f t="shared" si="31"/>
        <v>2.7688071320084776E-2</v>
      </c>
      <c r="CA20" s="35">
        <f t="shared" si="32"/>
        <v>0.79972835249999996</v>
      </c>
      <c r="CB20" s="35">
        <f t="shared" si="32"/>
        <v>4.7983701149999995E-2</v>
      </c>
      <c r="CC20" s="35">
        <f t="shared" si="32"/>
        <v>0.10955182910958904</v>
      </c>
      <c r="CD20" s="42">
        <f t="shared" si="54"/>
        <v>0.6362045073298811</v>
      </c>
      <c r="CE20" s="36">
        <f t="shared" si="55"/>
        <v>0.61060999999999999</v>
      </c>
      <c r="CF20" s="34">
        <f t="shared" si="33"/>
        <v>2.0766053490063583E-2</v>
      </c>
      <c r="CG20" s="35">
        <f t="shared" si="34"/>
        <v>0.73910941499999994</v>
      </c>
      <c r="CH20" s="35">
        <f t="shared" si="34"/>
        <v>4.4346564899999996E-2</v>
      </c>
      <c r="CI20" s="35">
        <f t="shared" si="34"/>
        <v>0.10124786506849315</v>
      </c>
      <c r="CJ20" s="42">
        <f t="shared" si="56"/>
        <v>0.53501612139523347</v>
      </c>
      <c r="CK20" s="36">
        <f t="shared" si="57"/>
        <v>0.47456999999999999</v>
      </c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-7161.6</v>
      </c>
      <c r="D21">
        <v>73320.7</v>
      </c>
      <c r="E21">
        <v>6208</v>
      </c>
      <c r="F21">
        <f t="shared" si="60"/>
        <v>7.3320699999999999</v>
      </c>
      <c r="G21">
        <f t="shared" si="61"/>
        <v>-0.71616000000000002</v>
      </c>
      <c r="H21">
        <f t="shared" si="62"/>
        <v>8.0482300000000002</v>
      </c>
      <c r="I21">
        <f t="shared" si="64"/>
        <v>0.62080000000000002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0.63199201142279215</v>
      </c>
      <c r="P21" s="4">
        <v>3</v>
      </c>
      <c r="Q21" s="5">
        <f t="shared" si="67"/>
        <v>8.0482300000000002</v>
      </c>
      <c r="R21" s="5">
        <f t="shared" si="67"/>
        <v>0.62080000000000002</v>
      </c>
      <c r="S21" s="5">
        <f t="shared" si="68"/>
        <v>8.9415835300000008</v>
      </c>
      <c r="T21" s="5">
        <f t="shared" si="69"/>
        <v>0.53649501180000003</v>
      </c>
      <c r="U21" s="5">
        <f t="shared" si="70"/>
        <v>1.2248744561643836</v>
      </c>
      <c r="V21" s="5">
        <f t="shared" si="63"/>
        <v>0.63199201142279215</v>
      </c>
      <c r="W21" s="19"/>
      <c r="X21" s="34">
        <f t="shared" si="12"/>
        <v>0.17414735995550742</v>
      </c>
      <c r="Y21" s="35">
        <f t="shared" si="13"/>
        <v>5.652694674000001</v>
      </c>
      <c r="Z21" s="35">
        <f t="shared" si="13"/>
        <v>0.33916168044000006</v>
      </c>
      <c r="AA21" s="35">
        <f t="shared" si="13"/>
        <v>0.77434173616438373</v>
      </c>
      <c r="AB21" s="42">
        <f t="shared" si="37"/>
        <v>0.10354261670847144</v>
      </c>
      <c r="AC21" s="36">
        <f t="shared" si="14"/>
        <v>0.87802999999999998</v>
      </c>
      <c r="AD21" s="34">
        <f t="shared" si="15"/>
        <v>0.11609823997033829</v>
      </c>
      <c r="AE21" s="35">
        <f t="shared" si="16"/>
        <v>2.8218177899999999</v>
      </c>
      <c r="AF21" s="35">
        <f t="shared" si="16"/>
        <v>0.16930906739999999</v>
      </c>
      <c r="AG21" s="35">
        <f t="shared" si="16"/>
        <v>0.38655038219178084</v>
      </c>
      <c r="AH21" s="42">
        <f t="shared" si="38"/>
        <v>0.13960053388138854</v>
      </c>
      <c r="AI21" s="36">
        <f t="shared" si="39"/>
        <v>0.59094999999999998</v>
      </c>
      <c r="AJ21" s="34">
        <f t="shared" si="17"/>
        <v>8.7073679977753712E-2</v>
      </c>
      <c r="AK21" s="35">
        <f t="shared" si="18"/>
        <v>1.6759323900000003</v>
      </c>
      <c r="AL21" s="35">
        <f t="shared" si="18"/>
        <v>0.10055594340000001</v>
      </c>
      <c r="AM21" s="35">
        <f t="shared" si="18"/>
        <v>0.22957977945205485</v>
      </c>
      <c r="AN21" s="42">
        <f t="shared" si="40"/>
        <v>0.20337290933317423</v>
      </c>
      <c r="AO21" s="36">
        <f t="shared" si="41"/>
        <v>0.51131000000000004</v>
      </c>
      <c r="AP21" s="34">
        <f t="shared" si="19"/>
        <v>6.9658943982202973E-2</v>
      </c>
      <c r="AQ21" s="35">
        <f t="shared" si="20"/>
        <v>1.3085957939999997</v>
      </c>
      <c r="AR21" s="35">
        <f t="shared" si="20"/>
        <v>7.851574763999998E-2</v>
      </c>
      <c r="AS21" s="35">
        <f t="shared" si="20"/>
        <v>0.17925969780821915</v>
      </c>
      <c r="AT21" s="42">
        <f t="shared" si="42"/>
        <v>0.28061372631922127</v>
      </c>
      <c r="AU21" s="36">
        <f t="shared" si="43"/>
        <v>0.55086999999999997</v>
      </c>
      <c r="AV21" s="34">
        <f t="shared" si="21"/>
        <v>5.8049119985169144E-2</v>
      </c>
      <c r="AW21" s="35">
        <f t="shared" si="22"/>
        <v>0.71557510199999996</v>
      </c>
      <c r="AX21" s="35">
        <f t="shared" si="22"/>
        <v>4.2934506119999993E-2</v>
      </c>
      <c r="AY21" s="35">
        <f t="shared" si="22"/>
        <v>9.8023986575342462E-2</v>
      </c>
      <c r="AZ21" s="42">
        <f t="shared" si="44"/>
        <v>0.6383038184578983</v>
      </c>
      <c r="BA21" s="36">
        <f t="shared" si="45"/>
        <v>0.68520000000000003</v>
      </c>
      <c r="BB21" s="34">
        <f t="shared" si="23"/>
        <v>4.9756388558716405E-2</v>
      </c>
      <c r="BC21" s="35">
        <f t="shared" si="24"/>
        <v>0.82353097200000003</v>
      </c>
      <c r="BD21" s="35">
        <f t="shared" si="24"/>
        <v>4.9411858320000002E-2</v>
      </c>
      <c r="BE21" s="35">
        <f t="shared" si="24"/>
        <v>0.11281246191780822</v>
      </c>
      <c r="BF21" s="42">
        <f t="shared" si="46"/>
        <v>0.47476161953020024</v>
      </c>
      <c r="BG21" s="36">
        <f t="shared" si="47"/>
        <v>0.58653</v>
      </c>
      <c r="BH21" s="34">
        <f t="shared" si="25"/>
        <v>4.3536839988876856E-2</v>
      </c>
      <c r="BI21" s="35">
        <f t="shared" si="26"/>
        <v>1.4663533500000003</v>
      </c>
      <c r="BJ21" s="35">
        <f t="shared" si="26"/>
        <v>8.7981201000000023E-2</v>
      </c>
      <c r="BK21" s="35">
        <f t="shared" si="26"/>
        <v>0.20087032191780826</v>
      </c>
      <c r="BL21" s="42">
        <f t="shared" si="48"/>
        <v>0.26417092851460389</v>
      </c>
      <c r="BM21" s="36">
        <f t="shared" si="49"/>
        <v>0.58111000000000002</v>
      </c>
      <c r="BN21" s="34">
        <f t="shared" si="27"/>
        <v>3.8699413323446091E-2</v>
      </c>
      <c r="BO21" s="35">
        <f t="shared" si="28"/>
        <v>1.135759746</v>
      </c>
      <c r="BP21" s="35">
        <f t="shared" si="28"/>
        <v>6.8145584759999989E-2</v>
      </c>
      <c r="BQ21" s="35">
        <f t="shared" si="28"/>
        <v>0.15558352684931506</v>
      </c>
      <c r="BR21" s="42">
        <f t="shared" si="50"/>
        <v>0.31140209295637422</v>
      </c>
      <c r="BS21" s="36">
        <f t="shared" si="51"/>
        <v>0.53056999999999999</v>
      </c>
      <c r="BT21" s="34">
        <f t="shared" si="29"/>
        <v>3.4829471991101486E-2</v>
      </c>
      <c r="BU21" s="35">
        <f t="shared" si="30"/>
        <v>1.0044062160000002</v>
      </c>
      <c r="BV21" s="35">
        <f t="shared" si="30"/>
        <v>6.0264372960000014E-2</v>
      </c>
      <c r="BW21" s="35">
        <f t="shared" si="30"/>
        <v>0.13758989260273977</v>
      </c>
      <c r="BX21" s="42">
        <f t="shared" si="52"/>
        <v>0.37001247710318824</v>
      </c>
      <c r="BY21" s="36">
        <f t="shared" si="53"/>
        <v>0.55752000000000002</v>
      </c>
      <c r="BZ21" s="34">
        <f t="shared" si="31"/>
        <v>2.3219647994067658E-2</v>
      </c>
      <c r="CA21" s="35">
        <f t="shared" si="32"/>
        <v>0.69465052799999971</v>
      </c>
      <c r="CB21" s="35">
        <f t="shared" si="32"/>
        <v>4.1679031679999978E-2</v>
      </c>
      <c r="CC21" s="35">
        <f t="shared" si="32"/>
        <v>9.5157606575342432E-2</v>
      </c>
      <c r="CD21" s="42">
        <f t="shared" si="54"/>
        <v>0.64042108091509309</v>
      </c>
      <c r="CE21" s="36">
        <f t="shared" si="55"/>
        <v>0.66737000000000002</v>
      </c>
      <c r="CF21" s="34">
        <f t="shared" si="33"/>
        <v>1.7414735995550743E-2</v>
      </c>
      <c r="CG21" s="35">
        <f t="shared" si="34"/>
        <v>0.60795253199999999</v>
      </c>
      <c r="CH21" s="35">
        <f t="shared" si="34"/>
        <v>3.6477151919999999E-2</v>
      </c>
      <c r="CI21" s="35">
        <f t="shared" si="34"/>
        <v>8.3281168767123284E-2</v>
      </c>
      <c r="CJ21" s="42">
        <f t="shared" si="56"/>
        <v>0.57025065239797368</v>
      </c>
      <c r="CK21" s="36">
        <f t="shared" si="57"/>
        <v>0.52007999999999999</v>
      </c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-14550.8</v>
      </c>
      <c r="D22">
        <v>58405.2</v>
      </c>
      <c r="E22">
        <v>4102</v>
      </c>
      <c r="F22">
        <f t="shared" si="60"/>
        <v>5.8405199999999997</v>
      </c>
      <c r="G22">
        <f t="shared" si="61"/>
        <v>-1.4550799999999999</v>
      </c>
      <c r="H22">
        <f t="shared" si="62"/>
        <v>7.2955999999999994</v>
      </c>
      <c r="I22">
        <f t="shared" si="64"/>
        <v>0.41020000000000001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0.38278220841209487</v>
      </c>
      <c r="P22" s="4">
        <v>3</v>
      </c>
      <c r="Q22" s="5">
        <f t="shared" si="67"/>
        <v>7.2955999999999994</v>
      </c>
      <c r="R22" s="5">
        <f t="shared" si="67"/>
        <v>0.41020000000000001</v>
      </c>
      <c r="S22" s="5">
        <f t="shared" si="68"/>
        <v>8.1054116</v>
      </c>
      <c r="T22" s="5">
        <f t="shared" si="69"/>
        <v>0.486324696</v>
      </c>
      <c r="U22" s="5">
        <f t="shared" si="70"/>
        <v>1.1103303561643836</v>
      </c>
      <c r="V22" s="5">
        <f t="shared" si="63"/>
        <v>0.38278220841209487</v>
      </c>
      <c r="W22" s="19"/>
      <c r="X22" s="34">
        <f t="shared" si="12"/>
        <v>0.1403503890161685</v>
      </c>
      <c r="Y22" s="35">
        <f t="shared" si="13"/>
        <v>4.1178881700000005</v>
      </c>
      <c r="Z22" s="35">
        <f t="shared" si="13"/>
        <v>0.24707329020000002</v>
      </c>
      <c r="AA22" s="35">
        <f t="shared" si="13"/>
        <v>0.56409426986301381</v>
      </c>
      <c r="AB22" s="42">
        <f t="shared" si="37"/>
        <v>0.14099163085091745</v>
      </c>
      <c r="AC22" s="36">
        <f t="shared" si="14"/>
        <v>1.3935500000000001</v>
      </c>
      <c r="AD22" s="34">
        <f t="shared" si="15"/>
        <v>9.3566926010778997E-2</v>
      </c>
      <c r="AE22" s="35">
        <f t="shared" si="16"/>
        <v>1.7373429150000002</v>
      </c>
      <c r="AF22" s="35">
        <f t="shared" si="16"/>
        <v>0.10424057490000001</v>
      </c>
      <c r="AG22" s="35">
        <f t="shared" si="16"/>
        <v>0.23799218013698634</v>
      </c>
      <c r="AH22" s="42">
        <f t="shared" si="38"/>
        <v>0.20743206300179373</v>
      </c>
      <c r="AI22" s="36">
        <f t="shared" si="39"/>
        <v>0.86499999999999999</v>
      </c>
      <c r="AJ22" s="34">
        <f t="shared" si="17"/>
        <v>7.0175194508084252E-2</v>
      </c>
      <c r="AK22" s="35">
        <f t="shared" si="18"/>
        <v>1.20327966</v>
      </c>
      <c r="AL22" s="35">
        <f t="shared" si="18"/>
        <v>7.2196779599999997E-2</v>
      </c>
      <c r="AM22" s="35">
        <f t="shared" si="18"/>
        <v>0.1648328301369863</v>
      </c>
      <c r="AN22" s="42">
        <f t="shared" si="40"/>
        <v>0.27099606669990584</v>
      </c>
      <c r="AO22" s="36">
        <f t="shared" si="41"/>
        <v>0.78268000000000004</v>
      </c>
      <c r="AP22" s="34">
        <f t="shared" si="19"/>
        <v>5.6140155606467401E-2</v>
      </c>
      <c r="AQ22" s="35">
        <f t="shared" si="20"/>
        <v>0.73211844749999999</v>
      </c>
      <c r="AR22" s="35">
        <f t="shared" si="20"/>
        <v>4.3927106849999994E-2</v>
      </c>
      <c r="AS22" s="35">
        <f t="shared" si="20"/>
        <v>0.10029019828767123</v>
      </c>
      <c r="AT22" s="42">
        <f t="shared" si="42"/>
        <v>0.40157973208290176</v>
      </c>
      <c r="AU22" s="36">
        <f t="shared" si="43"/>
        <v>0.70567999999999997</v>
      </c>
      <c r="AV22" s="34">
        <f t="shared" si="21"/>
        <v>4.6783463005389499E-2</v>
      </c>
      <c r="AW22" s="35">
        <f t="shared" si="22"/>
        <v>0.84944838000000022</v>
      </c>
      <c r="AX22" s="35">
        <f t="shared" si="22"/>
        <v>5.0966902800000012E-2</v>
      </c>
      <c r="AY22" s="35">
        <f t="shared" si="22"/>
        <v>0.11636279178082196</v>
      </c>
      <c r="AZ22" s="42">
        <f t="shared" si="44"/>
        <v>0.2725908341834733</v>
      </c>
      <c r="BA22" s="36">
        <f t="shared" si="45"/>
        <v>0.55578000000000005</v>
      </c>
      <c r="BB22" s="34">
        <f t="shared" si="23"/>
        <v>4.0100111147476712E-2</v>
      </c>
      <c r="BC22" s="35">
        <f t="shared" si="24"/>
        <v>1.2620362837500001</v>
      </c>
      <c r="BD22" s="35">
        <f t="shared" si="24"/>
        <v>7.5722177025000004E-2</v>
      </c>
      <c r="BE22" s="35">
        <f t="shared" si="24"/>
        <v>0.17288168270547946</v>
      </c>
      <c r="BF22" s="42">
        <f t="shared" si="46"/>
        <v>0.18804696965195314</v>
      </c>
      <c r="BG22" s="36">
        <f t="shared" si="47"/>
        <v>0.56962999999999997</v>
      </c>
      <c r="BH22" s="34">
        <f t="shared" si="25"/>
        <v>3.5087597254042126E-2</v>
      </c>
      <c r="BI22" s="35">
        <f t="shared" si="26"/>
        <v>1.28057193</v>
      </c>
      <c r="BJ22" s="35">
        <f t="shared" si="26"/>
        <v>7.6834315799999997E-2</v>
      </c>
      <c r="BK22" s="35">
        <f t="shared" si="26"/>
        <v>0.17542081232876713</v>
      </c>
      <c r="BL22" s="42">
        <f t="shared" si="48"/>
        <v>0.14318992217797558</v>
      </c>
      <c r="BM22" s="36">
        <f t="shared" si="49"/>
        <v>0.44011999999999996</v>
      </c>
      <c r="BN22" s="34">
        <f t="shared" si="27"/>
        <v>3.1188975336926335E-2</v>
      </c>
      <c r="BO22" s="35">
        <f t="shared" si="28"/>
        <v>1.2013048574999998</v>
      </c>
      <c r="BP22" s="35">
        <f t="shared" si="28"/>
        <v>7.2078291449999984E-2</v>
      </c>
      <c r="BQ22" s="35">
        <f t="shared" si="28"/>
        <v>0.16456230924657533</v>
      </c>
      <c r="BR22" s="42">
        <f t="shared" si="50"/>
        <v>0.16082291168126736</v>
      </c>
      <c r="BS22" s="36">
        <f t="shared" si="51"/>
        <v>0.46371999999999997</v>
      </c>
      <c r="BT22" s="34">
        <f t="shared" si="29"/>
        <v>2.8070077803233701E-2</v>
      </c>
      <c r="BU22" s="35">
        <f t="shared" si="30"/>
        <v>1.2212570287500002</v>
      </c>
      <c r="BV22" s="35">
        <f t="shared" si="30"/>
        <v>7.3275421725000012E-2</v>
      </c>
      <c r="BW22" s="35">
        <f t="shared" si="30"/>
        <v>0.16729548339041098</v>
      </c>
      <c r="BX22" s="42">
        <f t="shared" si="52"/>
        <v>0.13710593557146805</v>
      </c>
      <c r="BY22" s="36">
        <f t="shared" si="53"/>
        <v>0.40189999999999998</v>
      </c>
      <c r="BZ22" s="34">
        <f t="shared" si="31"/>
        <v>1.8713385202155802E-2</v>
      </c>
      <c r="CA22" s="35">
        <f t="shared" si="32"/>
        <v>0.95393376374999983</v>
      </c>
      <c r="CB22" s="35">
        <f t="shared" si="32"/>
        <v>5.7236025824999988E-2</v>
      </c>
      <c r="CC22" s="35">
        <f t="shared" si="32"/>
        <v>0.13067585804794518</v>
      </c>
      <c r="CD22" s="42">
        <f t="shared" si="54"/>
        <v>0.29257054510038566</v>
      </c>
      <c r="CE22" s="36">
        <f t="shared" si="55"/>
        <v>0.66988999999999999</v>
      </c>
      <c r="CF22" s="34">
        <f t="shared" si="33"/>
        <v>1.403503890161685E-2</v>
      </c>
      <c r="CG22" s="35">
        <f t="shared" si="34"/>
        <v>0.69758440124999999</v>
      </c>
      <c r="CH22" s="35">
        <f t="shared" si="34"/>
        <v>4.1855064074999997E-2</v>
      </c>
      <c r="CI22" s="35">
        <f t="shared" si="34"/>
        <v>9.555950702054794E-2</v>
      </c>
      <c r="CJ22" s="42">
        <f t="shared" si="56"/>
        <v>0.29039579065558985</v>
      </c>
      <c r="CK22" s="36">
        <f t="shared" si="57"/>
        <v>0.48623</v>
      </c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-16248.2</v>
      </c>
      <c r="D23">
        <v>41654</v>
      </c>
      <c r="E23">
        <v>5386.3</v>
      </c>
      <c r="F23">
        <f t="shared" si="60"/>
        <v>4.1654</v>
      </c>
      <c r="G23">
        <f t="shared" si="61"/>
        <v>-1.6248200000000002</v>
      </c>
      <c r="H23">
        <f t="shared" si="62"/>
        <v>5.7902199999999997</v>
      </c>
      <c r="I23">
        <f t="shared" si="64"/>
        <v>0.53863000000000005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0.27666095006839714</v>
      </c>
      <c r="P23" s="4">
        <v>3</v>
      </c>
      <c r="Q23" s="5">
        <f t="shared" si="67"/>
        <v>5.7902199999999997</v>
      </c>
      <c r="R23" s="5">
        <f t="shared" si="67"/>
        <v>0.53863000000000005</v>
      </c>
      <c r="S23" s="5">
        <f t="shared" si="68"/>
        <v>6.4329344199999996</v>
      </c>
      <c r="T23" s="5">
        <f t="shared" si="69"/>
        <v>0.38597606519999994</v>
      </c>
      <c r="U23" s="5">
        <f t="shared" si="70"/>
        <v>0.88122389315068494</v>
      </c>
      <c r="V23" s="5">
        <f t="shared" si="63"/>
        <v>0.27666095006839714</v>
      </c>
      <c r="W23" s="19"/>
      <c r="X23" s="34">
        <f t="shared" si="12"/>
        <v>0.10050748344547558</v>
      </c>
      <c r="Y23" s="35">
        <f t="shared" si="13"/>
        <v>2.8311906621428573</v>
      </c>
      <c r="Z23" s="35">
        <f t="shared" si="13"/>
        <v>0.16987143972857144</v>
      </c>
      <c r="AA23" s="35">
        <f t="shared" si="13"/>
        <v>0.38783433727984346</v>
      </c>
      <c r="AB23" s="42">
        <f t="shared" si="37"/>
        <v>0.17423115506899908</v>
      </c>
      <c r="AC23" s="36">
        <f t="shared" si="14"/>
        <v>2.07199</v>
      </c>
      <c r="AD23" s="34">
        <f t="shared" si="15"/>
        <v>6.7004988963650383E-2</v>
      </c>
      <c r="AE23" s="35">
        <f t="shared" si="16"/>
        <v>1.2460587150000002</v>
      </c>
      <c r="AF23" s="35">
        <f t="shared" si="16"/>
        <v>7.4763522900000004E-2</v>
      </c>
      <c r="AG23" s="35">
        <f t="shared" si="16"/>
        <v>0.17069297465753427</v>
      </c>
      <c r="AH23" s="42">
        <f t="shared" si="38"/>
        <v>0.22764173275735244</v>
      </c>
      <c r="AI23" s="36">
        <f t="shared" si="39"/>
        <v>1.19147</v>
      </c>
      <c r="AJ23" s="34">
        <f t="shared" si="17"/>
        <v>5.0253741722737791E-2</v>
      </c>
      <c r="AK23" s="35">
        <f t="shared" si="18"/>
        <v>0.77246084142857152</v>
      </c>
      <c r="AL23" s="35">
        <f t="shared" si="18"/>
        <v>4.6347650485714292E-2</v>
      </c>
      <c r="AM23" s="35">
        <f t="shared" si="18"/>
        <v>0.10581655362035226</v>
      </c>
      <c r="AN23" s="42">
        <f t="shared" si="40"/>
        <v>0.24681784840322252</v>
      </c>
      <c r="AO23" s="36">
        <f t="shared" si="41"/>
        <v>0.80084</v>
      </c>
      <c r="AP23" s="34">
        <f t="shared" si="19"/>
        <v>4.0202993378190235E-2</v>
      </c>
      <c r="AQ23" s="35">
        <f t="shared" si="20"/>
        <v>0.88665656357142841</v>
      </c>
      <c r="AR23" s="35">
        <f t="shared" si="20"/>
        <v>5.3199393814285706E-2</v>
      </c>
      <c r="AS23" s="35">
        <f t="shared" si="20"/>
        <v>0.1214598032289628</v>
      </c>
      <c r="AT23" s="42">
        <f t="shared" si="42"/>
        <v>0.17425147610442684</v>
      </c>
      <c r="AU23" s="36">
        <f t="shared" si="43"/>
        <v>0.64896999999999994</v>
      </c>
      <c r="AV23" s="34">
        <f t="shared" si="21"/>
        <v>3.3502494481825192E-2</v>
      </c>
      <c r="AW23" s="35">
        <f t="shared" si="22"/>
        <v>1.0241380521428571</v>
      </c>
      <c r="AX23" s="35">
        <f t="shared" si="22"/>
        <v>6.1448283128571424E-2</v>
      </c>
      <c r="AY23" s="35">
        <f t="shared" si="22"/>
        <v>0.1402928838551859</v>
      </c>
      <c r="AZ23" s="42">
        <f t="shared" si="44"/>
        <v>0.13283943270390836</v>
      </c>
      <c r="BA23" s="36">
        <f t="shared" si="45"/>
        <v>0.57145000000000001</v>
      </c>
      <c r="BB23" s="34">
        <f t="shared" si="23"/>
        <v>2.8716423841564451E-2</v>
      </c>
      <c r="BC23" s="35">
        <f t="shared" si="24"/>
        <v>0.68308882714285712</v>
      </c>
      <c r="BD23" s="35">
        <f t="shared" si="24"/>
        <v>4.0985329628571425E-2</v>
      </c>
      <c r="BE23" s="35">
        <f t="shared" si="24"/>
        <v>9.3573811937377696E-2</v>
      </c>
      <c r="BF23" s="42">
        <f t="shared" si="46"/>
        <v>0.19796742017105454</v>
      </c>
      <c r="BG23" s="36">
        <f t="shared" si="47"/>
        <v>0.56801999999999997</v>
      </c>
      <c r="BH23" s="34">
        <f t="shared" si="25"/>
        <v>2.5126870861368895E-2</v>
      </c>
      <c r="BI23" s="35">
        <f t="shared" si="26"/>
        <v>0.33533551071428574</v>
      </c>
      <c r="BJ23" s="35">
        <f t="shared" si="26"/>
        <v>2.0120130642857142E-2</v>
      </c>
      <c r="BK23" s="35">
        <f t="shared" si="26"/>
        <v>4.5936371330724077E-2</v>
      </c>
      <c r="BL23" s="42">
        <f t="shared" si="48"/>
        <v>0.35952575343438292</v>
      </c>
      <c r="BM23" s="36">
        <f t="shared" si="49"/>
        <v>0.50641000000000003</v>
      </c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-25733.8</v>
      </c>
      <c r="D24">
        <v>34598.6</v>
      </c>
      <c r="E24">
        <v>5904.6</v>
      </c>
      <c r="F24">
        <f t="shared" si="60"/>
        <v>3.4598599999999999</v>
      </c>
      <c r="G24">
        <f t="shared" si="61"/>
        <v>-2.5733799999999998</v>
      </c>
      <c r="H24">
        <f t="shared" si="62"/>
        <v>6.0332399999999993</v>
      </c>
      <c r="I24">
        <f t="shared" si="64"/>
        <v>0.59045999999999998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0.19150265217489859</v>
      </c>
      <c r="P24" s="4">
        <v>4</v>
      </c>
      <c r="Q24" s="5">
        <f t="shared" si="67"/>
        <v>6.0332399999999993</v>
      </c>
      <c r="R24" s="5">
        <f t="shared" si="67"/>
        <v>0.59045999999999998</v>
      </c>
      <c r="S24" s="5">
        <f t="shared" si="68"/>
        <v>5.0271972300000005</v>
      </c>
      <c r="T24" s="5">
        <f t="shared" si="69"/>
        <v>0.30163183380000003</v>
      </c>
      <c r="U24" s="5">
        <f t="shared" si="70"/>
        <v>0.68865715479452061</v>
      </c>
      <c r="V24" s="5">
        <f t="shared" si="63"/>
        <v>0.19150265217489859</v>
      </c>
      <c r="W24" s="19"/>
      <c r="X24" s="37">
        <f t="shared" si="12"/>
        <v>6.4815066927253778E-2</v>
      </c>
      <c r="Y24" s="38">
        <f t="shared" si="13"/>
        <v>0.7362533514285714</v>
      </c>
      <c r="Z24" s="38">
        <f t="shared" si="13"/>
        <v>4.417520108571428E-2</v>
      </c>
      <c r="AA24" s="38">
        <f t="shared" si="13"/>
        <v>0.10085662348336595</v>
      </c>
      <c r="AB24" s="43">
        <f t="shared" si="37"/>
        <v>0.38231375812160745</v>
      </c>
      <c r="AC24" s="39">
        <f t="shared" si="14"/>
        <v>1.7735000000000001</v>
      </c>
      <c r="AD24" s="37">
        <f t="shared" si="15"/>
        <v>4.3210044618169186E-2</v>
      </c>
      <c r="AE24" s="38">
        <f t="shared" si="16"/>
        <v>0.66486207857142865</v>
      </c>
      <c r="AF24" s="38">
        <f t="shared" si="16"/>
        <v>3.9891724714285717E-2</v>
      </c>
      <c r="AG24" s="38">
        <f t="shared" si="16"/>
        <v>9.1076997064579265E-2</v>
      </c>
      <c r="AH24" s="43">
        <f t="shared" si="38"/>
        <v>0.27662357813824134</v>
      </c>
      <c r="AI24" s="39">
        <f t="shared" si="39"/>
        <v>1.15879</v>
      </c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-25361</v>
      </c>
      <c r="D25">
        <v>19271.599999999999</v>
      </c>
      <c r="E25">
        <v>4862.8</v>
      </c>
      <c r="F25">
        <f t="shared" si="60"/>
        <v>1.9271599999999998</v>
      </c>
      <c r="G25">
        <f t="shared" si="61"/>
        <v>-2.5360999999999998</v>
      </c>
      <c r="H25">
        <f t="shared" si="62"/>
        <v>4.46326</v>
      </c>
      <c r="I25">
        <f t="shared" si="64"/>
        <v>0.48628000000000005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0.13844035660042389</v>
      </c>
      <c r="P25" s="4">
        <v>4</v>
      </c>
      <c r="Q25" s="5">
        <f t="shared" si="67"/>
        <v>4.46326</v>
      </c>
      <c r="R25" s="5">
        <f t="shared" si="67"/>
        <v>0.48628000000000005</v>
      </c>
      <c r="S25" s="5">
        <f t="shared" si="68"/>
        <v>3.7190113949999999</v>
      </c>
      <c r="T25" s="5">
        <f t="shared" si="69"/>
        <v>0.22314068369999998</v>
      </c>
      <c r="U25" s="5">
        <f t="shared" si="70"/>
        <v>0.50945361575342463</v>
      </c>
      <c r="V25" s="5">
        <f t="shared" si="63"/>
        <v>0.13844035660042389</v>
      </c>
      <c r="W25" s="19"/>
      <c r="X25" s="60"/>
      <c r="Y25" s="61"/>
      <c r="Z25" s="61"/>
      <c r="AA25" s="62">
        <f>MAX(AA14:AA24)</f>
        <v>1.8604775561643843</v>
      </c>
      <c r="AB25" s="61"/>
      <c r="AC25" s="63">
        <f>MIN(AC14:AC24)</f>
        <v>0.44153000000000003</v>
      </c>
      <c r="AD25" s="63"/>
      <c r="AE25" s="63"/>
      <c r="AF25" s="63"/>
      <c r="AG25" s="62">
        <f>MAX(AG14:AG24)</f>
        <v>1.2248744561643836</v>
      </c>
      <c r="AH25" s="63"/>
      <c r="AI25" s="63">
        <f>MIN(AI14:AI24)</f>
        <v>0.41020000000000001</v>
      </c>
      <c r="AJ25" s="63"/>
      <c r="AK25" s="63"/>
      <c r="AL25" s="63"/>
      <c r="AM25" s="62">
        <f>MAX(AM14:AM24)</f>
        <v>0.99399800273972616</v>
      </c>
      <c r="AN25" s="63"/>
      <c r="AO25" s="63">
        <f>MIN(AO14:AO24)</f>
        <v>0.45293999999999995</v>
      </c>
      <c r="AP25" s="63"/>
      <c r="AQ25" s="63"/>
      <c r="AR25" s="63"/>
      <c r="AS25" s="62">
        <f>MAX(AS14:AS24)</f>
        <v>0.89937580684931517</v>
      </c>
      <c r="AT25" s="63"/>
      <c r="AU25" s="63">
        <f>MIN(AU14:AU24)</f>
        <v>0.55086999999999997</v>
      </c>
      <c r="AV25" s="63"/>
      <c r="AW25" s="63"/>
      <c r="AX25" s="63"/>
      <c r="AY25" s="62">
        <f>MAX(AY14:AY24)</f>
        <v>0.81210903972602744</v>
      </c>
      <c r="AZ25" s="63"/>
      <c r="BA25" s="63">
        <f>MIN(BA14:BA24)</f>
        <v>0.55578000000000005</v>
      </c>
      <c r="BB25" s="63"/>
      <c r="BC25" s="63"/>
      <c r="BD25" s="63"/>
      <c r="BE25" s="62">
        <f>MAX(BE14:BE24)</f>
        <v>0.77206890410958917</v>
      </c>
      <c r="BF25" s="63"/>
      <c r="BG25" s="63">
        <f>MIN(BG14:BG24)</f>
        <v>0.48703999999999997</v>
      </c>
      <c r="BH25" s="63"/>
      <c r="BI25" s="63"/>
      <c r="BJ25" s="63"/>
      <c r="BK25" s="62">
        <f>MAX(BK14:BK24)</f>
        <v>0.75092794383561645</v>
      </c>
      <c r="BL25" s="63"/>
      <c r="BM25" s="63">
        <f>MIN(BM14:BM24)</f>
        <v>0.44011999999999996</v>
      </c>
      <c r="BN25" s="63"/>
      <c r="BO25" s="63"/>
      <c r="BP25" s="63"/>
      <c r="BQ25" s="62">
        <f>MAX(BQ14:BQ24)</f>
        <v>0.69985999178082214</v>
      </c>
      <c r="BR25" s="63"/>
      <c r="BS25" s="63">
        <f>MIN(BS14:BS24)</f>
        <v>0.45343999999999995</v>
      </c>
      <c r="BT25" s="63"/>
      <c r="BU25" s="63"/>
      <c r="BV25" s="63"/>
      <c r="BW25" s="62">
        <f>MAX(BW14:BW24)</f>
        <v>0.72931366712328782</v>
      </c>
      <c r="BX25" s="63"/>
      <c r="BY25" s="63">
        <f>MIN(BY14:BY24)</f>
        <v>0.40189999999999998</v>
      </c>
      <c r="BZ25" s="63"/>
      <c r="CA25" s="63"/>
      <c r="CB25" s="63"/>
      <c r="CC25" s="62">
        <f>MAX(CC14:CC24)</f>
        <v>0.71214643424657542</v>
      </c>
      <c r="CD25" s="63"/>
      <c r="CE25" s="63">
        <f>MIN(CE14:CE24)</f>
        <v>0.61060999999999999</v>
      </c>
      <c r="CF25" s="63"/>
      <c r="CG25" s="63"/>
      <c r="CH25" s="63"/>
      <c r="CI25" s="62">
        <f>MAX(CI14:CI24)</f>
        <v>0.64200885205479452</v>
      </c>
      <c r="CJ25" s="63"/>
      <c r="CK25" s="63">
        <f>MIN(CK14:CK24)</f>
        <v>0.47456999999999999</v>
      </c>
      <c r="CL25" s="63"/>
      <c r="CM25" s="63"/>
      <c r="CN25" s="63"/>
      <c r="CO25" s="62">
        <f>MAX(CO14:CO24)</f>
        <v>0.73402856849315079</v>
      </c>
      <c r="CP25" s="63"/>
      <c r="CQ25" s="63">
        <f>MIN(CQ14:CQ24)</f>
        <v>0.84981000000000007</v>
      </c>
    </row>
    <row r="26" spans="2:95" x14ac:dyDescent="0.3">
      <c r="B26">
        <v>8</v>
      </c>
      <c r="C26">
        <v>-31016.799999999999</v>
      </c>
      <c r="D26">
        <v>11314.7</v>
      </c>
      <c r="E26">
        <v>5909.5</v>
      </c>
      <c r="F26">
        <f t="shared" si="60"/>
        <v>1.13147</v>
      </c>
      <c r="G26">
        <f t="shared" si="61"/>
        <v>-3.10168</v>
      </c>
      <c r="H26">
        <f t="shared" si="62"/>
        <v>4.2331500000000002</v>
      </c>
      <c r="I26">
        <f t="shared" si="64"/>
        <v>0.59094999999999998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0.11609823997033829</v>
      </c>
      <c r="P26" s="4">
        <v>5</v>
      </c>
      <c r="Q26" s="5">
        <f t="shared" si="67"/>
        <v>4.2331500000000002</v>
      </c>
      <c r="R26" s="5">
        <f t="shared" si="67"/>
        <v>0.59094999999999998</v>
      </c>
      <c r="S26" s="5">
        <f t="shared" si="68"/>
        <v>2.8218177899999999</v>
      </c>
      <c r="T26" s="5">
        <f t="shared" si="69"/>
        <v>0.16930906739999999</v>
      </c>
      <c r="U26" s="5">
        <f t="shared" si="70"/>
        <v>0.38655038219178084</v>
      </c>
      <c r="V26" s="5">
        <f t="shared" si="63"/>
        <v>0.11609823997033829</v>
      </c>
      <c r="W26" s="19"/>
      <c r="X26" s="20"/>
      <c r="Y26" s="21"/>
      <c r="Z26" s="18"/>
    </row>
    <row r="27" spans="2:95" x14ac:dyDescent="0.3">
      <c r="B27">
        <v>9</v>
      </c>
      <c r="C27">
        <v>-30486.9</v>
      </c>
      <c r="D27">
        <v>11213.5</v>
      </c>
      <c r="E27">
        <v>8650</v>
      </c>
      <c r="F27">
        <f t="shared" si="60"/>
        <v>1.1213500000000001</v>
      </c>
      <c r="G27">
        <f t="shared" si="61"/>
        <v>-3.0486900000000001</v>
      </c>
      <c r="H27">
        <f t="shared" si="62"/>
        <v>4.1700400000000002</v>
      </c>
      <c r="I27">
        <f t="shared" si="64"/>
        <v>0.86499999999999999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9.3566926010778997E-2</v>
      </c>
      <c r="P27" s="4">
        <v>8</v>
      </c>
      <c r="Q27" s="5">
        <f t="shared" si="67"/>
        <v>4.1700400000000002</v>
      </c>
      <c r="R27" s="5">
        <f t="shared" si="67"/>
        <v>0.86499999999999999</v>
      </c>
      <c r="S27" s="5">
        <f t="shared" si="68"/>
        <v>1.7373429150000002</v>
      </c>
      <c r="T27" s="5">
        <f t="shared" si="69"/>
        <v>0.10424057490000001</v>
      </c>
      <c r="U27" s="5">
        <f t="shared" si="70"/>
        <v>0.23799218013698634</v>
      </c>
      <c r="V27" s="5">
        <f t="shared" si="63"/>
        <v>9.3566926010778997E-2</v>
      </c>
      <c r="W27" s="19"/>
      <c r="X27" s="20"/>
      <c r="Y27" s="21"/>
      <c r="Z27" s="17"/>
    </row>
    <row r="28" spans="2:95" x14ac:dyDescent="0.3">
      <c r="B28">
        <v>10</v>
      </c>
      <c r="C28">
        <v>-40425</v>
      </c>
      <c r="D28">
        <v>11914.7</v>
      </c>
      <c r="E28">
        <v>11914.7</v>
      </c>
      <c r="F28">
        <f t="shared" si="60"/>
        <v>1.19147</v>
      </c>
      <c r="G28">
        <f t="shared" si="61"/>
        <v>-4.0425000000000004</v>
      </c>
      <c r="H28">
        <f t="shared" si="62"/>
        <v>5.2339700000000002</v>
      </c>
      <c r="I28">
        <f t="shared" si="64"/>
        <v>1.19147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6.7004988963650383E-2</v>
      </c>
      <c r="P28" s="4">
        <v>14</v>
      </c>
      <c r="Q28" s="5">
        <f t="shared" si="67"/>
        <v>5.2339700000000002</v>
      </c>
      <c r="R28" s="5">
        <f t="shared" si="67"/>
        <v>1.19147</v>
      </c>
      <c r="S28" s="5">
        <f t="shared" si="68"/>
        <v>1.2460587150000002</v>
      </c>
      <c r="T28" s="5">
        <f t="shared" si="69"/>
        <v>7.4763522900000004E-2</v>
      </c>
      <c r="U28" s="5">
        <f t="shared" si="70"/>
        <v>0.17069297465753427</v>
      </c>
      <c r="V28" s="5">
        <f t="shared" si="63"/>
        <v>6.7004988963650383E-2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-51360</v>
      </c>
      <c r="D29">
        <v>-9469.5</v>
      </c>
      <c r="E29">
        <v>11587.9</v>
      </c>
      <c r="F29">
        <f t="shared" si="60"/>
        <v>-0.94694999999999996</v>
      </c>
      <c r="G29">
        <f t="shared" si="61"/>
        <v>-5.1360000000000001</v>
      </c>
      <c r="H29">
        <f t="shared" si="62"/>
        <v>4.1890499999999999</v>
      </c>
      <c r="I29">
        <f t="shared" si="64"/>
        <v>1.15879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4.3210044618169186E-2</v>
      </c>
      <c r="P29" s="7">
        <v>21</v>
      </c>
      <c r="Q29" s="6">
        <f t="shared" si="67"/>
        <v>4.1890499999999999</v>
      </c>
      <c r="R29" s="6">
        <f t="shared" si="67"/>
        <v>1.15879</v>
      </c>
      <c r="S29" s="6">
        <f t="shared" si="68"/>
        <v>0.66486207857142865</v>
      </c>
      <c r="T29" s="6">
        <f t="shared" si="69"/>
        <v>3.9891724714285717E-2</v>
      </c>
      <c r="U29" s="6">
        <f t="shared" si="70"/>
        <v>9.1076997064579265E-2</v>
      </c>
      <c r="V29" s="6">
        <f t="shared" si="63"/>
        <v>4.3210044618169186E-2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13.6</v>
      </c>
      <c r="D33">
        <v>55625.2</v>
      </c>
      <c r="E33">
        <v>7575.8</v>
      </c>
      <c r="F33">
        <f t="shared" ref="F33:F43" si="72">D33/10000</f>
        <v>5.5625200000000001</v>
      </c>
      <c r="G33">
        <f t="shared" ref="G33:G43" si="73">C33/10000</f>
        <v>1.3599999999999999E-3</v>
      </c>
      <c r="H33">
        <f t="shared" ref="H33:H43" si="74">F33-G33</f>
        <v>5.5611600000000001</v>
      </c>
      <c r="I33">
        <f>E33/10000</f>
        <v>0.75758000000000003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0.61940375793767699</v>
      </c>
      <c r="P33" s="2">
        <v>3</v>
      </c>
      <c r="Q33" s="8">
        <f>H33</f>
        <v>5.5611600000000001</v>
      </c>
      <c r="R33" s="8">
        <f>I33</f>
        <v>0.75758000000000003</v>
      </c>
      <c r="S33" s="8">
        <f>Q33/10^6*$Z$4*$Z$3/P33*10^12</f>
        <v>6.1784487600000002</v>
      </c>
      <c r="T33" s="8">
        <f>S33*0.06</f>
        <v>0.37070692560000001</v>
      </c>
      <c r="U33" s="8">
        <f>S33/$Z$1</f>
        <v>0.84636284383561644</v>
      </c>
      <c r="V33" s="12">
        <f t="shared" ref="V33:V43" si="75">O33</f>
        <v>0.61940375793767699</v>
      </c>
    </row>
    <row r="34" spans="2:22" x14ac:dyDescent="0.3">
      <c r="B34">
        <v>2</v>
      </c>
      <c r="C34">
        <v>-3575.6</v>
      </c>
      <c r="D34">
        <v>61736.6</v>
      </c>
      <c r="E34">
        <v>8420.4</v>
      </c>
      <c r="F34">
        <f t="shared" si="72"/>
        <v>6.1736599999999999</v>
      </c>
      <c r="G34">
        <f t="shared" si="73"/>
        <v>-0.35755999999999999</v>
      </c>
      <c r="H34">
        <f t="shared" si="74"/>
        <v>6.5312200000000002</v>
      </c>
      <c r="I34">
        <f t="shared" ref="I34:I43" si="76">E34/10000</f>
        <v>0.84204000000000001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0.54943486815579567</v>
      </c>
      <c r="P34" s="4">
        <v>3</v>
      </c>
      <c r="Q34" s="5">
        <f t="shared" ref="Q34:R43" si="79">H34</f>
        <v>6.5312200000000002</v>
      </c>
      <c r="R34" s="5">
        <f t="shared" si="79"/>
        <v>0.84204000000000001</v>
      </c>
      <c r="S34" s="5">
        <f t="shared" ref="S34:S43" si="80">Q34/10^6*$Z$4*$Z$3/P34*10^12</f>
        <v>7.2561854200000004</v>
      </c>
      <c r="T34" s="5">
        <f t="shared" ref="T34:T43" si="81">S34*0.06</f>
        <v>0.43537112519999999</v>
      </c>
      <c r="U34" s="5">
        <f t="shared" ref="U34:U43" si="82">S34/$Z$1</f>
        <v>0.99399800273972616</v>
      </c>
      <c r="V34" s="5">
        <f t="shared" si="75"/>
        <v>0.54943486815579567</v>
      </c>
    </row>
    <row r="35" spans="2:22" x14ac:dyDescent="0.3">
      <c r="B35">
        <v>3</v>
      </c>
      <c r="C35">
        <v>-4129.5</v>
      </c>
      <c r="D35">
        <v>61018.8</v>
      </c>
      <c r="E35">
        <v>5886.8</v>
      </c>
      <c r="F35">
        <f t="shared" si="72"/>
        <v>6.1018800000000004</v>
      </c>
      <c r="G35">
        <f t="shared" si="73"/>
        <v>-0.41294999999999998</v>
      </c>
      <c r="H35">
        <f t="shared" si="74"/>
        <v>6.5148300000000008</v>
      </c>
      <c r="I35">
        <f t="shared" si="76"/>
        <v>0.58867999999999998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0.47399400856709412</v>
      </c>
      <c r="P35" s="4">
        <v>3</v>
      </c>
      <c r="Q35" s="5">
        <f t="shared" si="79"/>
        <v>6.5148300000000008</v>
      </c>
      <c r="R35" s="5">
        <f t="shared" si="79"/>
        <v>0.58867999999999998</v>
      </c>
      <c r="S35" s="5">
        <f t="shared" si="80"/>
        <v>7.2379761300000016</v>
      </c>
      <c r="T35" s="5">
        <f t="shared" si="81"/>
        <v>0.43427856780000007</v>
      </c>
      <c r="U35" s="5">
        <f t="shared" si="82"/>
        <v>0.99150357945205503</v>
      </c>
      <c r="V35" s="5">
        <f t="shared" si="75"/>
        <v>0.47399400856709412</v>
      </c>
    </row>
    <row r="36" spans="2:22" x14ac:dyDescent="0.3">
      <c r="B36">
        <v>4</v>
      </c>
      <c r="C36">
        <v>-4941.7</v>
      </c>
      <c r="D36">
        <v>50530.1</v>
      </c>
      <c r="E36">
        <v>5105.8</v>
      </c>
      <c r="F36">
        <f t="shared" si="72"/>
        <v>5.0530099999999996</v>
      </c>
      <c r="G36">
        <f t="shared" si="73"/>
        <v>-0.49417</v>
      </c>
      <c r="H36">
        <f t="shared" si="74"/>
        <v>5.5471799999999991</v>
      </c>
      <c r="I36">
        <f t="shared" si="76"/>
        <v>0.51058000000000003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0.28708665630907115</v>
      </c>
      <c r="P36" s="4">
        <v>3</v>
      </c>
      <c r="Q36" s="5">
        <f t="shared" si="79"/>
        <v>5.5471799999999991</v>
      </c>
      <c r="R36" s="5">
        <f t="shared" si="79"/>
        <v>0.51058000000000003</v>
      </c>
      <c r="S36" s="5">
        <f t="shared" si="80"/>
        <v>6.1629169799999994</v>
      </c>
      <c r="T36" s="5">
        <f t="shared" si="81"/>
        <v>0.36977501879999997</v>
      </c>
      <c r="U36" s="5">
        <f t="shared" si="82"/>
        <v>0.84423520273972597</v>
      </c>
      <c r="V36" s="5">
        <f t="shared" si="75"/>
        <v>0.28708665630907115</v>
      </c>
    </row>
    <row r="37" spans="2:22" x14ac:dyDescent="0.3">
      <c r="B37">
        <v>5</v>
      </c>
      <c r="C37">
        <v>-5586.3</v>
      </c>
      <c r="D37">
        <v>39123.5</v>
      </c>
      <c r="E37">
        <v>4529.3999999999996</v>
      </c>
      <c r="F37">
        <f t="shared" si="72"/>
        <v>3.91235</v>
      </c>
      <c r="G37">
        <f t="shared" si="73"/>
        <v>-0.55863000000000007</v>
      </c>
      <c r="H37">
        <f t="shared" si="74"/>
        <v>4.47098</v>
      </c>
      <c r="I37">
        <f t="shared" si="76"/>
        <v>0.45293999999999995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0.20749571255129784</v>
      </c>
      <c r="P37" s="4">
        <v>3</v>
      </c>
      <c r="Q37" s="5">
        <f t="shared" si="79"/>
        <v>4.47098</v>
      </c>
      <c r="R37" s="5">
        <f t="shared" si="79"/>
        <v>0.45293999999999995</v>
      </c>
      <c r="S37" s="5">
        <f t="shared" si="80"/>
        <v>4.9672587800000008</v>
      </c>
      <c r="T37" s="5">
        <f t="shared" si="81"/>
        <v>0.29803552680000006</v>
      </c>
      <c r="U37" s="5">
        <f t="shared" si="82"/>
        <v>0.68044640821917823</v>
      </c>
      <c r="V37" s="5">
        <f t="shared" si="75"/>
        <v>0.20749571255129784</v>
      </c>
    </row>
    <row r="38" spans="2:22" x14ac:dyDescent="0.3">
      <c r="B38">
        <v>6</v>
      </c>
      <c r="C38">
        <v>-4284</v>
      </c>
      <c r="D38">
        <v>36553</v>
      </c>
      <c r="E38">
        <v>4886.8</v>
      </c>
      <c r="F38">
        <f t="shared" si="72"/>
        <v>3.6553</v>
      </c>
      <c r="G38">
        <f t="shared" si="73"/>
        <v>-0.4284</v>
      </c>
      <c r="H38">
        <f t="shared" si="74"/>
        <v>4.0837000000000003</v>
      </c>
      <c r="I38">
        <f t="shared" si="76"/>
        <v>0.48868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0.14362698913117394</v>
      </c>
      <c r="P38" s="4">
        <v>4</v>
      </c>
      <c r="Q38" s="5">
        <f t="shared" si="79"/>
        <v>4.0837000000000003</v>
      </c>
      <c r="R38" s="5">
        <f t="shared" si="79"/>
        <v>0.48868</v>
      </c>
      <c r="S38" s="5">
        <f t="shared" si="80"/>
        <v>3.4027430250000004</v>
      </c>
      <c r="T38" s="5">
        <f t="shared" si="81"/>
        <v>0.20416458150000003</v>
      </c>
      <c r="U38" s="5">
        <f t="shared" si="82"/>
        <v>0.4661291815068494</v>
      </c>
      <c r="V38" s="5">
        <f t="shared" si="75"/>
        <v>0.14362698913117394</v>
      </c>
    </row>
    <row r="39" spans="2:22" x14ac:dyDescent="0.3">
      <c r="B39">
        <v>7</v>
      </c>
      <c r="C39">
        <v>-6166.8</v>
      </c>
      <c r="D39">
        <v>23006.9</v>
      </c>
      <c r="E39">
        <v>4804.8</v>
      </c>
      <c r="F39">
        <f t="shared" si="72"/>
        <v>2.3006900000000003</v>
      </c>
      <c r="G39">
        <f t="shared" si="73"/>
        <v>-0.61668000000000001</v>
      </c>
      <c r="H39">
        <f t="shared" si="74"/>
        <v>2.9173700000000005</v>
      </c>
      <c r="I39">
        <f t="shared" si="76"/>
        <v>0.48048000000000002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0.10383026745031791</v>
      </c>
      <c r="P39" s="4">
        <v>4</v>
      </c>
      <c r="Q39" s="5">
        <f t="shared" si="79"/>
        <v>2.9173700000000005</v>
      </c>
      <c r="R39" s="5">
        <f t="shared" si="79"/>
        <v>0.48048000000000002</v>
      </c>
      <c r="S39" s="5">
        <f t="shared" si="80"/>
        <v>2.4308985525000009</v>
      </c>
      <c r="T39" s="5">
        <f t="shared" si="81"/>
        <v>0.14585391315000004</v>
      </c>
      <c r="U39" s="5">
        <f t="shared" si="82"/>
        <v>0.3329998017123289</v>
      </c>
      <c r="V39" s="5">
        <f t="shared" si="75"/>
        <v>0.10383026745031791</v>
      </c>
    </row>
    <row r="40" spans="2:22" x14ac:dyDescent="0.3">
      <c r="B40">
        <v>8</v>
      </c>
      <c r="C40">
        <v>-2818.8</v>
      </c>
      <c r="D40">
        <v>22322.7</v>
      </c>
      <c r="E40">
        <v>5113.1000000000004</v>
      </c>
      <c r="F40">
        <f t="shared" si="72"/>
        <v>2.2322700000000002</v>
      </c>
      <c r="G40">
        <f t="shared" si="73"/>
        <v>-0.28188000000000002</v>
      </c>
      <c r="H40">
        <f t="shared" si="74"/>
        <v>2.5141500000000003</v>
      </c>
      <c r="I40">
        <f t="shared" si="76"/>
        <v>0.51131000000000004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8.7073679977753712E-2</v>
      </c>
      <c r="P40" s="4">
        <v>5</v>
      </c>
      <c r="Q40" s="5">
        <f t="shared" si="79"/>
        <v>2.5141500000000003</v>
      </c>
      <c r="R40" s="5">
        <f t="shared" si="79"/>
        <v>0.51131000000000004</v>
      </c>
      <c r="S40" s="5">
        <f t="shared" si="80"/>
        <v>1.6759323900000003</v>
      </c>
      <c r="T40" s="5">
        <f t="shared" si="81"/>
        <v>0.10055594340000001</v>
      </c>
      <c r="U40" s="5">
        <f t="shared" si="82"/>
        <v>0.22957977945205485</v>
      </c>
      <c r="V40" s="5">
        <f t="shared" si="75"/>
        <v>8.7073679977753712E-2</v>
      </c>
    </row>
    <row r="41" spans="2:22" x14ac:dyDescent="0.3">
      <c r="B41">
        <v>9</v>
      </c>
      <c r="C41">
        <v>-5581.6</v>
      </c>
      <c r="D41">
        <v>23300</v>
      </c>
      <c r="E41">
        <v>7826.8</v>
      </c>
      <c r="F41">
        <f t="shared" si="72"/>
        <v>2.33</v>
      </c>
      <c r="G41">
        <f t="shared" si="73"/>
        <v>-0.55815999999999999</v>
      </c>
      <c r="H41">
        <f t="shared" si="74"/>
        <v>2.8881600000000001</v>
      </c>
      <c r="I41">
        <f t="shared" si="76"/>
        <v>0.78268000000000004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7.0175194508084252E-2</v>
      </c>
      <c r="P41" s="4">
        <v>8</v>
      </c>
      <c r="Q41" s="5">
        <f t="shared" si="79"/>
        <v>2.8881600000000001</v>
      </c>
      <c r="R41" s="5">
        <f t="shared" si="79"/>
        <v>0.78268000000000004</v>
      </c>
      <c r="S41" s="5">
        <f t="shared" si="80"/>
        <v>1.20327966</v>
      </c>
      <c r="T41" s="5">
        <f t="shared" si="81"/>
        <v>7.2196779599999997E-2</v>
      </c>
      <c r="U41" s="5">
        <f t="shared" si="82"/>
        <v>0.1648328301369863</v>
      </c>
      <c r="V41" s="5">
        <f t="shared" si="75"/>
        <v>7.0175194508084252E-2</v>
      </c>
    </row>
    <row r="42" spans="2:22" x14ac:dyDescent="0.3">
      <c r="B42">
        <v>10</v>
      </c>
      <c r="C42">
        <v>-2283.6</v>
      </c>
      <c r="D42">
        <v>30163</v>
      </c>
      <c r="E42">
        <v>8008.4</v>
      </c>
      <c r="F42">
        <f t="shared" si="72"/>
        <v>3.0163000000000002</v>
      </c>
      <c r="G42">
        <f t="shared" si="73"/>
        <v>-0.22835999999999998</v>
      </c>
      <c r="H42">
        <f t="shared" si="74"/>
        <v>3.2446600000000001</v>
      </c>
      <c r="I42">
        <f t="shared" si="76"/>
        <v>0.80084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5.0253741722737791E-2</v>
      </c>
      <c r="P42" s="4">
        <v>14</v>
      </c>
      <c r="Q42" s="5">
        <f t="shared" si="79"/>
        <v>3.2446600000000001</v>
      </c>
      <c r="R42" s="5">
        <f t="shared" si="79"/>
        <v>0.80084</v>
      </c>
      <c r="S42" s="5">
        <f t="shared" si="80"/>
        <v>0.77246084142857152</v>
      </c>
      <c r="T42" s="5">
        <f t="shared" si="81"/>
        <v>4.6347650485714292E-2</v>
      </c>
      <c r="U42" s="5">
        <f t="shared" si="82"/>
        <v>0.10581655362035226</v>
      </c>
      <c r="V42" s="5">
        <f t="shared" si="75"/>
        <v>5.0253741722737791E-2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3.2407533463626889E-2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3.2407533463626889E-2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-5434.1</v>
      </c>
      <c r="D47">
        <v>44617.8</v>
      </c>
      <c r="E47">
        <v>9785.2999999999993</v>
      </c>
      <c r="F47">
        <f t="shared" ref="F47:F57" si="84">D47/10000</f>
        <v>4.4617800000000001</v>
      </c>
      <c r="G47">
        <f t="shared" ref="G47:G57" si="85">C47/10000</f>
        <v>-0.54341000000000006</v>
      </c>
      <c r="H47">
        <f t="shared" ref="H47:H57" si="86">F47-G47</f>
        <v>5.0051899999999998</v>
      </c>
      <c r="I47">
        <f>E47/10000</f>
        <v>0.9785299999999999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0.49552300635014157</v>
      </c>
      <c r="P47" s="2">
        <v>3</v>
      </c>
      <c r="Q47" s="8">
        <f>H47</f>
        <v>5.0051899999999998</v>
      </c>
      <c r="R47" s="8">
        <f>I47</f>
        <v>0.9785299999999999</v>
      </c>
      <c r="S47" s="8">
        <f>Q47/10^6*$Z$4*$Z$3/P47*10^12</f>
        <v>5.5607660900000004</v>
      </c>
      <c r="T47" s="8">
        <f>S47*0.06</f>
        <v>0.33364596540000002</v>
      </c>
      <c r="U47" s="8">
        <f>S47/$Z$1</f>
        <v>0.76174877945205488</v>
      </c>
      <c r="V47" s="12">
        <f t="shared" ref="V47:V57" si="87">O47</f>
        <v>0.49552300635014157</v>
      </c>
    </row>
    <row r="48" spans="2:22" x14ac:dyDescent="0.3">
      <c r="B48">
        <v>2</v>
      </c>
      <c r="C48">
        <v>-3889.8</v>
      </c>
      <c r="D48">
        <v>48321</v>
      </c>
      <c r="E48">
        <v>7968.9</v>
      </c>
      <c r="F48">
        <f t="shared" si="84"/>
        <v>4.8320999999999996</v>
      </c>
      <c r="G48">
        <f t="shared" si="85"/>
        <v>-0.38897999999999999</v>
      </c>
      <c r="H48">
        <f t="shared" si="86"/>
        <v>5.2210799999999997</v>
      </c>
      <c r="I48">
        <f t="shared" ref="I48:I57" si="88">E48/10000</f>
        <v>0.79688999999999999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0.43954789452463655</v>
      </c>
      <c r="P48" s="4">
        <v>3</v>
      </c>
      <c r="Q48" s="5">
        <f t="shared" ref="Q48:R57" si="91">H48</f>
        <v>5.2210799999999997</v>
      </c>
      <c r="R48" s="5">
        <f t="shared" si="91"/>
        <v>0.79688999999999999</v>
      </c>
      <c r="S48" s="5">
        <f t="shared" ref="S48:S57" si="92">Q48/10^6*$Z$4*$Z$3/P48*10^12</f>
        <v>5.8006198799999993</v>
      </c>
      <c r="T48" s="5">
        <f t="shared" ref="T48:T57" si="93">S48*0.06</f>
        <v>0.34803719279999995</v>
      </c>
      <c r="U48" s="5">
        <f t="shared" ref="U48:U57" si="94">S48/$Z$1</f>
        <v>0.7946054630136985</v>
      </c>
      <c r="V48" s="5">
        <f t="shared" si="87"/>
        <v>0.43954789452463655</v>
      </c>
    </row>
    <row r="49" spans="2:22" x14ac:dyDescent="0.3">
      <c r="B49">
        <v>3</v>
      </c>
      <c r="C49">
        <v>-4436.6000000000004</v>
      </c>
      <c r="D49">
        <v>54658.3</v>
      </c>
      <c r="E49">
        <v>5820.3</v>
      </c>
      <c r="F49">
        <f t="shared" si="84"/>
        <v>5.4658300000000004</v>
      </c>
      <c r="G49">
        <f t="shared" si="85"/>
        <v>-0.44366000000000005</v>
      </c>
      <c r="H49">
        <f t="shared" si="86"/>
        <v>5.9094900000000008</v>
      </c>
      <c r="I49">
        <f t="shared" si="88"/>
        <v>0.58203000000000005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0.3791952068536753</v>
      </c>
      <c r="P49" s="4">
        <v>3</v>
      </c>
      <c r="Q49" s="5">
        <f t="shared" si="91"/>
        <v>5.9094900000000008</v>
      </c>
      <c r="R49" s="5">
        <f t="shared" si="91"/>
        <v>0.58203000000000005</v>
      </c>
      <c r="S49" s="5">
        <f t="shared" si="92"/>
        <v>6.5654433900000004</v>
      </c>
      <c r="T49" s="5">
        <f t="shared" si="93"/>
        <v>0.39392660340000002</v>
      </c>
      <c r="U49" s="5">
        <f t="shared" si="94"/>
        <v>0.89937580684931517</v>
      </c>
      <c r="V49" s="5">
        <f t="shared" si="87"/>
        <v>0.3791952068536753</v>
      </c>
    </row>
    <row r="50" spans="2:22" x14ac:dyDescent="0.3">
      <c r="B50">
        <v>4</v>
      </c>
      <c r="C50">
        <v>-4227.1000000000004</v>
      </c>
      <c r="D50">
        <v>40791.5</v>
      </c>
      <c r="E50">
        <v>6463.9</v>
      </c>
      <c r="F50">
        <f t="shared" si="84"/>
        <v>4.0791500000000003</v>
      </c>
      <c r="G50">
        <f t="shared" si="85"/>
        <v>-0.42271000000000003</v>
      </c>
      <c r="H50">
        <f t="shared" si="86"/>
        <v>4.5018600000000006</v>
      </c>
      <c r="I50">
        <f t="shared" si="88"/>
        <v>0.64638999999999991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0.22966932504725693</v>
      </c>
      <c r="P50" s="4">
        <v>3</v>
      </c>
      <c r="Q50" s="5">
        <f t="shared" si="91"/>
        <v>4.5018600000000006</v>
      </c>
      <c r="R50" s="5">
        <f t="shared" si="91"/>
        <v>0.64638999999999991</v>
      </c>
      <c r="S50" s="5">
        <f t="shared" si="92"/>
        <v>5.0015664600000003</v>
      </c>
      <c r="T50" s="5">
        <f t="shared" si="93"/>
        <v>0.3000939876</v>
      </c>
      <c r="U50" s="5">
        <f t="shared" si="94"/>
        <v>0.68514609041095897</v>
      </c>
      <c r="V50" s="5">
        <f t="shared" si="87"/>
        <v>0.22966932504725693</v>
      </c>
    </row>
    <row r="51" spans="2:22" x14ac:dyDescent="0.3">
      <c r="B51">
        <v>5</v>
      </c>
      <c r="C51">
        <v>-5718</v>
      </c>
      <c r="D51">
        <v>31654.400000000001</v>
      </c>
      <c r="E51">
        <v>5551.6</v>
      </c>
      <c r="F51">
        <f t="shared" si="84"/>
        <v>3.1654400000000003</v>
      </c>
      <c r="G51">
        <f t="shared" si="85"/>
        <v>-0.57179999999999997</v>
      </c>
      <c r="H51">
        <f t="shared" si="86"/>
        <v>3.7372400000000003</v>
      </c>
      <c r="I51">
        <f t="shared" si="88"/>
        <v>0.55515999999999999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0.16599657004103827</v>
      </c>
      <c r="P51" s="4">
        <v>3</v>
      </c>
      <c r="Q51" s="5">
        <f t="shared" si="91"/>
        <v>3.7372400000000003</v>
      </c>
      <c r="R51" s="5">
        <f t="shared" si="91"/>
        <v>0.55515999999999999</v>
      </c>
      <c r="S51" s="5">
        <f t="shared" si="92"/>
        <v>4.1520736400000011</v>
      </c>
      <c r="T51" s="5">
        <f t="shared" si="93"/>
        <v>0.24912441840000005</v>
      </c>
      <c r="U51" s="5">
        <f t="shared" si="94"/>
        <v>0.56877721095890432</v>
      </c>
      <c r="V51" s="5">
        <f t="shared" si="87"/>
        <v>0.16599657004103827</v>
      </c>
    </row>
    <row r="52" spans="2:22" x14ac:dyDescent="0.3">
      <c r="B52">
        <v>6</v>
      </c>
      <c r="C52">
        <v>-5181.3999999999996</v>
      </c>
      <c r="D52">
        <v>25396.9</v>
      </c>
      <c r="E52">
        <v>6580.6</v>
      </c>
      <c r="F52">
        <f t="shared" si="84"/>
        <v>2.5396900000000002</v>
      </c>
      <c r="G52">
        <f t="shared" si="85"/>
        <v>-0.51813999999999993</v>
      </c>
      <c r="H52">
        <f t="shared" si="86"/>
        <v>3.05783</v>
      </c>
      <c r="I52">
        <f t="shared" si="88"/>
        <v>0.65806000000000009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0.11490159130493915</v>
      </c>
      <c r="P52" s="4">
        <v>4</v>
      </c>
      <c r="Q52" s="5">
        <f t="shared" si="91"/>
        <v>3.05783</v>
      </c>
      <c r="R52" s="5">
        <f t="shared" si="91"/>
        <v>0.65806000000000009</v>
      </c>
      <c r="S52" s="5">
        <f t="shared" si="92"/>
        <v>2.5479368475000004</v>
      </c>
      <c r="T52" s="5">
        <f t="shared" si="93"/>
        <v>0.15287621085000003</v>
      </c>
      <c r="U52" s="5">
        <f t="shared" si="94"/>
        <v>0.34903244486301377</v>
      </c>
      <c r="V52" s="5">
        <f t="shared" si="87"/>
        <v>0.11490159130493915</v>
      </c>
    </row>
    <row r="53" spans="2:22" x14ac:dyDescent="0.3">
      <c r="B53">
        <v>7</v>
      </c>
      <c r="C53">
        <v>-3521.5</v>
      </c>
      <c r="D53">
        <v>15478.6</v>
      </c>
      <c r="E53">
        <v>5766.1</v>
      </c>
      <c r="F53">
        <f t="shared" si="84"/>
        <v>1.54786</v>
      </c>
      <c r="G53">
        <f t="shared" si="85"/>
        <v>-0.35215000000000002</v>
      </c>
      <c r="H53">
        <f t="shared" si="86"/>
        <v>1.90001</v>
      </c>
      <c r="I53">
        <f t="shared" si="88"/>
        <v>0.57661000000000007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8.3064213960254332E-2</v>
      </c>
      <c r="P53" s="4">
        <v>4</v>
      </c>
      <c r="Q53" s="5">
        <f t="shared" si="91"/>
        <v>1.90001</v>
      </c>
      <c r="R53" s="5">
        <f t="shared" si="91"/>
        <v>0.57661000000000007</v>
      </c>
      <c r="S53" s="5">
        <f t="shared" si="92"/>
        <v>1.5831833325</v>
      </c>
      <c r="T53" s="5">
        <f t="shared" si="93"/>
        <v>9.4990999950000002E-2</v>
      </c>
      <c r="U53" s="5">
        <f t="shared" si="94"/>
        <v>0.21687442910958904</v>
      </c>
      <c r="V53" s="5">
        <f t="shared" si="87"/>
        <v>8.3064213960254332E-2</v>
      </c>
    </row>
    <row r="54" spans="2:22" x14ac:dyDescent="0.3">
      <c r="B54">
        <v>8</v>
      </c>
      <c r="C54">
        <v>-7716.1</v>
      </c>
      <c r="D54">
        <v>11914.8</v>
      </c>
      <c r="E54">
        <v>5508.7</v>
      </c>
      <c r="F54">
        <f t="shared" si="84"/>
        <v>1.1914799999999999</v>
      </c>
      <c r="G54">
        <f t="shared" si="85"/>
        <v>-0.77161000000000002</v>
      </c>
      <c r="H54">
        <f t="shared" si="86"/>
        <v>1.9630899999999998</v>
      </c>
      <c r="I54">
        <f t="shared" si="88"/>
        <v>0.55086999999999997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6.9658943982202973E-2</v>
      </c>
      <c r="P54" s="4">
        <v>5</v>
      </c>
      <c r="Q54" s="5">
        <f t="shared" si="91"/>
        <v>1.9630899999999998</v>
      </c>
      <c r="R54" s="5">
        <f t="shared" si="91"/>
        <v>0.55086999999999997</v>
      </c>
      <c r="S54" s="5">
        <f t="shared" si="92"/>
        <v>1.3085957939999997</v>
      </c>
      <c r="T54" s="5">
        <f t="shared" si="93"/>
        <v>7.851574763999998E-2</v>
      </c>
      <c r="U54" s="5">
        <f t="shared" si="94"/>
        <v>0.17925969780821915</v>
      </c>
      <c r="V54" s="5">
        <f t="shared" si="87"/>
        <v>6.9658943982202973E-2</v>
      </c>
    </row>
    <row r="55" spans="2:22" x14ac:dyDescent="0.3">
      <c r="B55">
        <v>9</v>
      </c>
      <c r="C55">
        <v>-9580.7000000000007</v>
      </c>
      <c r="D55">
        <v>7991.9</v>
      </c>
      <c r="E55">
        <v>7056.8</v>
      </c>
      <c r="F55">
        <f t="shared" si="84"/>
        <v>0.79918999999999996</v>
      </c>
      <c r="G55">
        <f t="shared" si="85"/>
        <v>-0.95807000000000009</v>
      </c>
      <c r="H55">
        <f t="shared" si="86"/>
        <v>1.75726</v>
      </c>
      <c r="I55">
        <f t="shared" si="88"/>
        <v>0.70567999999999997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5.6140155606467401E-2</v>
      </c>
      <c r="P55" s="4">
        <v>8</v>
      </c>
      <c r="Q55" s="5">
        <f t="shared" si="91"/>
        <v>1.75726</v>
      </c>
      <c r="R55" s="5">
        <f t="shared" si="91"/>
        <v>0.70567999999999997</v>
      </c>
      <c r="S55" s="5">
        <f t="shared" si="92"/>
        <v>0.73211844749999999</v>
      </c>
      <c r="T55" s="5">
        <f t="shared" si="93"/>
        <v>4.3927106849999994E-2</v>
      </c>
      <c r="U55" s="5">
        <f t="shared" si="94"/>
        <v>0.10029019828767123</v>
      </c>
      <c r="V55" s="5">
        <f t="shared" si="87"/>
        <v>5.6140155606467401E-2</v>
      </c>
    </row>
    <row r="56" spans="2:22" x14ac:dyDescent="0.3">
      <c r="B56">
        <v>10</v>
      </c>
      <c r="C56">
        <v>-6519.7</v>
      </c>
      <c r="D56">
        <v>30723.599999999999</v>
      </c>
      <c r="E56">
        <v>6489.7</v>
      </c>
      <c r="F56">
        <f t="shared" si="84"/>
        <v>3.0723599999999998</v>
      </c>
      <c r="G56">
        <f t="shared" si="85"/>
        <v>-0.65196999999999994</v>
      </c>
      <c r="H56">
        <f t="shared" si="86"/>
        <v>3.7243299999999997</v>
      </c>
      <c r="I56">
        <f t="shared" si="88"/>
        <v>0.64896999999999994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4.0202993378190235E-2</v>
      </c>
      <c r="P56" s="4">
        <v>14</v>
      </c>
      <c r="Q56" s="5">
        <f t="shared" si="91"/>
        <v>3.7243299999999997</v>
      </c>
      <c r="R56" s="5">
        <f t="shared" si="91"/>
        <v>0.64896999999999994</v>
      </c>
      <c r="S56" s="5">
        <f t="shared" si="92"/>
        <v>0.88665656357142841</v>
      </c>
      <c r="T56" s="5">
        <f t="shared" si="93"/>
        <v>5.3199393814285706E-2</v>
      </c>
      <c r="U56" s="5">
        <f t="shared" si="94"/>
        <v>0.1214598032289628</v>
      </c>
      <c r="V56" s="5">
        <f t="shared" si="87"/>
        <v>4.0202993378190235E-2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2.5926026770901511E-2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2.5926026770901511E-2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1923.2</v>
      </c>
      <c r="D61">
        <v>41767.300000000003</v>
      </c>
      <c r="E61">
        <v>9236.7000000000007</v>
      </c>
      <c r="F61">
        <f t="shared" ref="F61:F71" si="96">D61/10000</f>
        <v>4.1767300000000001</v>
      </c>
      <c r="G61">
        <f t="shared" ref="G61:G71" si="97">C61/10000</f>
        <v>0.19231999999999999</v>
      </c>
      <c r="H61">
        <f t="shared" ref="H61:H71" si="98">F61-G61</f>
        <v>3.98441</v>
      </c>
      <c r="I61">
        <f>E61/10000</f>
        <v>0.9236700000000001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0.41293583862511801</v>
      </c>
      <c r="P61" s="2">
        <v>3</v>
      </c>
      <c r="Q61" s="8">
        <f>H61</f>
        <v>3.98441</v>
      </c>
      <c r="R61" s="8">
        <f>I61</f>
        <v>0.9236700000000001</v>
      </c>
      <c r="S61" s="8">
        <f>Q61/10^6*$Z$4*$Z$3/P61*10^12</f>
        <v>4.4266795100000005</v>
      </c>
      <c r="T61" s="8">
        <f>S61*0.06</f>
        <v>0.26560077060000004</v>
      </c>
      <c r="U61" s="8">
        <f>S61/$Z$1</f>
        <v>0.60639445342465759</v>
      </c>
      <c r="V61" s="12">
        <f t="shared" ref="V61:V71" si="99">O61</f>
        <v>0.41293583862511801</v>
      </c>
    </row>
    <row r="62" spans="2:22" x14ac:dyDescent="0.3">
      <c r="B62">
        <v>2</v>
      </c>
      <c r="C62">
        <v>1923</v>
      </c>
      <c r="D62">
        <v>51940.1</v>
      </c>
      <c r="E62">
        <v>6899</v>
      </c>
      <c r="F62">
        <f t="shared" si="96"/>
        <v>5.1940099999999996</v>
      </c>
      <c r="G62">
        <f t="shared" si="97"/>
        <v>0.1923</v>
      </c>
      <c r="H62">
        <f t="shared" si="98"/>
        <v>5.0017099999999992</v>
      </c>
      <c r="I62">
        <f t="shared" ref="I62:I71" si="100">E62/10000</f>
        <v>0.68989999999999996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0.3662899121038638</v>
      </c>
      <c r="P62" s="4">
        <v>3</v>
      </c>
      <c r="Q62" s="5">
        <f t="shared" ref="Q62:R71" si="103">H62</f>
        <v>5.0017099999999992</v>
      </c>
      <c r="R62" s="5">
        <f t="shared" si="103"/>
        <v>0.68989999999999996</v>
      </c>
      <c r="S62" s="5">
        <f t="shared" ref="S62:S71" si="104">Q62/10^6*$Z$4*$Z$3/P62*10^12</f>
        <v>5.5568998099999991</v>
      </c>
      <c r="T62" s="5">
        <f t="shared" ref="T62:T71" si="105">S62*0.06</f>
        <v>0.33341398859999993</v>
      </c>
      <c r="U62" s="5">
        <f t="shared" ref="U62:U71" si="106">S62/$Z$1</f>
        <v>0.7612191520547944</v>
      </c>
      <c r="V62" s="5">
        <f t="shared" si="99"/>
        <v>0.3662899121038638</v>
      </c>
    </row>
    <row r="63" spans="2:22" x14ac:dyDescent="0.3">
      <c r="B63">
        <v>3</v>
      </c>
      <c r="C63">
        <v>3109.3</v>
      </c>
      <c r="D63">
        <v>56470.2</v>
      </c>
      <c r="E63">
        <v>7097.5</v>
      </c>
      <c r="F63">
        <f t="shared" si="96"/>
        <v>5.6470199999999995</v>
      </c>
      <c r="G63">
        <f t="shared" si="97"/>
        <v>0.31093000000000004</v>
      </c>
      <c r="H63">
        <f t="shared" si="98"/>
        <v>5.3360899999999996</v>
      </c>
      <c r="I63">
        <f t="shared" si="100"/>
        <v>0.70974999999999999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0.31599600571139608</v>
      </c>
      <c r="P63" s="4">
        <v>3</v>
      </c>
      <c r="Q63" s="5">
        <f t="shared" si="103"/>
        <v>5.3360899999999996</v>
      </c>
      <c r="R63" s="5">
        <f t="shared" si="103"/>
        <v>0.70974999999999999</v>
      </c>
      <c r="S63" s="5">
        <f t="shared" si="104"/>
        <v>5.9283959900000003</v>
      </c>
      <c r="T63" s="5">
        <f t="shared" si="105"/>
        <v>0.35570375939999999</v>
      </c>
      <c r="U63" s="5">
        <f t="shared" si="106"/>
        <v>0.81210903972602744</v>
      </c>
      <c r="V63" s="5">
        <f t="shared" si="99"/>
        <v>0.31599600571139608</v>
      </c>
    </row>
    <row r="64" spans="2:22" x14ac:dyDescent="0.3">
      <c r="B64">
        <v>4</v>
      </c>
      <c r="C64">
        <v>4828.8999999999996</v>
      </c>
      <c r="D64">
        <v>48424.4</v>
      </c>
      <c r="E64">
        <v>6238.8</v>
      </c>
      <c r="F64">
        <f t="shared" si="96"/>
        <v>4.8424399999999999</v>
      </c>
      <c r="G64">
        <f t="shared" si="97"/>
        <v>0.48288999999999999</v>
      </c>
      <c r="H64">
        <f t="shared" si="98"/>
        <v>4.3595499999999996</v>
      </c>
      <c r="I64">
        <f t="shared" si="100"/>
        <v>0.62387999999999999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0.19139110420604744</v>
      </c>
      <c r="P64" s="4">
        <v>3</v>
      </c>
      <c r="Q64" s="5">
        <f t="shared" si="103"/>
        <v>4.3595499999999996</v>
      </c>
      <c r="R64" s="5">
        <f t="shared" si="103"/>
        <v>0.62387999999999999</v>
      </c>
      <c r="S64" s="5">
        <f t="shared" si="104"/>
        <v>4.8434600499999991</v>
      </c>
      <c r="T64" s="5">
        <f t="shared" si="105"/>
        <v>0.29060760299999994</v>
      </c>
      <c r="U64" s="5">
        <f t="shared" si="106"/>
        <v>0.66348767808219167</v>
      </c>
      <c r="V64" s="5">
        <f t="shared" si="99"/>
        <v>0.19139110420604744</v>
      </c>
    </row>
    <row r="65" spans="2:22" x14ac:dyDescent="0.3">
      <c r="B65">
        <v>5</v>
      </c>
      <c r="C65">
        <v>3374.6</v>
      </c>
      <c r="D65">
        <v>34319.5</v>
      </c>
      <c r="E65">
        <v>5943.9</v>
      </c>
      <c r="F65">
        <f t="shared" si="96"/>
        <v>3.4319500000000001</v>
      </c>
      <c r="G65">
        <f t="shared" si="97"/>
        <v>0.33745999999999998</v>
      </c>
      <c r="H65">
        <f t="shared" si="98"/>
        <v>3.09449</v>
      </c>
      <c r="I65">
        <f t="shared" si="100"/>
        <v>0.59438999999999997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0.13833047503419857</v>
      </c>
      <c r="P65" s="4">
        <v>3</v>
      </c>
      <c r="Q65" s="5">
        <f t="shared" si="103"/>
        <v>3.09449</v>
      </c>
      <c r="R65" s="5">
        <f t="shared" si="103"/>
        <v>0.59438999999999997</v>
      </c>
      <c r="S65" s="5">
        <f t="shared" si="104"/>
        <v>3.4379783900000001</v>
      </c>
      <c r="T65" s="5">
        <f t="shared" si="105"/>
        <v>0.20627870339999999</v>
      </c>
      <c r="U65" s="5">
        <f t="shared" si="106"/>
        <v>0.47095594383561645</v>
      </c>
      <c r="V65" s="5">
        <f t="shared" si="99"/>
        <v>0.13833047503419857</v>
      </c>
    </row>
    <row r="66" spans="2:22" x14ac:dyDescent="0.3">
      <c r="B66">
        <v>6</v>
      </c>
      <c r="C66">
        <v>4291.3</v>
      </c>
      <c r="D66">
        <v>31823.599999999999</v>
      </c>
      <c r="E66">
        <v>5814.4</v>
      </c>
      <c r="F66">
        <f t="shared" si="96"/>
        <v>3.1823599999999996</v>
      </c>
      <c r="G66">
        <f t="shared" si="97"/>
        <v>0.42913000000000001</v>
      </c>
      <c r="H66">
        <f t="shared" si="98"/>
        <v>2.7532299999999994</v>
      </c>
      <c r="I66">
        <f t="shared" si="100"/>
        <v>0.58143999999999996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9.5751326087449296E-2</v>
      </c>
      <c r="P66" s="4">
        <v>4</v>
      </c>
      <c r="Q66" s="5">
        <f t="shared" si="103"/>
        <v>2.7532299999999994</v>
      </c>
      <c r="R66" s="5">
        <f t="shared" si="103"/>
        <v>0.58143999999999996</v>
      </c>
      <c r="S66" s="5">
        <f t="shared" si="104"/>
        <v>2.2941288974999994</v>
      </c>
      <c r="T66" s="5">
        <f t="shared" si="105"/>
        <v>0.13764773384999995</v>
      </c>
      <c r="U66" s="5">
        <f t="shared" si="106"/>
        <v>0.31426423253424651</v>
      </c>
      <c r="V66" s="5">
        <f t="shared" si="99"/>
        <v>9.5751326087449296E-2</v>
      </c>
    </row>
    <row r="67" spans="2:22" x14ac:dyDescent="0.3">
      <c r="B67">
        <v>7</v>
      </c>
      <c r="C67">
        <v>4470.1000000000004</v>
      </c>
      <c r="D67">
        <v>21902.1</v>
      </c>
      <c r="E67">
        <v>5598</v>
      </c>
      <c r="F67">
        <f t="shared" si="96"/>
        <v>2.19021</v>
      </c>
      <c r="G67">
        <f t="shared" si="97"/>
        <v>0.44701000000000002</v>
      </c>
      <c r="H67">
        <f t="shared" si="98"/>
        <v>1.7431999999999999</v>
      </c>
      <c r="I67">
        <f t="shared" si="100"/>
        <v>0.55979999999999996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6.9220178300211946E-2</v>
      </c>
      <c r="P67" s="4">
        <v>4</v>
      </c>
      <c r="Q67" s="5">
        <f t="shared" si="103"/>
        <v>1.7431999999999999</v>
      </c>
      <c r="R67" s="5">
        <f t="shared" si="103"/>
        <v>0.55979999999999996</v>
      </c>
      <c r="S67" s="5">
        <f t="shared" si="104"/>
        <v>1.4525214</v>
      </c>
      <c r="T67" s="5">
        <f t="shared" si="105"/>
        <v>8.7151283999999996E-2</v>
      </c>
      <c r="U67" s="5">
        <f t="shared" si="106"/>
        <v>0.19897553424657535</v>
      </c>
      <c r="V67" s="5">
        <f t="shared" si="99"/>
        <v>6.9220178300211946E-2</v>
      </c>
    </row>
    <row r="68" spans="2:22" x14ac:dyDescent="0.3">
      <c r="B68">
        <v>8</v>
      </c>
      <c r="C68">
        <v>7887.5</v>
      </c>
      <c r="D68">
        <v>18622.2</v>
      </c>
      <c r="E68">
        <v>6852</v>
      </c>
      <c r="F68">
        <f t="shared" si="96"/>
        <v>1.86222</v>
      </c>
      <c r="G68">
        <f t="shared" si="97"/>
        <v>0.78874999999999995</v>
      </c>
      <c r="H68">
        <f t="shared" si="98"/>
        <v>1.0734699999999999</v>
      </c>
      <c r="I68">
        <f t="shared" si="100"/>
        <v>0.68520000000000003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5.8049119985169144E-2</v>
      </c>
      <c r="P68" s="4">
        <v>5</v>
      </c>
      <c r="Q68" s="5">
        <f t="shared" si="103"/>
        <v>1.0734699999999999</v>
      </c>
      <c r="R68" s="5">
        <f t="shared" si="103"/>
        <v>0.68520000000000003</v>
      </c>
      <c r="S68" s="5">
        <f t="shared" si="104"/>
        <v>0.71557510199999996</v>
      </c>
      <c r="T68" s="5">
        <f t="shared" si="105"/>
        <v>4.2934506119999993E-2</v>
      </c>
      <c r="U68" s="5">
        <f t="shared" si="106"/>
        <v>9.8023986575342462E-2</v>
      </c>
      <c r="V68" s="5">
        <f t="shared" si="99"/>
        <v>5.8049119985169144E-2</v>
      </c>
    </row>
    <row r="69" spans="2:22" x14ac:dyDescent="0.3">
      <c r="B69">
        <v>9</v>
      </c>
      <c r="C69">
        <v>4845.3999999999996</v>
      </c>
      <c r="D69">
        <v>25234.2</v>
      </c>
      <c r="E69">
        <v>5557.8</v>
      </c>
      <c r="F69">
        <f t="shared" si="96"/>
        <v>2.5234200000000002</v>
      </c>
      <c r="G69">
        <f t="shared" si="97"/>
        <v>0.48453999999999997</v>
      </c>
      <c r="H69">
        <f t="shared" si="98"/>
        <v>2.0388800000000002</v>
      </c>
      <c r="I69">
        <f t="shared" si="100"/>
        <v>0.55578000000000005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4.6783463005389499E-2</v>
      </c>
      <c r="P69" s="4">
        <v>8</v>
      </c>
      <c r="Q69" s="5">
        <f t="shared" si="103"/>
        <v>2.0388800000000002</v>
      </c>
      <c r="R69" s="5">
        <f t="shared" si="103"/>
        <v>0.55578000000000005</v>
      </c>
      <c r="S69" s="5">
        <f t="shared" si="104"/>
        <v>0.84944838000000022</v>
      </c>
      <c r="T69" s="5">
        <f t="shared" si="105"/>
        <v>5.0966902800000012E-2</v>
      </c>
      <c r="U69" s="5">
        <f t="shared" si="106"/>
        <v>0.11636279178082196</v>
      </c>
      <c r="V69" s="5">
        <f t="shared" si="99"/>
        <v>4.6783463005389499E-2</v>
      </c>
    </row>
    <row r="70" spans="2:22" x14ac:dyDescent="0.3">
      <c r="B70">
        <v>10</v>
      </c>
      <c r="C70">
        <v>8515.4</v>
      </c>
      <c r="D70">
        <v>51533.5</v>
      </c>
      <c r="E70">
        <v>5714.5</v>
      </c>
      <c r="F70">
        <f t="shared" si="96"/>
        <v>5.1533499999999997</v>
      </c>
      <c r="G70">
        <f t="shared" si="97"/>
        <v>0.85153999999999996</v>
      </c>
      <c r="H70">
        <f t="shared" si="98"/>
        <v>4.3018099999999997</v>
      </c>
      <c r="I70">
        <f t="shared" si="100"/>
        <v>0.57145000000000001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3.3502494481825192E-2</v>
      </c>
      <c r="P70" s="4">
        <v>14</v>
      </c>
      <c r="Q70" s="5">
        <f t="shared" si="103"/>
        <v>4.3018099999999997</v>
      </c>
      <c r="R70" s="5">
        <f t="shared" si="103"/>
        <v>0.57145000000000001</v>
      </c>
      <c r="S70" s="5">
        <f t="shared" si="104"/>
        <v>1.0241380521428571</v>
      </c>
      <c r="T70" s="5">
        <f t="shared" si="105"/>
        <v>6.1448283128571424E-2</v>
      </c>
      <c r="U70" s="5">
        <f t="shared" si="106"/>
        <v>0.1402928838551859</v>
      </c>
      <c r="V70" s="5">
        <f t="shared" si="99"/>
        <v>3.3502494481825192E-2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2.1605022309084593E-2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2.1605022309084593E-2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-1537.3</v>
      </c>
      <c r="D75">
        <v>35237.800000000003</v>
      </c>
      <c r="E75">
        <v>7732.4</v>
      </c>
      <c r="F75">
        <f t="shared" ref="F75:F85" si="108">D75/10000</f>
        <v>3.5237800000000004</v>
      </c>
      <c r="G75">
        <f t="shared" ref="G75:G85" si="109">C75/10000</f>
        <v>-0.15373000000000001</v>
      </c>
      <c r="H75">
        <f t="shared" ref="H75:H85" si="110">F75-G75</f>
        <v>3.6775100000000003</v>
      </c>
      <c r="I75">
        <f>E75/10000</f>
        <v>0.77323999999999993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0.3539450045358154</v>
      </c>
      <c r="P75" s="2">
        <v>3</v>
      </c>
      <c r="Q75" s="8">
        <f>H75</f>
        <v>3.6775100000000003</v>
      </c>
      <c r="R75" s="8">
        <f>I75</f>
        <v>0.77323999999999993</v>
      </c>
      <c r="S75" s="8">
        <f>Q75/10^6*$Z$4*$Z$3/P75*10^12</f>
        <v>4.08571361</v>
      </c>
      <c r="T75" s="8">
        <f>S75*0.06</f>
        <v>0.24514281659999998</v>
      </c>
      <c r="U75" s="8">
        <f>S75/$Z$1</f>
        <v>0.55968679589041093</v>
      </c>
      <c r="V75" s="12">
        <f t="shared" ref="V75:V85" si="111">O75</f>
        <v>0.3539450045358154</v>
      </c>
    </row>
    <row r="76" spans="2:22" x14ac:dyDescent="0.3">
      <c r="B76">
        <v>2</v>
      </c>
      <c r="C76">
        <v>-2439.6999999999998</v>
      </c>
      <c r="D76">
        <v>45700.800000000003</v>
      </c>
      <c r="E76">
        <v>6208.1</v>
      </c>
      <c r="F76">
        <f t="shared" si="108"/>
        <v>4.5700799999999999</v>
      </c>
      <c r="G76">
        <f t="shared" si="109"/>
        <v>-0.24396999999999999</v>
      </c>
      <c r="H76">
        <f t="shared" si="110"/>
        <v>4.8140499999999999</v>
      </c>
      <c r="I76">
        <f t="shared" ref="I76:I85" si="112">E76/10000</f>
        <v>0.62081000000000008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0.31396278180331183</v>
      </c>
      <c r="P76" s="4">
        <v>3</v>
      </c>
      <c r="Q76" s="5">
        <f t="shared" ref="Q76:R85" si="115">H76</f>
        <v>4.8140499999999999</v>
      </c>
      <c r="R76" s="5">
        <f t="shared" si="115"/>
        <v>0.62081000000000008</v>
      </c>
      <c r="S76" s="5">
        <f t="shared" ref="S76:S85" si="116">Q76/10^6*$Z$4*$Z$3/P76*10^12</f>
        <v>5.3484095500000004</v>
      </c>
      <c r="T76" s="5">
        <f t="shared" ref="T76:T85" si="117">S76*0.06</f>
        <v>0.32090457300000003</v>
      </c>
      <c r="U76" s="5">
        <f t="shared" ref="U76:U85" si="118">S76/$Z$1</f>
        <v>0.73265884246575352</v>
      </c>
      <c r="V76" s="5">
        <f t="shared" si="111"/>
        <v>0.31396278180331183</v>
      </c>
    </row>
    <row r="77" spans="2:22" x14ac:dyDescent="0.3">
      <c r="B77">
        <v>3</v>
      </c>
      <c r="C77">
        <v>-86.7</v>
      </c>
      <c r="D77">
        <v>50643.3</v>
      </c>
      <c r="E77">
        <v>5734.2</v>
      </c>
      <c r="F77">
        <f t="shared" si="108"/>
        <v>5.06433</v>
      </c>
      <c r="G77">
        <f t="shared" si="109"/>
        <v>-8.6700000000000006E-3</v>
      </c>
      <c r="H77">
        <f t="shared" si="110"/>
        <v>5.0730000000000004</v>
      </c>
      <c r="I77">
        <f t="shared" si="112"/>
        <v>0.57341999999999993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0.27085371918119666</v>
      </c>
      <c r="P77" s="4">
        <v>3</v>
      </c>
      <c r="Q77" s="5">
        <f t="shared" si="115"/>
        <v>5.0730000000000004</v>
      </c>
      <c r="R77" s="5">
        <f t="shared" si="115"/>
        <v>0.57341999999999993</v>
      </c>
      <c r="S77" s="5">
        <f t="shared" si="116"/>
        <v>5.6361030000000012</v>
      </c>
      <c r="T77" s="5">
        <f t="shared" si="117"/>
        <v>0.33816618000000004</v>
      </c>
      <c r="U77" s="5">
        <f t="shared" si="118"/>
        <v>0.77206890410958917</v>
      </c>
      <c r="V77" s="5">
        <f t="shared" si="111"/>
        <v>0.27085371918119666</v>
      </c>
    </row>
    <row r="78" spans="2:22" x14ac:dyDescent="0.3">
      <c r="B78">
        <v>4</v>
      </c>
      <c r="C78">
        <v>1138</v>
      </c>
      <c r="D78">
        <v>41900.9</v>
      </c>
      <c r="E78">
        <v>5487.6</v>
      </c>
      <c r="F78">
        <f t="shared" si="108"/>
        <v>4.1900900000000005</v>
      </c>
      <c r="G78">
        <f t="shared" si="109"/>
        <v>0.1138</v>
      </c>
      <c r="H78">
        <f t="shared" si="110"/>
        <v>4.0762900000000002</v>
      </c>
      <c r="I78">
        <f t="shared" si="112"/>
        <v>0.54876000000000003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0.16404951789089781</v>
      </c>
      <c r="P78" s="4">
        <v>3</v>
      </c>
      <c r="Q78" s="5">
        <f t="shared" si="115"/>
        <v>4.0762900000000002</v>
      </c>
      <c r="R78" s="5">
        <f t="shared" si="115"/>
        <v>0.54876000000000003</v>
      </c>
      <c r="S78" s="5">
        <f t="shared" si="116"/>
        <v>4.5287581900000013</v>
      </c>
      <c r="T78" s="5">
        <f t="shared" si="117"/>
        <v>0.27172549140000007</v>
      </c>
      <c r="U78" s="5">
        <f t="shared" si="118"/>
        <v>0.62037783424657555</v>
      </c>
      <c r="V78" s="5">
        <f t="shared" si="111"/>
        <v>0.16404951789089781</v>
      </c>
    </row>
    <row r="79" spans="2:22" x14ac:dyDescent="0.3">
      <c r="B79">
        <v>5</v>
      </c>
      <c r="C79">
        <v>-106.8</v>
      </c>
      <c r="D79">
        <v>25653.5</v>
      </c>
      <c r="E79">
        <v>4870.3999999999996</v>
      </c>
      <c r="F79">
        <f t="shared" si="108"/>
        <v>2.56535</v>
      </c>
      <c r="G79">
        <f t="shared" si="109"/>
        <v>-1.068E-2</v>
      </c>
      <c r="H79">
        <f t="shared" si="110"/>
        <v>2.5760299999999998</v>
      </c>
      <c r="I79">
        <f t="shared" si="112"/>
        <v>0.48703999999999997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0.11856897860074163</v>
      </c>
      <c r="P79" s="4">
        <v>3</v>
      </c>
      <c r="Q79" s="5">
        <f t="shared" si="115"/>
        <v>2.5760299999999998</v>
      </c>
      <c r="R79" s="5">
        <f t="shared" si="115"/>
        <v>0.48703999999999997</v>
      </c>
      <c r="S79" s="5">
        <f t="shared" si="116"/>
        <v>2.86196933</v>
      </c>
      <c r="T79" s="5">
        <f t="shared" si="117"/>
        <v>0.17171815979999999</v>
      </c>
      <c r="U79" s="5">
        <f t="shared" si="118"/>
        <v>0.39205059315068491</v>
      </c>
      <c r="V79" s="5">
        <f t="shared" si="111"/>
        <v>0.11856897860074163</v>
      </c>
    </row>
    <row r="80" spans="2:22" x14ac:dyDescent="0.3">
      <c r="B80">
        <v>6</v>
      </c>
      <c r="C80">
        <v>-883.9</v>
      </c>
      <c r="D80">
        <v>26096</v>
      </c>
      <c r="E80">
        <v>5596.4</v>
      </c>
      <c r="F80">
        <f t="shared" si="108"/>
        <v>2.6095999999999999</v>
      </c>
      <c r="G80">
        <f t="shared" si="109"/>
        <v>-8.8389999999999996E-2</v>
      </c>
      <c r="H80">
        <f t="shared" si="110"/>
        <v>2.6979899999999999</v>
      </c>
      <c r="I80">
        <f t="shared" si="112"/>
        <v>0.55963999999999992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8.2072565217813684E-2</v>
      </c>
      <c r="P80" s="4">
        <v>4</v>
      </c>
      <c r="Q80" s="5">
        <f t="shared" si="115"/>
        <v>2.6979899999999999</v>
      </c>
      <c r="R80" s="5">
        <f t="shared" si="115"/>
        <v>0.55963999999999992</v>
      </c>
      <c r="S80" s="5">
        <f t="shared" si="116"/>
        <v>2.2481001675000001</v>
      </c>
      <c r="T80" s="5">
        <f t="shared" si="117"/>
        <v>0.13488601005</v>
      </c>
      <c r="U80" s="5">
        <f t="shared" si="118"/>
        <v>0.30795892705479455</v>
      </c>
      <c r="V80" s="5">
        <f t="shared" si="111"/>
        <v>8.2072565217813684E-2</v>
      </c>
    </row>
    <row r="81" spans="2:22" x14ac:dyDescent="0.3">
      <c r="B81">
        <v>7</v>
      </c>
      <c r="C81">
        <v>673.7</v>
      </c>
      <c r="D81">
        <v>16198.5</v>
      </c>
      <c r="E81">
        <v>4894</v>
      </c>
      <c r="F81">
        <f t="shared" si="108"/>
        <v>1.61985</v>
      </c>
      <c r="G81">
        <f t="shared" si="109"/>
        <v>6.7369999999999999E-2</v>
      </c>
      <c r="H81">
        <f t="shared" si="110"/>
        <v>1.5524800000000001</v>
      </c>
      <c r="I81">
        <f t="shared" si="112"/>
        <v>0.4894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5.9331581400181667E-2</v>
      </c>
      <c r="P81" s="4">
        <v>4</v>
      </c>
      <c r="Q81" s="5">
        <f t="shared" si="115"/>
        <v>1.5524800000000001</v>
      </c>
      <c r="R81" s="5">
        <f t="shared" si="115"/>
        <v>0.4894</v>
      </c>
      <c r="S81" s="5">
        <f t="shared" si="116"/>
        <v>1.29360396</v>
      </c>
      <c r="T81" s="5">
        <f t="shared" si="117"/>
        <v>7.7616237599999999E-2</v>
      </c>
      <c r="U81" s="5">
        <f t="shared" si="118"/>
        <v>0.17720602191780821</v>
      </c>
      <c r="V81" s="5">
        <f t="shared" si="111"/>
        <v>5.9331581400181667E-2</v>
      </c>
    </row>
    <row r="82" spans="2:22" x14ac:dyDescent="0.3">
      <c r="B82">
        <v>8</v>
      </c>
      <c r="C82">
        <v>3818.9</v>
      </c>
      <c r="D82">
        <v>16173.1</v>
      </c>
      <c r="E82">
        <v>5865.3</v>
      </c>
      <c r="F82">
        <f t="shared" si="108"/>
        <v>1.61731</v>
      </c>
      <c r="G82">
        <f t="shared" si="109"/>
        <v>0.38189000000000001</v>
      </c>
      <c r="H82">
        <f t="shared" si="110"/>
        <v>1.23542</v>
      </c>
      <c r="I82">
        <f t="shared" si="112"/>
        <v>0.58653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4.9756388558716405E-2</v>
      </c>
      <c r="P82" s="4">
        <v>5</v>
      </c>
      <c r="Q82" s="5">
        <f t="shared" si="115"/>
        <v>1.23542</v>
      </c>
      <c r="R82" s="5">
        <f t="shared" si="115"/>
        <v>0.58653</v>
      </c>
      <c r="S82" s="5">
        <f t="shared" si="116"/>
        <v>0.82353097200000003</v>
      </c>
      <c r="T82" s="5">
        <f t="shared" si="117"/>
        <v>4.9411858320000002E-2</v>
      </c>
      <c r="U82" s="5">
        <f t="shared" si="118"/>
        <v>0.11281246191780822</v>
      </c>
      <c r="V82" s="5">
        <f t="shared" si="111"/>
        <v>4.9756388558716405E-2</v>
      </c>
    </row>
    <row r="83" spans="2:22" x14ac:dyDescent="0.3">
      <c r="B83">
        <v>9</v>
      </c>
      <c r="C83">
        <v>-2157.6999999999998</v>
      </c>
      <c r="D83">
        <v>28134.2</v>
      </c>
      <c r="E83">
        <v>5696.3</v>
      </c>
      <c r="F83">
        <f t="shared" si="108"/>
        <v>2.8134200000000003</v>
      </c>
      <c r="G83">
        <f t="shared" si="109"/>
        <v>-0.21576999999999999</v>
      </c>
      <c r="H83">
        <f t="shared" si="110"/>
        <v>3.0291900000000003</v>
      </c>
      <c r="I83">
        <f t="shared" si="112"/>
        <v>0.56962999999999997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4.0100111147476712E-2</v>
      </c>
      <c r="P83" s="4">
        <v>8</v>
      </c>
      <c r="Q83" s="5">
        <f t="shared" si="115"/>
        <v>3.0291900000000003</v>
      </c>
      <c r="R83" s="5">
        <f t="shared" si="115"/>
        <v>0.56962999999999997</v>
      </c>
      <c r="S83" s="5">
        <f t="shared" si="116"/>
        <v>1.2620362837500001</v>
      </c>
      <c r="T83" s="5">
        <f t="shared" si="117"/>
        <v>7.5722177025000004E-2</v>
      </c>
      <c r="U83" s="5">
        <f t="shared" si="118"/>
        <v>0.17288168270547946</v>
      </c>
      <c r="V83" s="5">
        <f t="shared" si="111"/>
        <v>4.0100111147476712E-2</v>
      </c>
    </row>
    <row r="84" spans="2:22" x14ac:dyDescent="0.3">
      <c r="B84">
        <v>10</v>
      </c>
      <c r="C84">
        <v>1079</v>
      </c>
      <c r="D84">
        <v>29771.599999999999</v>
      </c>
      <c r="E84">
        <v>5680.2</v>
      </c>
      <c r="F84">
        <f t="shared" si="108"/>
        <v>2.97716</v>
      </c>
      <c r="G84">
        <f t="shared" si="109"/>
        <v>0.1079</v>
      </c>
      <c r="H84">
        <f t="shared" si="110"/>
        <v>2.8692600000000001</v>
      </c>
      <c r="I84">
        <f t="shared" si="112"/>
        <v>0.56801999999999997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2.8716423841564451E-2</v>
      </c>
      <c r="P84" s="4">
        <v>14</v>
      </c>
      <c r="Q84" s="5">
        <f t="shared" si="115"/>
        <v>2.8692600000000001</v>
      </c>
      <c r="R84" s="5">
        <f t="shared" si="115"/>
        <v>0.56801999999999997</v>
      </c>
      <c r="S84" s="5">
        <f t="shared" si="116"/>
        <v>0.68308882714285712</v>
      </c>
      <c r="T84" s="5">
        <f t="shared" si="117"/>
        <v>4.0985329628571425E-2</v>
      </c>
      <c r="U84" s="5">
        <f t="shared" si="118"/>
        <v>9.3573811937377696E-2</v>
      </c>
      <c r="V84" s="5">
        <f t="shared" si="111"/>
        <v>2.8716423841564451E-2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1.8518590550643938E-2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1.8518590550643938E-2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7573</v>
      </c>
      <c r="D89">
        <v>40110.699999999997</v>
      </c>
      <c r="E89">
        <v>9548.4</v>
      </c>
      <c r="F89">
        <f t="shared" ref="F89:F99" si="120">D89/10000</f>
        <v>4.0110700000000001</v>
      </c>
      <c r="G89">
        <f t="shared" ref="G89:G99" si="121">C89/10000</f>
        <v>0.75729999999999997</v>
      </c>
      <c r="H89">
        <f t="shared" ref="H89:H99" si="122">F89-G89</f>
        <v>3.2537700000000003</v>
      </c>
      <c r="I89">
        <f>E89/10000</f>
        <v>0.95483999999999991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0.3097018789688385</v>
      </c>
      <c r="P89" s="2">
        <v>3</v>
      </c>
      <c r="Q89" s="8">
        <f>H89</f>
        <v>3.2537700000000003</v>
      </c>
      <c r="R89" s="8">
        <f>I89</f>
        <v>0.95483999999999991</v>
      </c>
      <c r="S89" s="8">
        <f>Q89/10^6*$Z$4*$Z$3/P89*10^12</f>
        <v>3.6149384700000002</v>
      </c>
      <c r="T89" s="8">
        <f>S89*0.06</f>
        <v>0.2168963082</v>
      </c>
      <c r="U89" s="8">
        <f>S89/$Z$1</f>
        <v>0.49519705068493153</v>
      </c>
      <c r="V89" s="12">
        <f t="shared" ref="V89:V99" si="123">O89</f>
        <v>0.3097018789688385</v>
      </c>
    </row>
    <row r="90" spans="2:22" x14ac:dyDescent="0.3">
      <c r="B90">
        <v>2</v>
      </c>
      <c r="C90">
        <v>3943.6</v>
      </c>
      <c r="D90">
        <v>49179.199999999997</v>
      </c>
      <c r="E90">
        <v>7526.4</v>
      </c>
      <c r="F90">
        <f t="shared" si="120"/>
        <v>4.9179199999999996</v>
      </c>
      <c r="G90">
        <f t="shared" si="121"/>
        <v>0.39435999999999999</v>
      </c>
      <c r="H90">
        <f t="shared" si="122"/>
        <v>4.5235599999999998</v>
      </c>
      <c r="I90">
        <f t="shared" ref="I90:I99" si="124">E90/10000</f>
        <v>0.75263999999999998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0.27471743407789784</v>
      </c>
      <c r="P90" s="4">
        <v>3</v>
      </c>
      <c r="Q90" s="5">
        <f t="shared" ref="Q90:R99" si="127">H90</f>
        <v>4.5235599999999998</v>
      </c>
      <c r="R90" s="5">
        <f t="shared" si="127"/>
        <v>0.75263999999999998</v>
      </c>
      <c r="S90" s="5">
        <f t="shared" ref="S90:S99" si="128">Q90/10^6*$Z$4*$Z$3/P90*10^12</f>
        <v>5.0256751600000005</v>
      </c>
      <c r="T90" s="5">
        <f t="shared" ref="T90:T99" si="129">S90*0.06</f>
        <v>0.30154050960000001</v>
      </c>
      <c r="U90" s="5">
        <f t="shared" ref="U90:U99" si="130">S90/$Z$1</f>
        <v>0.68844865205479455</v>
      </c>
      <c r="V90" s="5">
        <f t="shared" si="123"/>
        <v>0.27471743407789784</v>
      </c>
    </row>
    <row r="91" spans="2:22" x14ac:dyDescent="0.3">
      <c r="B91">
        <v>3</v>
      </c>
      <c r="C91">
        <v>5294</v>
      </c>
      <c r="D91">
        <v>54634.9</v>
      </c>
      <c r="E91">
        <v>5797.6</v>
      </c>
      <c r="F91">
        <f t="shared" si="120"/>
        <v>5.4634900000000002</v>
      </c>
      <c r="G91">
        <f t="shared" si="121"/>
        <v>0.52939999999999998</v>
      </c>
      <c r="H91">
        <f t="shared" si="122"/>
        <v>4.9340900000000003</v>
      </c>
      <c r="I91">
        <f t="shared" si="124"/>
        <v>0.57976000000000005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0.23699700428354706</v>
      </c>
      <c r="P91" s="4">
        <v>3</v>
      </c>
      <c r="Q91" s="5">
        <f t="shared" si="127"/>
        <v>4.9340900000000003</v>
      </c>
      <c r="R91" s="5">
        <f t="shared" si="127"/>
        <v>0.57976000000000005</v>
      </c>
      <c r="S91" s="5">
        <f t="shared" si="128"/>
        <v>5.4817739899999998</v>
      </c>
      <c r="T91" s="5">
        <f t="shared" si="129"/>
        <v>0.32890643939999997</v>
      </c>
      <c r="U91" s="5">
        <f t="shared" si="130"/>
        <v>0.75092794383561645</v>
      </c>
      <c r="V91" s="5">
        <f t="shared" si="123"/>
        <v>0.23699700428354706</v>
      </c>
    </row>
    <row r="92" spans="2:22" x14ac:dyDescent="0.3">
      <c r="B92">
        <v>4</v>
      </c>
      <c r="C92">
        <v>6942</v>
      </c>
      <c r="D92">
        <v>44446.400000000001</v>
      </c>
      <c r="E92">
        <v>5723.5</v>
      </c>
      <c r="F92">
        <f t="shared" si="120"/>
        <v>4.4446399999999997</v>
      </c>
      <c r="G92">
        <f t="shared" si="121"/>
        <v>0.69420000000000004</v>
      </c>
      <c r="H92">
        <f t="shared" si="122"/>
        <v>3.7504399999999998</v>
      </c>
      <c r="I92">
        <f t="shared" si="124"/>
        <v>0.57235000000000003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0.14354332815453558</v>
      </c>
      <c r="P92" s="4">
        <v>3</v>
      </c>
      <c r="Q92" s="5">
        <f t="shared" si="127"/>
        <v>3.7504399999999998</v>
      </c>
      <c r="R92" s="5">
        <f t="shared" si="127"/>
        <v>0.57235000000000003</v>
      </c>
      <c r="S92" s="5">
        <f t="shared" si="128"/>
        <v>4.1667388399999989</v>
      </c>
      <c r="T92" s="5">
        <f t="shared" si="129"/>
        <v>0.25000433039999992</v>
      </c>
      <c r="U92" s="5">
        <f t="shared" si="130"/>
        <v>0.57078614246575332</v>
      </c>
      <c r="V92" s="5">
        <f t="shared" si="123"/>
        <v>0.14354332815453558</v>
      </c>
    </row>
    <row r="93" spans="2:22" x14ac:dyDescent="0.3">
      <c r="B93">
        <v>5</v>
      </c>
      <c r="C93">
        <v>5820.2</v>
      </c>
      <c r="D93">
        <v>28701.9</v>
      </c>
      <c r="E93">
        <v>6178.5</v>
      </c>
      <c r="F93">
        <f t="shared" si="120"/>
        <v>2.87019</v>
      </c>
      <c r="G93">
        <f t="shared" si="121"/>
        <v>0.58201999999999998</v>
      </c>
      <c r="H93">
        <f t="shared" si="122"/>
        <v>2.28817</v>
      </c>
      <c r="I93">
        <f t="shared" si="124"/>
        <v>0.61785000000000001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0.10374785627564892</v>
      </c>
      <c r="P93" s="4">
        <v>3</v>
      </c>
      <c r="Q93" s="5">
        <f t="shared" si="127"/>
        <v>2.28817</v>
      </c>
      <c r="R93" s="5">
        <f t="shared" si="127"/>
        <v>0.61785000000000001</v>
      </c>
      <c r="S93" s="5">
        <f t="shared" si="128"/>
        <v>2.5421568699999999</v>
      </c>
      <c r="T93" s="5">
        <f t="shared" si="129"/>
        <v>0.15252941219999999</v>
      </c>
      <c r="U93" s="5">
        <f t="shared" si="130"/>
        <v>0.34824066712328766</v>
      </c>
      <c r="V93" s="5">
        <f t="shared" si="123"/>
        <v>0.10374785627564892</v>
      </c>
    </row>
    <row r="94" spans="2:22" x14ac:dyDescent="0.3">
      <c r="B94">
        <v>6</v>
      </c>
      <c r="C94">
        <v>3830.7</v>
      </c>
      <c r="D94">
        <v>28231.4</v>
      </c>
      <c r="E94">
        <v>5073.2</v>
      </c>
      <c r="F94">
        <f t="shared" si="120"/>
        <v>2.82314</v>
      </c>
      <c r="G94">
        <f t="shared" si="121"/>
        <v>0.38306999999999997</v>
      </c>
      <c r="H94">
        <f t="shared" si="122"/>
        <v>2.44007</v>
      </c>
      <c r="I94">
        <f t="shared" si="124"/>
        <v>0.50731999999999999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7.1813494565586972E-2</v>
      </c>
      <c r="P94" s="4">
        <v>4</v>
      </c>
      <c r="Q94" s="5">
        <f t="shared" si="127"/>
        <v>2.44007</v>
      </c>
      <c r="R94" s="5">
        <f t="shared" si="127"/>
        <v>0.50731999999999999</v>
      </c>
      <c r="S94" s="5">
        <f t="shared" si="128"/>
        <v>2.0331883275000004</v>
      </c>
      <c r="T94" s="5">
        <f t="shared" si="129"/>
        <v>0.12199129965000002</v>
      </c>
      <c r="U94" s="5">
        <f t="shared" si="130"/>
        <v>0.27851894897260282</v>
      </c>
      <c r="V94" s="5">
        <f t="shared" si="123"/>
        <v>7.1813494565586972E-2</v>
      </c>
    </row>
    <row r="95" spans="2:22" x14ac:dyDescent="0.3">
      <c r="B95">
        <v>7</v>
      </c>
      <c r="C95">
        <v>2465.6</v>
      </c>
      <c r="D95">
        <v>18935.5</v>
      </c>
      <c r="E95">
        <v>5501.9</v>
      </c>
      <c r="F95">
        <f t="shared" si="120"/>
        <v>1.8935500000000001</v>
      </c>
      <c r="G95">
        <f t="shared" si="121"/>
        <v>0.24656</v>
      </c>
      <c r="H95">
        <f t="shared" si="122"/>
        <v>1.6469900000000002</v>
      </c>
      <c r="I95">
        <f t="shared" si="124"/>
        <v>0.55018999999999996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5.1915133725158956E-2</v>
      </c>
      <c r="P95" s="4">
        <v>4</v>
      </c>
      <c r="Q95" s="5">
        <f t="shared" si="127"/>
        <v>1.6469900000000002</v>
      </c>
      <c r="R95" s="5">
        <f t="shared" si="127"/>
        <v>0.55018999999999996</v>
      </c>
      <c r="S95" s="5">
        <f t="shared" si="128"/>
        <v>1.3723544175</v>
      </c>
      <c r="T95" s="5">
        <f t="shared" si="129"/>
        <v>8.2341265050000001E-2</v>
      </c>
      <c r="U95" s="5">
        <f t="shared" si="130"/>
        <v>0.1879937558219178</v>
      </c>
      <c r="V95" s="5">
        <f t="shared" si="123"/>
        <v>5.1915133725158956E-2</v>
      </c>
    </row>
    <row r="96" spans="2:22" x14ac:dyDescent="0.3">
      <c r="B96">
        <v>8</v>
      </c>
      <c r="C96">
        <v>-2560.3000000000002</v>
      </c>
      <c r="D96">
        <v>19437.2</v>
      </c>
      <c r="E96">
        <v>5811.1</v>
      </c>
      <c r="F96">
        <f t="shared" si="120"/>
        <v>1.9437200000000001</v>
      </c>
      <c r="G96">
        <f t="shared" si="121"/>
        <v>-0.25603000000000004</v>
      </c>
      <c r="H96">
        <f t="shared" si="122"/>
        <v>2.1997500000000003</v>
      </c>
      <c r="I96">
        <f t="shared" si="124"/>
        <v>0.58111000000000002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4.3536839988876856E-2</v>
      </c>
      <c r="P96" s="4">
        <v>5</v>
      </c>
      <c r="Q96" s="5">
        <f t="shared" si="127"/>
        <v>2.1997500000000003</v>
      </c>
      <c r="R96" s="5">
        <f t="shared" si="127"/>
        <v>0.58111000000000002</v>
      </c>
      <c r="S96" s="5">
        <f t="shared" si="128"/>
        <v>1.4663533500000003</v>
      </c>
      <c r="T96" s="5">
        <f t="shared" si="129"/>
        <v>8.7981201000000023E-2</v>
      </c>
      <c r="U96" s="5">
        <f t="shared" si="130"/>
        <v>0.20087032191780826</v>
      </c>
      <c r="V96" s="5">
        <f t="shared" si="123"/>
        <v>4.3536839988876856E-2</v>
      </c>
    </row>
    <row r="97" spans="2:22" x14ac:dyDescent="0.3">
      <c r="B97">
        <v>9</v>
      </c>
      <c r="C97">
        <v>2930.9</v>
      </c>
      <c r="D97">
        <v>33667.699999999997</v>
      </c>
      <c r="E97">
        <v>4401.2</v>
      </c>
      <c r="F97">
        <f t="shared" si="120"/>
        <v>3.3667699999999998</v>
      </c>
      <c r="G97">
        <f t="shared" si="121"/>
        <v>0.29309000000000002</v>
      </c>
      <c r="H97">
        <f t="shared" si="122"/>
        <v>3.07368</v>
      </c>
      <c r="I97">
        <f t="shared" si="124"/>
        <v>0.44011999999999996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3.5087597254042126E-2</v>
      </c>
      <c r="P97" s="4">
        <v>8</v>
      </c>
      <c r="Q97" s="5">
        <f t="shared" si="127"/>
        <v>3.07368</v>
      </c>
      <c r="R97" s="5">
        <f t="shared" si="127"/>
        <v>0.44011999999999996</v>
      </c>
      <c r="S97" s="5">
        <f t="shared" si="128"/>
        <v>1.28057193</v>
      </c>
      <c r="T97" s="5">
        <f t="shared" si="129"/>
        <v>7.6834315799999997E-2</v>
      </c>
      <c r="U97" s="5">
        <f t="shared" si="130"/>
        <v>0.17542081232876713</v>
      </c>
      <c r="V97" s="5">
        <f t="shared" si="123"/>
        <v>3.5087597254042126E-2</v>
      </c>
    </row>
    <row r="98" spans="2:22" x14ac:dyDescent="0.3">
      <c r="B98">
        <v>10</v>
      </c>
      <c r="C98">
        <v>3368.2</v>
      </c>
      <c r="D98">
        <v>17453.7</v>
      </c>
      <c r="E98">
        <v>5064.1000000000004</v>
      </c>
      <c r="F98">
        <f t="shared" si="120"/>
        <v>1.7453700000000001</v>
      </c>
      <c r="G98">
        <f t="shared" si="121"/>
        <v>0.33682000000000001</v>
      </c>
      <c r="H98">
        <f t="shared" si="122"/>
        <v>1.40855</v>
      </c>
      <c r="I98">
        <f t="shared" si="124"/>
        <v>0.50641000000000003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2.5126870861368895E-2</v>
      </c>
      <c r="P98" s="4">
        <v>14</v>
      </c>
      <c r="Q98" s="5">
        <f t="shared" si="127"/>
        <v>1.40855</v>
      </c>
      <c r="R98" s="5">
        <f t="shared" si="127"/>
        <v>0.50641000000000003</v>
      </c>
      <c r="S98" s="5">
        <f t="shared" si="128"/>
        <v>0.33533551071428574</v>
      </c>
      <c r="T98" s="5">
        <f t="shared" si="129"/>
        <v>2.0120130642857142E-2</v>
      </c>
      <c r="U98" s="5">
        <f t="shared" si="130"/>
        <v>4.5936371330724077E-2</v>
      </c>
      <c r="V98" s="5">
        <f t="shared" si="123"/>
        <v>2.5126870861368895E-2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1.6203766731813445E-2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1.6203766731813445E-2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-1958.7</v>
      </c>
      <c r="D103">
        <v>32673.3</v>
      </c>
      <c r="E103">
        <v>9715.2000000000007</v>
      </c>
      <c r="F103">
        <f t="shared" ref="F103:F113" si="132">D103/10000</f>
        <v>3.2673299999999998</v>
      </c>
      <c r="G103">
        <f t="shared" ref="G103:G113" si="133">C103/10000</f>
        <v>-0.19587000000000002</v>
      </c>
      <c r="H103">
        <f t="shared" ref="H103:H113" si="134">F103-G103</f>
        <v>3.4632000000000001</v>
      </c>
      <c r="I103">
        <f>E103/10000</f>
        <v>0.97152000000000005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0.27529055908341199</v>
      </c>
      <c r="P103" s="2">
        <v>3</v>
      </c>
      <c r="Q103" s="8">
        <f>H103</f>
        <v>3.4632000000000001</v>
      </c>
      <c r="R103" s="8">
        <f>I103</f>
        <v>0.97152000000000005</v>
      </c>
      <c r="S103" s="8">
        <f>Q103/10^6*$Z$4*$Z$3/P103*10^12</f>
        <v>3.8476152000000008</v>
      </c>
      <c r="T103" s="8">
        <f>S103*0.06</f>
        <v>0.23085691200000003</v>
      </c>
      <c r="U103" s="8">
        <f>S103/$Z$1</f>
        <v>0.52707057534246582</v>
      </c>
      <c r="V103" s="12">
        <f t="shared" ref="V103:V113" si="135">O103</f>
        <v>0.27529055908341199</v>
      </c>
    </row>
    <row r="104" spans="2:22" x14ac:dyDescent="0.3">
      <c r="B104">
        <v>2</v>
      </c>
      <c r="C104">
        <v>367.4</v>
      </c>
      <c r="D104">
        <v>42126.400000000001</v>
      </c>
      <c r="E104">
        <v>7162.1</v>
      </c>
      <c r="F104">
        <f t="shared" si="132"/>
        <v>4.2126400000000004</v>
      </c>
      <c r="G104">
        <f t="shared" si="133"/>
        <v>3.6739999999999995E-2</v>
      </c>
      <c r="H104">
        <f t="shared" si="134"/>
        <v>4.1759000000000004</v>
      </c>
      <c r="I104">
        <f t="shared" ref="I104:I113" si="136">E104/10000</f>
        <v>0.71621000000000001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0.24419327473590918</v>
      </c>
      <c r="P104" s="4">
        <v>3</v>
      </c>
      <c r="Q104" s="5">
        <f t="shared" ref="Q104:R113" si="139">H104</f>
        <v>4.1759000000000004</v>
      </c>
      <c r="R104" s="5">
        <f t="shared" si="139"/>
        <v>0.71621000000000001</v>
      </c>
      <c r="S104" s="5">
        <f t="shared" ref="S104:S113" si="140">Q104/10^6*$Z$4*$Z$3/P104*10^12</f>
        <v>4.6394249000000007</v>
      </c>
      <c r="T104" s="5">
        <f t="shared" ref="T104:T113" si="141">S104*0.06</f>
        <v>0.27836549400000005</v>
      </c>
      <c r="U104" s="5">
        <f t="shared" ref="U104:U113" si="142">S104/$Z$1</f>
        <v>0.63553765753424674</v>
      </c>
      <c r="V104" s="5">
        <f t="shared" si="135"/>
        <v>0.24419327473590918</v>
      </c>
    </row>
    <row r="105" spans="2:22" x14ac:dyDescent="0.3">
      <c r="B105">
        <v>3</v>
      </c>
      <c r="C105">
        <v>731.6</v>
      </c>
      <c r="D105">
        <v>46717</v>
      </c>
      <c r="E105">
        <v>4868</v>
      </c>
      <c r="F105">
        <f t="shared" si="132"/>
        <v>4.6717000000000004</v>
      </c>
      <c r="G105">
        <f t="shared" si="133"/>
        <v>7.3160000000000003E-2</v>
      </c>
      <c r="H105">
        <f t="shared" si="134"/>
        <v>4.5985400000000007</v>
      </c>
      <c r="I105">
        <f t="shared" si="136"/>
        <v>0.48680000000000001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0.21066400380759739</v>
      </c>
      <c r="P105" s="4">
        <v>3</v>
      </c>
      <c r="Q105" s="5">
        <f t="shared" si="139"/>
        <v>4.5985400000000007</v>
      </c>
      <c r="R105" s="5">
        <f t="shared" si="139"/>
        <v>0.48680000000000001</v>
      </c>
      <c r="S105" s="5">
        <f t="shared" si="140"/>
        <v>5.1089779400000017</v>
      </c>
      <c r="T105" s="5">
        <f t="shared" si="141"/>
        <v>0.3065386764000001</v>
      </c>
      <c r="U105" s="5">
        <f t="shared" si="142"/>
        <v>0.69985999178082214</v>
      </c>
      <c r="V105" s="5">
        <f t="shared" si="135"/>
        <v>0.21066400380759739</v>
      </c>
    </row>
    <row r="106" spans="2:22" x14ac:dyDescent="0.3">
      <c r="B106">
        <v>4</v>
      </c>
      <c r="C106">
        <v>1525.7</v>
      </c>
      <c r="D106">
        <v>36356.300000000003</v>
      </c>
      <c r="E106">
        <v>5673.6</v>
      </c>
      <c r="F106">
        <f t="shared" si="132"/>
        <v>3.6356300000000004</v>
      </c>
      <c r="G106">
        <f t="shared" si="133"/>
        <v>0.15257000000000001</v>
      </c>
      <c r="H106">
        <f t="shared" si="134"/>
        <v>3.4830600000000005</v>
      </c>
      <c r="I106">
        <f t="shared" si="136"/>
        <v>0.56736000000000009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0.12759406947069829</v>
      </c>
      <c r="P106" s="4">
        <v>3</v>
      </c>
      <c r="Q106" s="5">
        <f t="shared" si="139"/>
        <v>3.4830600000000005</v>
      </c>
      <c r="R106" s="5">
        <f t="shared" si="139"/>
        <v>0.56736000000000009</v>
      </c>
      <c r="S106" s="5">
        <f t="shared" si="140"/>
        <v>3.869679660000001</v>
      </c>
      <c r="T106" s="5">
        <f t="shared" si="141"/>
        <v>0.23218077960000005</v>
      </c>
      <c r="U106" s="5">
        <f t="shared" si="142"/>
        <v>0.53009310410958921</v>
      </c>
      <c r="V106" s="5">
        <f t="shared" si="135"/>
        <v>0.12759406947069829</v>
      </c>
    </row>
    <row r="107" spans="2:22" x14ac:dyDescent="0.3">
      <c r="B107">
        <v>5</v>
      </c>
      <c r="C107">
        <v>1329.7</v>
      </c>
      <c r="D107">
        <v>23166.9</v>
      </c>
      <c r="E107">
        <v>4534.3999999999996</v>
      </c>
      <c r="F107">
        <f t="shared" si="132"/>
        <v>2.3166900000000004</v>
      </c>
      <c r="G107">
        <f t="shared" si="133"/>
        <v>0.13297</v>
      </c>
      <c r="H107">
        <f t="shared" si="134"/>
        <v>2.1837200000000005</v>
      </c>
      <c r="I107">
        <f t="shared" si="136"/>
        <v>0.45343999999999995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9.2220316689465703E-2</v>
      </c>
      <c r="P107" s="4">
        <v>3</v>
      </c>
      <c r="Q107" s="5">
        <f t="shared" si="139"/>
        <v>2.1837200000000005</v>
      </c>
      <c r="R107" s="5">
        <f t="shared" si="139"/>
        <v>0.45343999999999995</v>
      </c>
      <c r="S107" s="5">
        <f t="shared" si="140"/>
        <v>2.4261129200000009</v>
      </c>
      <c r="T107" s="5">
        <f t="shared" si="141"/>
        <v>0.14556677520000005</v>
      </c>
      <c r="U107" s="5">
        <f t="shared" si="142"/>
        <v>0.3323442356164385</v>
      </c>
      <c r="V107" s="5">
        <f t="shared" si="135"/>
        <v>9.2220316689465703E-2</v>
      </c>
    </row>
    <row r="108" spans="2:22" x14ac:dyDescent="0.3">
      <c r="B108">
        <v>6</v>
      </c>
      <c r="C108">
        <v>-729.8</v>
      </c>
      <c r="D108">
        <v>20308</v>
      </c>
      <c r="E108">
        <v>5575.3</v>
      </c>
      <c r="F108">
        <f t="shared" si="132"/>
        <v>2.0308000000000002</v>
      </c>
      <c r="G108">
        <f t="shared" si="133"/>
        <v>-7.2979999999999989E-2</v>
      </c>
      <c r="H108">
        <f t="shared" si="134"/>
        <v>2.10378</v>
      </c>
      <c r="I108">
        <f t="shared" si="136"/>
        <v>0.55752999999999997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6.3834217391632864E-2</v>
      </c>
      <c r="P108" s="4">
        <v>4</v>
      </c>
      <c r="Q108" s="5">
        <f t="shared" si="139"/>
        <v>2.10378</v>
      </c>
      <c r="R108" s="5">
        <f t="shared" si="139"/>
        <v>0.55752999999999997</v>
      </c>
      <c r="S108" s="5">
        <f t="shared" si="140"/>
        <v>1.7529746850000001</v>
      </c>
      <c r="T108" s="5">
        <f t="shared" si="141"/>
        <v>0.1051784811</v>
      </c>
      <c r="U108" s="5">
        <f t="shared" si="142"/>
        <v>0.2401335184931507</v>
      </c>
      <c r="V108" s="5">
        <f t="shared" si="135"/>
        <v>6.3834217391632864E-2</v>
      </c>
    </row>
    <row r="109" spans="2:22" x14ac:dyDescent="0.3">
      <c r="B109">
        <v>7</v>
      </c>
      <c r="C109">
        <v>1813.1</v>
      </c>
      <c r="D109">
        <v>15891.6</v>
      </c>
      <c r="E109">
        <v>5257.4</v>
      </c>
      <c r="F109">
        <f t="shared" si="132"/>
        <v>1.5891600000000001</v>
      </c>
      <c r="G109">
        <f t="shared" si="133"/>
        <v>0.18131</v>
      </c>
      <c r="H109">
        <f t="shared" si="134"/>
        <v>1.40785</v>
      </c>
      <c r="I109">
        <f t="shared" si="136"/>
        <v>0.52573999999999999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4.6146785533474628E-2</v>
      </c>
      <c r="P109" s="4">
        <v>4</v>
      </c>
      <c r="Q109" s="5">
        <f t="shared" si="139"/>
        <v>1.40785</v>
      </c>
      <c r="R109" s="5">
        <f t="shared" si="139"/>
        <v>0.52573999999999999</v>
      </c>
      <c r="S109" s="5">
        <f t="shared" si="140"/>
        <v>1.1730910125</v>
      </c>
      <c r="T109" s="5">
        <f t="shared" si="141"/>
        <v>7.0385460750000003E-2</v>
      </c>
      <c r="U109" s="5">
        <f t="shared" si="142"/>
        <v>0.16069739897260274</v>
      </c>
      <c r="V109" s="5">
        <f t="shared" si="135"/>
        <v>4.6146785533474628E-2</v>
      </c>
    </row>
    <row r="110" spans="2:22" x14ac:dyDescent="0.3">
      <c r="B110">
        <v>8</v>
      </c>
      <c r="C110">
        <v>-817.4</v>
      </c>
      <c r="D110">
        <v>16220.7</v>
      </c>
      <c r="E110">
        <v>5305.7</v>
      </c>
      <c r="F110">
        <f t="shared" si="132"/>
        <v>1.6220700000000001</v>
      </c>
      <c r="G110">
        <f t="shared" si="133"/>
        <v>-8.1739999999999993E-2</v>
      </c>
      <c r="H110">
        <f t="shared" si="134"/>
        <v>1.70381</v>
      </c>
      <c r="I110">
        <f t="shared" si="136"/>
        <v>0.53056999999999999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3.8699413323446091E-2</v>
      </c>
      <c r="P110" s="4">
        <v>5</v>
      </c>
      <c r="Q110" s="5">
        <f t="shared" si="139"/>
        <v>1.70381</v>
      </c>
      <c r="R110" s="5">
        <f t="shared" si="139"/>
        <v>0.53056999999999999</v>
      </c>
      <c r="S110" s="5">
        <f t="shared" si="140"/>
        <v>1.135759746</v>
      </c>
      <c r="T110" s="5">
        <f t="shared" si="141"/>
        <v>6.8145584759999989E-2</v>
      </c>
      <c r="U110" s="5">
        <f t="shared" si="142"/>
        <v>0.15558352684931506</v>
      </c>
      <c r="V110" s="5">
        <f t="shared" si="135"/>
        <v>3.8699413323446091E-2</v>
      </c>
    </row>
    <row r="111" spans="2:22" x14ac:dyDescent="0.3">
      <c r="B111">
        <v>9</v>
      </c>
      <c r="C111">
        <v>998</v>
      </c>
      <c r="D111">
        <v>29832.2</v>
      </c>
      <c r="E111">
        <v>4637.2</v>
      </c>
      <c r="F111">
        <f t="shared" si="132"/>
        <v>2.9832200000000002</v>
      </c>
      <c r="G111">
        <f t="shared" si="133"/>
        <v>9.98E-2</v>
      </c>
      <c r="H111">
        <f t="shared" si="134"/>
        <v>2.8834200000000001</v>
      </c>
      <c r="I111">
        <f t="shared" si="136"/>
        <v>0.46371999999999997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3.1188975336926335E-2</v>
      </c>
      <c r="P111" s="4">
        <v>8</v>
      </c>
      <c r="Q111" s="5">
        <f t="shared" si="139"/>
        <v>2.8834200000000001</v>
      </c>
      <c r="R111" s="5">
        <f t="shared" si="139"/>
        <v>0.46371999999999997</v>
      </c>
      <c r="S111" s="5">
        <f t="shared" si="140"/>
        <v>1.2013048574999998</v>
      </c>
      <c r="T111" s="5">
        <f t="shared" si="141"/>
        <v>7.2078291449999984E-2</v>
      </c>
      <c r="U111" s="5">
        <f t="shared" si="142"/>
        <v>0.16456230924657533</v>
      </c>
      <c r="V111" s="5">
        <f t="shared" si="135"/>
        <v>3.1188975336926335E-2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2.2334996321216796E-2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2.2334996321216796E-2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1.4403348206056396E-2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1.4403348206056396E-2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2560.3000000000002</v>
      </c>
      <c r="D117">
        <v>35052.400000000001</v>
      </c>
      <c r="E117">
        <v>8883.2999999999993</v>
      </c>
      <c r="F117">
        <f t="shared" ref="F117:F127" si="144">D117/10000</f>
        <v>3.5052400000000001</v>
      </c>
      <c r="G117">
        <f t="shared" ref="G117:G127" si="145">C117/10000</f>
        <v>0.25603000000000004</v>
      </c>
      <c r="H117">
        <f t="shared" ref="H117:H127" si="146">F117-G117</f>
        <v>3.2492100000000002</v>
      </c>
      <c r="I117">
        <f>E117/10000</f>
        <v>0.88832999999999995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0.24776150317507079</v>
      </c>
      <c r="P117" s="2">
        <v>3</v>
      </c>
      <c r="Q117" s="8">
        <f>H117</f>
        <v>3.2492100000000002</v>
      </c>
      <c r="R117" s="8">
        <f>I117</f>
        <v>0.88832999999999995</v>
      </c>
      <c r="S117" s="8">
        <f>Q117/10^6*$Z$4*$Z$3/P117*10^12</f>
        <v>3.6098723099999996</v>
      </c>
      <c r="T117" s="8">
        <f>S117*0.06</f>
        <v>0.21659233859999996</v>
      </c>
      <c r="U117" s="8">
        <f>S117/$Z$1</f>
        <v>0.4945030561643835</v>
      </c>
      <c r="V117" s="12">
        <f t="shared" ref="V117:V127" si="147">O117</f>
        <v>0.24776150317507079</v>
      </c>
    </row>
    <row r="118" spans="2:22" x14ac:dyDescent="0.3">
      <c r="B118">
        <v>2</v>
      </c>
      <c r="C118">
        <v>4038.6</v>
      </c>
      <c r="D118">
        <v>44640.5</v>
      </c>
      <c r="E118">
        <v>7620.5</v>
      </c>
      <c r="F118">
        <f t="shared" si="144"/>
        <v>4.4640500000000003</v>
      </c>
      <c r="G118">
        <f t="shared" si="145"/>
        <v>0.40386</v>
      </c>
      <c r="H118">
        <f t="shared" si="146"/>
        <v>4.0601900000000004</v>
      </c>
      <c r="I118">
        <f t="shared" ref="I118:I127" si="148">E118/10000</f>
        <v>0.76205000000000001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0.21977394726231828</v>
      </c>
      <c r="P118" s="4">
        <v>3</v>
      </c>
      <c r="Q118" s="5">
        <f t="shared" ref="Q118:R127" si="151">H118</f>
        <v>4.0601900000000004</v>
      </c>
      <c r="R118" s="5">
        <f t="shared" si="151"/>
        <v>0.76205000000000001</v>
      </c>
      <c r="S118" s="5">
        <f t="shared" ref="S118:S127" si="152">Q118/10^6*$Z$4*$Z$3/P118*10^12</f>
        <v>4.5108710900000011</v>
      </c>
      <c r="T118" s="5">
        <f t="shared" ref="T118:T127" si="153">S118*0.06</f>
        <v>0.27065226540000004</v>
      </c>
      <c r="U118" s="5">
        <f t="shared" ref="U118:U127" si="154">S118/$Z$1</f>
        <v>0.61792754657534266</v>
      </c>
      <c r="V118" s="5">
        <f t="shared" si="147"/>
        <v>0.21977394726231828</v>
      </c>
    </row>
    <row r="119" spans="2:22" x14ac:dyDescent="0.3">
      <c r="B119">
        <v>3</v>
      </c>
      <c r="C119">
        <v>2523.8000000000002</v>
      </c>
      <c r="D119">
        <v>50444.5</v>
      </c>
      <c r="E119">
        <v>5725.9</v>
      </c>
      <c r="F119">
        <f t="shared" si="144"/>
        <v>5.0444500000000003</v>
      </c>
      <c r="G119">
        <f t="shared" si="145"/>
        <v>0.25237999999999999</v>
      </c>
      <c r="H119">
        <f t="shared" si="146"/>
        <v>4.7920700000000007</v>
      </c>
      <c r="I119">
        <f t="shared" si="148"/>
        <v>0.57258999999999993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0.18959760342683765</v>
      </c>
      <c r="P119" s="4">
        <v>3</v>
      </c>
      <c r="Q119" s="5">
        <f t="shared" si="151"/>
        <v>4.7920700000000007</v>
      </c>
      <c r="R119" s="5">
        <f t="shared" si="151"/>
        <v>0.57258999999999993</v>
      </c>
      <c r="S119" s="5">
        <f t="shared" si="152"/>
        <v>5.3239897700000007</v>
      </c>
      <c r="T119" s="5">
        <f t="shared" si="153"/>
        <v>0.31943938620000001</v>
      </c>
      <c r="U119" s="5">
        <f t="shared" si="154"/>
        <v>0.72931366712328782</v>
      </c>
      <c r="V119" s="5">
        <f t="shared" si="147"/>
        <v>0.18959760342683765</v>
      </c>
    </row>
    <row r="120" spans="2:22" x14ac:dyDescent="0.3">
      <c r="B120">
        <v>4</v>
      </c>
      <c r="C120">
        <v>4042.3</v>
      </c>
      <c r="D120">
        <v>33587.699999999997</v>
      </c>
      <c r="E120">
        <v>4953</v>
      </c>
      <c r="F120">
        <f t="shared" si="144"/>
        <v>3.3587699999999998</v>
      </c>
      <c r="G120">
        <f t="shared" si="145"/>
        <v>0.40423000000000003</v>
      </c>
      <c r="H120">
        <f t="shared" si="146"/>
        <v>2.9545399999999997</v>
      </c>
      <c r="I120">
        <f t="shared" si="148"/>
        <v>0.49530000000000002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0.11483466252362846</v>
      </c>
      <c r="P120" s="4">
        <v>3</v>
      </c>
      <c r="Q120" s="5">
        <f t="shared" si="151"/>
        <v>2.9545399999999997</v>
      </c>
      <c r="R120" s="5">
        <f t="shared" si="151"/>
        <v>0.49530000000000002</v>
      </c>
      <c r="S120" s="5">
        <f t="shared" si="152"/>
        <v>3.2824939399999993</v>
      </c>
      <c r="T120" s="5">
        <f t="shared" si="153"/>
        <v>0.19694963639999996</v>
      </c>
      <c r="U120" s="5">
        <f t="shared" si="154"/>
        <v>0.44965670410958897</v>
      </c>
      <c r="V120" s="5">
        <f t="shared" si="147"/>
        <v>0.11483466252362846</v>
      </c>
    </row>
    <row r="121" spans="2:22" x14ac:dyDescent="0.3">
      <c r="B121">
        <v>5</v>
      </c>
      <c r="C121">
        <v>3042.7</v>
      </c>
      <c r="D121">
        <v>24914.400000000001</v>
      </c>
      <c r="E121">
        <v>4806.3</v>
      </c>
      <c r="F121">
        <f t="shared" si="144"/>
        <v>2.4914400000000003</v>
      </c>
      <c r="G121">
        <f t="shared" si="145"/>
        <v>0.30426999999999998</v>
      </c>
      <c r="H121">
        <f t="shared" si="146"/>
        <v>2.1871700000000005</v>
      </c>
      <c r="I121">
        <f t="shared" si="148"/>
        <v>0.48063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8.2998285020519133E-2</v>
      </c>
      <c r="P121" s="4">
        <v>3</v>
      </c>
      <c r="Q121" s="5">
        <f t="shared" si="151"/>
        <v>2.1871700000000005</v>
      </c>
      <c r="R121" s="5">
        <f t="shared" si="151"/>
        <v>0.48063</v>
      </c>
      <c r="S121" s="5">
        <f t="shared" si="152"/>
        <v>2.4299458700000005</v>
      </c>
      <c r="T121" s="5">
        <f t="shared" si="153"/>
        <v>0.14579675220000002</v>
      </c>
      <c r="U121" s="5">
        <f t="shared" si="154"/>
        <v>0.33286929726027403</v>
      </c>
      <c r="V121" s="5">
        <f t="shared" si="147"/>
        <v>8.2998285020519133E-2</v>
      </c>
    </row>
    <row r="122" spans="2:22" x14ac:dyDescent="0.3">
      <c r="B122">
        <v>6</v>
      </c>
      <c r="C122">
        <v>3203</v>
      </c>
      <c r="D122">
        <v>22289.200000000001</v>
      </c>
      <c r="E122">
        <v>5348.9</v>
      </c>
      <c r="F122">
        <f t="shared" si="144"/>
        <v>2.22892</v>
      </c>
      <c r="G122">
        <f t="shared" si="145"/>
        <v>0.32029999999999997</v>
      </c>
      <c r="H122">
        <f t="shared" si="146"/>
        <v>1.90862</v>
      </c>
      <c r="I122">
        <f t="shared" si="148"/>
        <v>0.53488999999999998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5.7450795652469577E-2</v>
      </c>
      <c r="P122" s="4">
        <v>4</v>
      </c>
      <c r="Q122" s="5">
        <f t="shared" si="151"/>
        <v>1.90862</v>
      </c>
      <c r="R122" s="5">
        <f t="shared" si="151"/>
        <v>0.53488999999999998</v>
      </c>
      <c r="S122" s="5">
        <f t="shared" si="152"/>
        <v>1.5903576150000001</v>
      </c>
      <c r="T122" s="5">
        <f t="shared" si="153"/>
        <v>9.5421456900000007E-2</v>
      </c>
      <c r="U122" s="5">
        <f t="shared" si="154"/>
        <v>0.21785720753424659</v>
      </c>
      <c r="V122" s="5">
        <f t="shared" si="147"/>
        <v>5.7450795652469577E-2</v>
      </c>
    </row>
    <row r="123" spans="2:22" x14ac:dyDescent="0.3">
      <c r="B123">
        <v>7</v>
      </c>
      <c r="C123">
        <v>5941.3</v>
      </c>
      <c r="D123">
        <v>18114.599999999999</v>
      </c>
      <c r="E123">
        <v>5630</v>
      </c>
      <c r="F123">
        <f t="shared" si="144"/>
        <v>1.8114599999999998</v>
      </c>
      <c r="G123">
        <f t="shared" si="145"/>
        <v>0.59413000000000005</v>
      </c>
      <c r="H123">
        <f t="shared" si="146"/>
        <v>1.2173299999999998</v>
      </c>
      <c r="I123">
        <f t="shared" si="148"/>
        <v>0.56299999999999994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4.1532106980127166E-2</v>
      </c>
      <c r="P123" s="4">
        <v>4</v>
      </c>
      <c r="Q123" s="5">
        <f t="shared" si="151"/>
        <v>1.2173299999999998</v>
      </c>
      <c r="R123" s="5">
        <f t="shared" si="151"/>
        <v>0.56299999999999994</v>
      </c>
      <c r="S123" s="5">
        <f t="shared" si="152"/>
        <v>1.0143402225</v>
      </c>
      <c r="T123" s="5">
        <f t="shared" si="153"/>
        <v>6.0860413349999996E-2</v>
      </c>
      <c r="U123" s="5">
        <f t="shared" si="154"/>
        <v>0.13895071541095891</v>
      </c>
      <c r="V123" s="5">
        <f t="shared" si="147"/>
        <v>4.1532106980127166E-2</v>
      </c>
    </row>
    <row r="124" spans="2:22" x14ac:dyDescent="0.3">
      <c r="B124">
        <v>8</v>
      </c>
      <c r="C124">
        <v>5021.3999999999996</v>
      </c>
      <c r="D124">
        <v>20089</v>
      </c>
      <c r="E124">
        <v>5575.2</v>
      </c>
      <c r="F124">
        <f t="shared" si="144"/>
        <v>2.0089000000000001</v>
      </c>
      <c r="G124">
        <f t="shared" si="145"/>
        <v>0.50213999999999992</v>
      </c>
      <c r="H124">
        <f t="shared" si="146"/>
        <v>1.5067600000000003</v>
      </c>
      <c r="I124">
        <f t="shared" si="148"/>
        <v>0.55752000000000002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3.4829471991101486E-2</v>
      </c>
      <c r="P124" s="4">
        <v>5</v>
      </c>
      <c r="Q124" s="5">
        <f t="shared" si="151"/>
        <v>1.5067600000000003</v>
      </c>
      <c r="R124" s="5">
        <f t="shared" si="151"/>
        <v>0.55752000000000002</v>
      </c>
      <c r="S124" s="5">
        <f t="shared" si="152"/>
        <v>1.0044062160000002</v>
      </c>
      <c r="T124" s="5">
        <f t="shared" si="153"/>
        <v>6.0264372960000014E-2</v>
      </c>
      <c r="U124" s="5">
        <f t="shared" si="154"/>
        <v>0.13758989260273977</v>
      </c>
      <c r="V124" s="5">
        <f t="shared" si="147"/>
        <v>3.4829471991101486E-2</v>
      </c>
    </row>
    <row r="125" spans="2:22" x14ac:dyDescent="0.3">
      <c r="B125">
        <v>9</v>
      </c>
      <c r="C125">
        <v>4720.5</v>
      </c>
      <c r="D125">
        <v>34033.599999999999</v>
      </c>
      <c r="E125">
        <v>4019</v>
      </c>
      <c r="F125">
        <f t="shared" si="144"/>
        <v>3.4033599999999997</v>
      </c>
      <c r="G125">
        <f t="shared" si="145"/>
        <v>0.47205000000000003</v>
      </c>
      <c r="H125">
        <f t="shared" si="146"/>
        <v>2.9313099999999999</v>
      </c>
      <c r="I125">
        <f t="shared" si="148"/>
        <v>0.40189999999999998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2.8070077803233701E-2</v>
      </c>
      <c r="P125" s="4">
        <v>8</v>
      </c>
      <c r="Q125" s="5">
        <f t="shared" si="151"/>
        <v>2.9313099999999999</v>
      </c>
      <c r="R125" s="5">
        <f t="shared" si="151"/>
        <v>0.40189999999999998</v>
      </c>
      <c r="S125" s="5">
        <f t="shared" si="152"/>
        <v>1.2212570287500002</v>
      </c>
      <c r="T125" s="5">
        <f t="shared" si="153"/>
        <v>7.3275421725000012E-2</v>
      </c>
      <c r="U125" s="5">
        <f t="shared" si="154"/>
        <v>0.16729548339041098</v>
      </c>
      <c r="V125" s="5">
        <f t="shared" si="147"/>
        <v>2.8070077803233701E-2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2.0101496689095118E-2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2.0101496689095118E-2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1.2963013385450755E-2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1.2963013385450755E-2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15431.7</v>
      </c>
      <c r="D131">
        <v>43198.5</v>
      </c>
      <c r="E131">
        <v>10102.5</v>
      </c>
      <c r="F131">
        <f t="shared" ref="F131:F141" si="156">D131/10000</f>
        <v>4.3198499999999997</v>
      </c>
      <c r="G131">
        <f t="shared" ref="G131:G141" si="157">C131/10000</f>
        <v>1.5431700000000002</v>
      </c>
      <c r="H131">
        <f t="shared" ref="H131:H141" si="158">F131-G131</f>
        <v>2.7766799999999998</v>
      </c>
      <c r="I131">
        <f>E131/10000</f>
        <v>1.0102500000000001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0.1651743354500472</v>
      </c>
      <c r="P131" s="2">
        <v>3</v>
      </c>
      <c r="Q131" s="8">
        <f>H131</f>
        <v>2.7766799999999998</v>
      </c>
      <c r="R131" s="8">
        <f>I131</f>
        <v>1.0102500000000001</v>
      </c>
      <c r="S131" s="8">
        <f>Q131/10^6*$Z$4*$Z$3/P131*10^12</f>
        <v>3.0848914800000005</v>
      </c>
      <c r="T131" s="8">
        <f>S131*0.06</f>
        <v>0.18509348880000001</v>
      </c>
      <c r="U131" s="8">
        <f>S131/$Z$1</f>
        <v>0.42258787397260283</v>
      </c>
      <c r="V131" s="12">
        <f t="shared" ref="V131:V141" si="159">O131</f>
        <v>0.1651743354500472</v>
      </c>
    </row>
    <row r="132" spans="2:22" x14ac:dyDescent="0.3">
      <c r="B132">
        <v>2</v>
      </c>
      <c r="C132">
        <v>8210.2000000000007</v>
      </c>
      <c r="D132">
        <v>48049</v>
      </c>
      <c r="E132">
        <v>9044.6</v>
      </c>
      <c r="F132">
        <f t="shared" si="156"/>
        <v>4.8048999999999999</v>
      </c>
      <c r="G132">
        <f t="shared" si="157"/>
        <v>0.82102000000000008</v>
      </c>
      <c r="H132">
        <f t="shared" si="158"/>
        <v>3.9838800000000001</v>
      </c>
      <c r="I132">
        <f t="shared" ref="I132:I141" si="160">E132/10000</f>
        <v>0.90446000000000004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0.14651596484154553</v>
      </c>
      <c r="P132" s="4">
        <v>3</v>
      </c>
      <c r="Q132" s="5">
        <f t="shared" ref="Q132:R141" si="163">H132</f>
        <v>3.9838800000000001</v>
      </c>
      <c r="R132" s="5">
        <f t="shared" si="163"/>
        <v>0.90446000000000004</v>
      </c>
      <c r="S132" s="5">
        <f t="shared" ref="S132:S141" si="164">Q132/10^6*$Z$4*$Z$3/P132*10^12</f>
        <v>4.4260906800000006</v>
      </c>
      <c r="T132" s="5">
        <f t="shared" ref="T132:T141" si="165">S132*0.06</f>
        <v>0.26556544080000005</v>
      </c>
      <c r="U132" s="5">
        <f t="shared" ref="U132:U141" si="166">S132/$Z$1</f>
        <v>0.60631379178082201</v>
      </c>
      <c r="V132" s="5">
        <f t="shared" si="159"/>
        <v>0.14651596484154553</v>
      </c>
    </row>
    <row r="133" spans="2:22" x14ac:dyDescent="0.3">
      <c r="B133">
        <v>3</v>
      </c>
      <c r="C133">
        <v>8181.4</v>
      </c>
      <c r="D133">
        <v>54974.1</v>
      </c>
      <c r="E133">
        <v>9362.6</v>
      </c>
      <c r="F133">
        <f t="shared" si="156"/>
        <v>5.4974099999999995</v>
      </c>
      <c r="G133">
        <f t="shared" si="157"/>
        <v>0.81813999999999998</v>
      </c>
      <c r="H133">
        <f t="shared" si="158"/>
        <v>4.6792699999999998</v>
      </c>
      <c r="I133">
        <f t="shared" si="160"/>
        <v>0.93625999999999998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0.12639840228455843</v>
      </c>
      <c r="P133" s="4">
        <v>3</v>
      </c>
      <c r="Q133" s="5">
        <f t="shared" si="163"/>
        <v>4.6792699999999998</v>
      </c>
      <c r="R133" s="5">
        <f t="shared" si="163"/>
        <v>0.93625999999999998</v>
      </c>
      <c r="S133" s="5">
        <f t="shared" si="164"/>
        <v>5.1986689700000008</v>
      </c>
      <c r="T133" s="5">
        <f t="shared" si="165"/>
        <v>0.31192013820000003</v>
      </c>
      <c r="U133" s="5">
        <f t="shared" si="166"/>
        <v>0.71214643424657542</v>
      </c>
      <c r="V133" s="5">
        <f t="shared" si="159"/>
        <v>0.12639840228455843</v>
      </c>
    </row>
    <row r="134" spans="2:22" x14ac:dyDescent="0.3">
      <c r="B134">
        <v>4</v>
      </c>
      <c r="C134">
        <v>12094.3</v>
      </c>
      <c r="D134">
        <v>32624.799999999999</v>
      </c>
      <c r="E134">
        <v>20600.8</v>
      </c>
      <c r="F134">
        <f t="shared" si="156"/>
        <v>3.26248</v>
      </c>
      <c r="G134">
        <f t="shared" si="157"/>
        <v>1.20943</v>
      </c>
      <c r="H134">
        <f t="shared" si="158"/>
        <v>2.0530499999999998</v>
      </c>
      <c r="I134">
        <f t="shared" si="160"/>
        <v>2.0600800000000001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7.6556441682418971E-2</v>
      </c>
      <c r="P134" s="4">
        <v>3</v>
      </c>
      <c r="Q134" s="5">
        <f t="shared" si="163"/>
        <v>2.0530499999999998</v>
      </c>
      <c r="R134" s="5">
        <f t="shared" si="163"/>
        <v>2.0600800000000001</v>
      </c>
      <c r="S134" s="5">
        <f t="shared" si="164"/>
        <v>2.2809385500000001</v>
      </c>
      <c r="T134" s="5">
        <f t="shared" si="165"/>
        <v>0.13685631300000001</v>
      </c>
      <c r="U134" s="5">
        <f t="shared" si="166"/>
        <v>0.3124573356164384</v>
      </c>
      <c r="V134" s="5">
        <f t="shared" si="159"/>
        <v>7.6556441682418971E-2</v>
      </c>
    </row>
    <row r="135" spans="2:22" x14ac:dyDescent="0.3">
      <c r="B135">
        <v>5</v>
      </c>
      <c r="C135">
        <v>10687.5</v>
      </c>
      <c r="D135">
        <v>5678.2</v>
      </c>
      <c r="E135">
        <v>27076.9</v>
      </c>
      <c r="F135">
        <f t="shared" si="156"/>
        <v>0.56781999999999999</v>
      </c>
      <c r="G135">
        <f t="shared" si="157"/>
        <v>1.0687500000000001</v>
      </c>
      <c r="H135">
        <f t="shared" si="158"/>
        <v>-0.5009300000000001</v>
      </c>
      <c r="I135">
        <f t="shared" si="160"/>
        <v>2.7076899999999999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5.5332190013679422E-2</v>
      </c>
      <c r="P135" s="4">
        <v>3</v>
      </c>
      <c r="Q135" s="5">
        <f t="shared" si="163"/>
        <v>-0.5009300000000001</v>
      </c>
      <c r="R135" s="5">
        <f t="shared" si="163"/>
        <v>2.7076899999999999</v>
      </c>
      <c r="S135" s="5">
        <f t="shared" si="164"/>
        <v>-0.55653323000000021</v>
      </c>
      <c r="T135" s="5">
        <f t="shared" si="165"/>
        <v>-3.3391993800000012E-2</v>
      </c>
      <c r="U135" s="5">
        <f t="shared" si="166"/>
        <v>-7.6237428767123319E-2</v>
      </c>
      <c r="V135" s="5">
        <f t="shared" si="159"/>
        <v>5.5332190013679422E-2</v>
      </c>
    </row>
    <row r="136" spans="2:22" x14ac:dyDescent="0.3">
      <c r="B136">
        <v>6</v>
      </c>
      <c r="C136">
        <v>12877.5</v>
      </c>
      <c r="D136">
        <v>26649.7</v>
      </c>
      <c r="E136">
        <v>9195.2000000000007</v>
      </c>
      <c r="F136">
        <f t="shared" si="156"/>
        <v>2.6649700000000003</v>
      </c>
      <c r="G136">
        <f t="shared" si="157"/>
        <v>1.28775</v>
      </c>
      <c r="H136">
        <f t="shared" si="158"/>
        <v>1.3772200000000003</v>
      </c>
      <c r="I136">
        <f t="shared" si="160"/>
        <v>0.91952000000000012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3.8300530434979718E-2</v>
      </c>
      <c r="P136" s="4">
        <v>4</v>
      </c>
      <c r="Q136" s="5">
        <f t="shared" si="163"/>
        <v>1.3772200000000003</v>
      </c>
      <c r="R136" s="5">
        <f t="shared" si="163"/>
        <v>0.91952000000000012</v>
      </c>
      <c r="S136" s="5">
        <f t="shared" si="164"/>
        <v>1.1475685650000003</v>
      </c>
      <c r="T136" s="5">
        <f t="shared" si="165"/>
        <v>6.8854113900000014E-2</v>
      </c>
      <c r="U136" s="5">
        <f t="shared" si="166"/>
        <v>0.15720117328767128</v>
      </c>
      <c r="V136" s="5">
        <f t="shared" si="159"/>
        <v>3.8300530434979718E-2</v>
      </c>
    </row>
    <row r="137" spans="2:22" x14ac:dyDescent="0.3">
      <c r="B137">
        <v>7</v>
      </c>
      <c r="C137">
        <v>13466.4</v>
      </c>
      <c r="D137">
        <v>23064.1</v>
      </c>
      <c r="E137">
        <v>6106.1</v>
      </c>
      <c r="F137">
        <f t="shared" si="156"/>
        <v>2.3064100000000001</v>
      </c>
      <c r="G137">
        <f t="shared" si="157"/>
        <v>1.3466400000000001</v>
      </c>
      <c r="H137">
        <f t="shared" si="158"/>
        <v>0.95977000000000001</v>
      </c>
      <c r="I137">
        <f t="shared" si="160"/>
        <v>0.61060999999999999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2.7688071320084776E-2</v>
      </c>
      <c r="P137" s="4">
        <v>4</v>
      </c>
      <c r="Q137" s="5">
        <f t="shared" si="163"/>
        <v>0.95977000000000001</v>
      </c>
      <c r="R137" s="5">
        <f t="shared" si="163"/>
        <v>0.61060999999999999</v>
      </c>
      <c r="S137" s="5">
        <f t="shared" si="164"/>
        <v>0.79972835249999996</v>
      </c>
      <c r="T137" s="5">
        <f t="shared" si="165"/>
        <v>4.7983701149999995E-2</v>
      </c>
      <c r="U137" s="5">
        <f t="shared" si="166"/>
        <v>0.10955182910958904</v>
      </c>
      <c r="V137" s="5">
        <f t="shared" si="159"/>
        <v>2.7688071320084776E-2</v>
      </c>
    </row>
    <row r="138" spans="2:22" x14ac:dyDescent="0.3">
      <c r="B138">
        <v>8</v>
      </c>
      <c r="C138">
        <v>13717.8</v>
      </c>
      <c r="D138">
        <v>24138.6</v>
      </c>
      <c r="E138">
        <v>6673.7</v>
      </c>
      <c r="F138">
        <f t="shared" si="156"/>
        <v>2.4138599999999997</v>
      </c>
      <c r="G138">
        <f t="shared" si="157"/>
        <v>1.37178</v>
      </c>
      <c r="H138">
        <f t="shared" si="158"/>
        <v>1.0420799999999997</v>
      </c>
      <c r="I138">
        <f t="shared" si="160"/>
        <v>0.66737000000000002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2.3219647994067658E-2</v>
      </c>
      <c r="P138" s="4">
        <v>5</v>
      </c>
      <c r="Q138" s="5">
        <f t="shared" si="163"/>
        <v>1.0420799999999997</v>
      </c>
      <c r="R138" s="5">
        <f t="shared" si="163"/>
        <v>0.66737000000000002</v>
      </c>
      <c r="S138" s="5">
        <f t="shared" si="164"/>
        <v>0.69465052799999971</v>
      </c>
      <c r="T138" s="5">
        <f t="shared" si="165"/>
        <v>4.1679031679999978E-2</v>
      </c>
      <c r="U138" s="5">
        <f t="shared" si="166"/>
        <v>9.5157606575342432E-2</v>
      </c>
      <c r="V138" s="5">
        <f t="shared" si="159"/>
        <v>2.3219647994067658E-2</v>
      </c>
    </row>
    <row r="139" spans="2:22" x14ac:dyDescent="0.3">
      <c r="B139">
        <v>9</v>
      </c>
      <c r="C139">
        <v>12541.4</v>
      </c>
      <c r="D139">
        <v>35438.1</v>
      </c>
      <c r="E139">
        <v>6698.9</v>
      </c>
      <c r="F139">
        <f t="shared" si="156"/>
        <v>3.5438099999999997</v>
      </c>
      <c r="G139">
        <f t="shared" si="157"/>
        <v>1.25414</v>
      </c>
      <c r="H139">
        <f t="shared" si="158"/>
        <v>2.2896699999999996</v>
      </c>
      <c r="I139">
        <f t="shared" si="160"/>
        <v>0.66988999999999999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1.8713385202155802E-2</v>
      </c>
      <c r="P139" s="4">
        <v>8</v>
      </c>
      <c r="Q139" s="5">
        <f t="shared" si="163"/>
        <v>2.2896699999999996</v>
      </c>
      <c r="R139" s="5">
        <f t="shared" si="163"/>
        <v>0.66988999999999999</v>
      </c>
      <c r="S139" s="5">
        <f t="shared" si="164"/>
        <v>0.95393376374999983</v>
      </c>
      <c r="T139" s="5">
        <f t="shared" si="165"/>
        <v>5.7236025824999988E-2</v>
      </c>
      <c r="U139" s="5">
        <f t="shared" si="166"/>
        <v>0.13067585804794518</v>
      </c>
      <c r="V139" s="5">
        <f t="shared" si="159"/>
        <v>1.8713385202155802E-2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1.3400997792730077E-2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1.3400997792730077E-2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8.6420089236338374E-3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8.6420089236338374E-3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8382</v>
      </c>
      <c r="D145">
        <v>34850.699999999997</v>
      </c>
      <c r="E145">
        <v>10558.1</v>
      </c>
      <c r="F145">
        <f t="shared" ref="F145:F155" si="168">D145/10000</f>
        <v>3.4850699999999999</v>
      </c>
      <c r="G145">
        <f t="shared" ref="G145:G155" si="169">C145/10000</f>
        <v>0.83819999999999995</v>
      </c>
      <c r="H145">
        <f t="shared" ref="H145:H155" si="170">F145-G145</f>
        <v>2.6468699999999998</v>
      </c>
      <c r="I145">
        <f>E145/10000</f>
        <v>1.0558100000000001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0.12388075158753539</v>
      </c>
      <c r="P145" s="2">
        <v>3</v>
      </c>
      <c r="Q145" s="8">
        <f>H145</f>
        <v>2.6468699999999998</v>
      </c>
      <c r="R145" s="8">
        <f>I145</f>
        <v>1.0558100000000001</v>
      </c>
      <c r="S145" s="8">
        <f>Q145/10^6*$Z$4*$Z$3/P145*10^12</f>
        <v>2.9406725700000003</v>
      </c>
      <c r="T145" s="8">
        <f>S145*0.06</f>
        <v>0.17644035420000001</v>
      </c>
      <c r="U145" s="8">
        <f>S145/$Z$1</f>
        <v>0.40283185890410961</v>
      </c>
      <c r="V145" s="12">
        <f t="shared" ref="V145:V155" si="171">O145</f>
        <v>0.12388075158753539</v>
      </c>
    </row>
    <row r="146" spans="2:22" x14ac:dyDescent="0.3">
      <c r="B146">
        <v>2</v>
      </c>
      <c r="C146">
        <v>1373.2</v>
      </c>
      <c r="D146">
        <v>43557.4</v>
      </c>
      <c r="E146">
        <v>12414.2</v>
      </c>
      <c r="F146">
        <f t="shared" si="168"/>
        <v>4.3557399999999999</v>
      </c>
      <c r="G146">
        <f t="shared" si="169"/>
        <v>0.13732</v>
      </c>
      <c r="H146">
        <f t="shared" si="170"/>
        <v>4.2184200000000001</v>
      </c>
      <c r="I146">
        <f t="shared" ref="I146:I155" si="172">E146/10000</f>
        <v>1.24142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0.10988697363115914</v>
      </c>
      <c r="P146" s="4">
        <v>3</v>
      </c>
      <c r="Q146" s="5">
        <f t="shared" ref="Q146:R155" si="175">H146</f>
        <v>4.2184200000000001</v>
      </c>
      <c r="R146" s="5">
        <f t="shared" si="175"/>
        <v>1.24142</v>
      </c>
      <c r="S146" s="5">
        <f t="shared" ref="S146:S155" si="176">Q146/10^6*$Z$4*$Z$3/P146*10^12</f>
        <v>4.6866646200000002</v>
      </c>
      <c r="T146" s="5">
        <f t="shared" ref="T146:T155" si="177">S146*0.06</f>
        <v>0.2811998772</v>
      </c>
      <c r="U146" s="5">
        <f t="shared" ref="U146:U155" si="178">S146/$Z$1</f>
        <v>0.64200885205479452</v>
      </c>
      <c r="V146" s="5">
        <f t="shared" si="171"/>
        <v>0.10988697363115914</v>
      </c>
    </row>
    <row r="147" spans="2:22" x14ac:dyDescent="0.3">
      <c r="B147">
        <v>3</v>
      </c>
      <c r="C147">
        <v>2714.2</v>
      </c>
      <c r="D147">
        <v>40411.9</v>
      </c>
      <c r="E147">
        <v>10883.2</v>
      </c>
      <c r="F147">
        <f t="shared" si="168"/>
        <v>4.0411900000000003</v>
      </c>
      <c r="G147">
        <f t="shared" si="169"/>
        <v>0.27141999999999999</v>
      </c>
      <c r="H147">
        <f t="shared" si="170"/>
        <v>3.7697700000000003</v>
      </c>
      <c r="I147">
        <f t="shared" si="172"/>
        <v>1.0883200000000002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9.4798801713418826E-2</v>
      </c>
      <c r="P147" s="4">
        <v>3</v>
      </c>
      <c r="Q147" s="5">
        <f t="shared" si="175"/>
        <v>3.7697700000000003</v>
      </c>
      <c r="R147" s="5">
        <f t="shared" si="175"/>
        <v>1.0883200000000002</v>
      </c>
      <c r="S147" s="5">
        <f t="shared" si="176"/>
        <v>4.188214470000001</v>
      </c>
      <c r="T147" s="5">
        <f t="shared" si="177"/>
        <v>0.25129286820000007</v>
      </c>
      <c r="U147" s="5">
        <f t="shared" si="178"/>
        <v>0.57372800958904124</v>
      </c>
      <c r="V147" s="5">
        <f t="shared" si="171"/>
        <v>9.4798801713418826E-2</v>
      </c>
    </row>
    <row r="148" spans="2:22" x14ac:dyDescent="0.3">
      <c r="B148">
        <v>4</v>
      </c>
      <c r="C148">
        <v>1261.9000000000001</v>
      </c>
      <c r="D148">
        <v>3794.2</v>
      </c>
      <c r="E148">
        <v>35824.5</v>
      </c>
      <c r="F148">
        <f t="shared" si="168"/>
        <v>0.37941999999999998</v>
      </c>
      <c r="G148">
        <f t="shared" si="169"/>
        <v>0.12619</v>
      </c>
      <c r="H148">
        <f t="shared" si="170"/>
        <v>0.25322999999999996</v>
      </c>
      <c r="I148">
        <f t="shared" si="172"/>
        <v>3.5824500000000001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5.7417331261814232E-2</v>
      </c>
      <c r="P148" s="4">
        <v>3</v>
      </c>
      <c r="Q148" s="5">
        <f t="shared" si="175"/>
        <v>0.25322999999999996</v>
      </c>
      <c r="R148" s="5">
        <f t="shared" si="175"/>
        <v>3.5824500000000001</v>
      </c>
      <c r="S148" s="5">
        <f t="shared" si="176"/>
        <v>0.28133852999999992</v>
      </c>
      <c r="T148" s="5">
        <f t="shared" si="177"/>
        <v>1.6880311799999995E-2</v>
      </c>
      <c r="U148" s="5">
        <f t="shared" si="178"/>
        <v>3.8539524657534234E-2</v>
      </c>
      <c r="V148" s="5">
        <f t="shared" si="171"/>
        <v>5.7417331261814232E-2</v>
      </c>
    </row>
    <row r="149" spans="2:22" x14ac:dyDescent="0.3">
      <c r="B149">
        <v>5</v>
      </c>
      <c r="C149">
        <v>-2399.9</v>
      </c>
      <c r="D149">
        <v>18405.7</v>
      </c>
      <c r="E149">
        <v>33169.199999999997</v>
      </c>
      <c r="F149">
        <f t="shared" si="168"/>
        <v>1.84057</v>
      </c>
      <c r="G149">
        <f t="shared" si="169"/>
        <v>-0.23999000000000001</v>
      </c>
      <c r="H149">
        <f t="shared" si="170"/>
        <v>2.0805600000000002</v>
      </c>
      <c r="I149">
        <f t="shared" si="172"/>
        <v>3.3169199999999996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4.1499142510259567E-2</v>
      </c>
      <c r="P149" s="4">
        <v>3</v>
      </c>
      <c r="Q149" s="5">
        <f t="shared" si="175"/>
        <v>2.0805600000000002</v>
      </c>
      <c r="R149" s="5">
        <f t="shared" si="175"/>
        <v>3.3169199999999996</v>
      </c>
      <c r="S149" s="5">
        <f t="shared" si="176"/>
        <v>2.3115021600000003</v>
      </c>
      <c r="T149" s="5">
        <f t="shared" si="177"/>
        <v>0.13869012960000002</v>
      </c>
      <c r="U149" s="5">
        <f t="shared" si="178"/>
        <v>0.31664413150684939</v>
      </c>
      <c r="V149" s="5">
        <f t="shared" si="171"/>
        <v>4.1499142510259567E-2</v>
      </c>
    </row>
    <row r="150" spans="2:22" x14ac:dyDescent="0.3">
      <c r="B150">
        <v>6</v>
      </c>
      <c r="C150">
        <v>-711.9</v>
      </c>
      <c r="D150">
        <v>11100.2</v>
      </c>
      <c r="E150">
        <v>6606.4</v>
      </c>
      <c r="F150">
        <f t="shared" si="168"/>
        <v>1.11002</v>
      </c>
      <c r="G150">
        <f t="shared" si="169"/>
        <v>-7.1190000000000003E-2</v>
      </c>
      <c r="H150">
        <f t="shared" si="170"/>
        <v>1.1812100000000001</v>
      </c>
      <c r="I150">
        <f t="shared" si="172"/>
        <v>0.66064000000000001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2.8725397826234789E-2</v>
      </c>
      <c r="P150" s="4">
        <v>4</v>
      </c>
      <c r="Q150" s="5">
        <f t="shared" si="175"/>
        <v>1.1812100000000001</v>
      </c>
      <c r="R150" s="5">
        <f t="shared" si="175"/>
        <v>0.66064000000000001</v>
      </c>
      <c r="S150" s="5">
        <f t="shared" si="176"/>
        <v>0.98424323250000001</v>
      </c>
      <c r="T150" s="5">
        <f t="shared" si="177"/>
        <v>5.9054593949999998E-2</v>
      </c>
      <c r="U150" s="5">
        <f t="shared" si="178"/>
        <v>0.13482784006849316</v>
      </c>
      <c r="V150" s="5">
        <f t="shared" si="171"/>
        <v>2.8725397826234789E-2</v>
      </c>
    </row>
    <row r="151" spans="2:22" x14ac:dyDescent="0.3">
      <c r="B151">
        <v>7</v>
      </c>
      <c r="C151">
        <v>-1524</v>
      </c>
      <c r="D151">
        <v>7346.2</v>
      </c>
      <c r="E151">
        <v>4745.7</v>
      </c>
      <c r="F151">
        <f t="shared" si="168"/>
        <v>0.73461999999999994</v>
      </c>
      <c r="G151">
        <f t="shared" si="169"/>
        <v>-0.15240000000000001</v>
      </c>
      <c r="H151">
        <f t="shared" si="170"/>
        <v>0.88701999999999992</v>
      </c>
      <c r="I151">
        <f t="shared" si="172"/>
        <v>0.47456999999999999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2.0766053490063583E-2</v>
      </c>
      <c r="P151" s="4">
        <v>4</v>
      </c>
      <c r="Q151" s="5">
        <f t="shared" si="175"/>
        <v>0.88701999999999992</v>
      </c>
      <c r="R151" s="5">
        <f t="shared" si="175"/>
        <v>0.47456999999999999</v>
      </c>
      <c r="S151" s="5">
        <f t="shared" si="176"/>
        <v>0.73910941499999994</v>
      </c>
      <c r="T151" s="5">
        <f t="shared" si="177"/>
        <v>4.4346564899999996E-2</v>
      </c>
      <c r="U151" s="5">
        <f t="shared" si="178"/>
        <v>0.10124786506849315</v>
      </c>
      <c r="V151" s="5">
        <f t="shared" si="171"/>
        <v>2.0766053490063583E-2</v>
      </c>
    </row>
    <row r="152" spans="2:22" x14ac:dyDescent="0.3">
      <c r="B152">
        <v>8</v>
      </c>
      <c r="C152">
        <v>370</v>
      </c>
      <c r="D152">
        <v>9490.2000000000007</v>
      </c>
      <c r="E152">
        <v>5200.8</v>
      </c>
      <c r="F152">
        <f t="shared" si="168"/>
        <v>0.94902000000000009</v>
      </c>
      <c r="G152">
        <f t="shared" si="169"/>
        <v>3.6999999999999998E-2</v>
      </c>
      <c r="H152">
        <f t="shared" si="170"/>
        <v>0.91202000000000005</v>
      </c>
      <c r="I152">
        <f t="shared" si="172"/>
        <v>0.52007999999999999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1.7414735995550743E-2</v>
      </c>
      <c r="P152" s="4">
        <v>5</v>
      </c>
      <c r="Q152" s="5">
        <f t="shared" si="175"/>
        <v>0.91202000000000005</v>
      </c>
      <c r="R152" s="5">
        <f t="shared" si="175"/>
        <v>0.52007999999999999</v>
      </c>
      <c r="S152" s="5">
        <f t="shared" si="176"/>
        <v>0.60795253199999999</v>
      </c>
      <c r="T152" s="5">
        <f t="shared" si="177"/>
        <v>3.6477151919999999E-2</v>
      </c>
      <c r="U152" s="5">
        <f t="shared" si="178"/>
        <v>8.3281168767123284E-2</v>
      </c>
      <c r="V152" s="5">
        <f t="shared" si="171"/>
        <v>1.7414735995550743E-2</v>
      </c>
    </row>
    <row r="153" spans="2:22" x14ac:dyDescent="0.3">
      <c r="B153">
        <v>9</v>
      </c>
      <c r="C153">
        <v>-7126.7</v>
      </c>
      <c r="D153">
        <v>9617</v>
      </c>
      <c r="E153">
        <v>4862.3</v>
      </c>
      <c r="F153">
        <f t="shared" si="168"/>
        <v>0.9617</v>
      </c>
      <c r="G153">
        <f t="shared" si="169"/>
        <v>-0.71267000000000003</v>
      </c>
      <c r="H153">
        <f t="shared" si="170"/>
        <v>1.6743700000000001</v>
      </c>
      <c r="I153">
        <f t="shared" si="172"/>
        <v>0.48623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1.403503890161685E-2</v>
      </c>
      <c r="P153" s="4">
        <v>8</v>
      </c>
      <c r="Q153" s="5">
        <f t="shared" si="175"/>
        <v>1.6743700000000001</v>
      </c>
      <c r="R153" s="5">
        <f t="shared" si="175"/>
        <v>0.48623</v>
      </c>
      <c r="S153" s="5">
        <f t="shared" si="176"/>
        <v>0.69758440124999999</v>
      </c>
      <c r="T153" s="5">
        <f t="shared" si="177"/>
        <v>4.1855064074999997E-2</v>
      </c>
      <c r="U153" s="5">
        <f t="shared" si="178"/>
        <v>9.555950702054794E-2</v>
      </c>
      <c r="V153" s="5">
        <f t="shared" si="171"/>
        <v>1.403503890161685E-2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1.0050748344547559E-2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1.0050748344547559E-2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6.4815066927253777E-3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6.4815066927253777E-3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1436.4</v>
      </c>
      <c r="D159">
        <v>33994.199999999997</v>
      </c>
      <c r="E159">
        <v>9981.4</v>
      </c>
      <c r="F159">
        <f t="shared" ref="F159:F169" si="180">D159/10000</f>
        <v>3.3994199999999997</v>
      </c>
      <c r="G159">
        <f t="shared" ref="G159:G169" si="181">C159/10000</f>
        <v>0.14364000000000002</v>
      </c>
      <c r="H159">
        <f t="shared" ref="H159:H169" si="182">F159-G159</f>
        <v>3.2557799999999997</v>
      </c>
      <c r="I159">
        <f>E159/10000</f>
        <v>0.99813999999999992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9.910460127002832E-2</v>
      </c>
      <c r="P159" s="2">
        <v>3</v>
      </c>
      <c r="Q159" s="8">
        <f>H159</f>
        <v>3.2557799999999997</v>
      </c>
      <c r="R159" s="8">
        <f>I159</f>
        <v>0.99813999999999992</v>
      </c>
      <c r="S159" s="8">
        <f>Q159/10^6*$Z$4*$Z$3/P159*10^12</f>
        <v>3.6171715799999995</v>
      </c>
      <c r="T159" s="8">
        <f>S159*0.06</f>
        <v>0.21703029479999997</v>
      </c>
      <c r="U159" s="8">
        <f>S159/$Z$1</f>
        <v>0.4955029561643835</v>
      </c>
      <c r="V159" s="12">
        <f t="shared" ref="V159:V169" si="183">O159</f>
        <v>9.910460127002832E-2</v>
      </c>
    </row>
    <row r="160" spans="2:22" x14ac:dyDescent="0.3">
      <c r="B160">
        <v>2</v>
      </c>
      <c r="C160">
        <v>1116.0999999999999</v>
      </c>
      <c r="D160">
        <v>41311.599999999999</v>
      </c>
      <c r="E160">
        <v>8498.1</v>
      </c>
      <c r="F160">
        <f t="shared" si="180"/>
        <v>4.1311599999999995</v>
      </c>
      <c r="G160">
        <f t="shared" si="181"/>
        <v>0.11160999999999999</v>
      </c>
      <c r="H160">
        <f t="shared" si="182"/>
        <v>4.0195499999999997</v>
      </c>
      <c r="I160">
        <f t="shared" ref="I160:I169" si="184">E160/10000</f>
        <v>0.84981000000000007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8.7909578904927302E-2</v>
      </c>
      <c r="P160" s="4">
        <v>3</v>
      </c>
      <c r="Q160" s="5">
        <f t="shared" ref="Q160:R169" si="187">H160</f>
        <v>4.0195499999999997</v>
      </c>
      <c r="R160" s="5">
        <f t="shared" si="187"/>
        <v>0.84981000000000007</v>
      </c>
      <c r="S160" s="5">
        <f t="shared" ref="S160:S169" si="188">Q160/10^6*$Z$4*$Z$3/P160*10^12</f>
        <v>4.4657200499999998</v>
      </c>
      <c r="T160" s="5">
        <f t="shared" ref="T160:T169" si="189">S160*0.06</f>
        <v>0.26794320299999996</v>
      </c>
      <c r="U160" s="5">
        <f t="shared" ref="U160:U169" si="190">S160/$Z$1</f>
        <v>0.61174247260273973</v>
      </c>
      <c r="V160" s="5">
        <f t="shared" si="183"/>
        <v>8.7909578904927302E-2</v>
      </c>
    </row>
    <row r="161" spans="2:22" x14ac:dyDescent="0.3">
      <c r="B161">
        <v>3</v>
      </c>
      <c r="C161">
        <v>-8075.2</v>
      </c>
      <c r="D161">
        <v>40155.300000000003</v>
      </c>
      <c r="E161">
        <v>11962.1</v>
      </c>
      <c r="F161">
        <f t="shared" si="180"/>
        <v>4.01553</v>
      </c>
      <c r="G161">
        <f t="shared" si="181"/>
        <v>-0.80752000000000002</v>
      </c>
      <c r="H161">
        <f t="shared" si="182"/>
        <v>4.8230500000000003</v>
      </c>
      <c r="I161">
        <f t="shared" si="184"/>
        <v>1.19621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7.5839041370735064E-2</v>
      </c>
      <c r="P161" s="4">
        <v>3</v>
      </c>
      <c r="Q161" s="5">
        <f t="shared" si="187"/>
        <v>4.8230500000000003</v>
      </c>
      <c r="R161" s="5">
        <f t="shared" si="187"/>
        <v>1.19621</v>
      </c>
      <c r="S161" s="5">
        <f t="shared" si="188"/>
        <v>5.3584085500000009</v>
      </c>
      <c r="T161" s="5">
        <f t="shared" si="189"/>
        <v>0.32150451300000005</v>
      </c>
      <c r="U161" s="5">
        <f t="shared" si="190"/>
        <v>0.73402856849315079</v>
      </c>
      <c r="V161" s="5">
        <f t="shared" si="183"/>
        <v>7.5839041370735064E-2</v>
      </c>
    </row>
    <row r="162" spans="2:22" x14ac:dyDescent="0.3">
      <c r="B162">
        <v>4</v>
      </c>
      <c r="C162">
        <v>-866</v>
      </c>
      <c r="D162">
        <v>10783.3</v>
      </c>
      <c r="E162">
        <v>36325.5</v>
      </c>
      <c r="F162">
        <f t="shared" si="180"/>
        <v>1.07833</v>
      </c>
      <c r="G162">
        <f t="shared" si="181"/>
        <v>-8.6599999999999996E-2</v>
      </c>
      <c r="H162">
        <f t="shared" si="182"/>
        <v>1.16493</v>
      </c>
      <c r="I162">
        <f t="shared" si="184"/>
        <v>3.6325500000000002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4.5933865009451381E-2</v>
      </c>
      <c r="P162" s="4">
        <v>3</v>
      </c>
      <c r="Q162" s="5">
        <f t="shared" si="187"/>
        <v>1.16493</v>
      </c>
      <c r="R162" s="5">
        <f t="shared" si="187"/>
        <v>3.6325500000000002</v>
      </c>
      <c r="S162" s="5">
        <f t="shared" si="188"/>
        <v>1.2942372300000002</v>
      </c>
      <c r="T162" s="5">
        <f t="shared" si="189"/>
        <v>7.7654233800000014E-2</v>
      </c>
      <c r="U162" s="5">
        <f t="shared" si="190"/>
        <v>0.17729277123287676</v>
      </c>
      <c r="V162" s="5">
        <f t="shared" si="183"/>
        <v>4.5933865009451381E-2</v>
      </c>
    </row>
    <row r="163" spans="2:22" x14ac:dyDescent="0.3">
      <c r="B163">
        <v>5</v>
      </c>
      <c r="C163">
        <v>-2632.4</v>
      </c>
      <c r="D163">
        <v>36154.699999999997</v>
      </c>
      <c r="E163">
        <v>27853.8</v>
      </c>
      <c r="F163">
        <f t="shared" si="180"/>
        <v>3.6154699999999997</v>
      </c>
      <c r="G163">
        <f t="shared" si="181"/>
        <v>-0.26324000000000003</v>
      </c>
      <c r="H163">
        <f t="shared" si="182"/>
        <v>3.8787099999999999</v>
      </c>
      <c r="I163">
        <f t="shared" si="184"/>
        <v>2.78538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3.3199314008207657E-2</v>
      </c>
      <c r="P163" s="4">
        <v>3</v>
      </c>
      <c r="Q163" s="5">
        <f t="shared" si="187"/>
        <v>3.8787099999999999</v>
      </c>
      <c r="R163" s="5">
        <f t="shared" si="187"/>
        <v>2.78538</v>
      </c>
      <c r="S163" s="5">
        <f t="shared" si="188"/>
        <v>4.3092468100000003</v>
      </c>
      <c r="T163" s="5">
        <f t="shared" si="189"/>
        <v>0.25855480860000002</v>
      </c>
      <c r="U163" s="5">
        <f t="shared" si="190"/>
        <v>0.59030778219178093</v>
      </c>
      <c r="V163" s="5">
        <f t="shared" si="183"/>
        <v>3.3199314008207657E-2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2.2980318260987832E-2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2.2980318260987832E-2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1.6612842792050865E-2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1.6612842792050865E-2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1.3931788796440595E-2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1.3931788796440595E-2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1.122803112129348E-2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1.122803112129348E-2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8.0405986756380467E-3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8.0405986756380467E-3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5.1852053541803023E-3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5.1852053541803023E-3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CQ170"/>
  <sheetViews>
    <sheetView zoomScale="80" zoomScaleNormal="80"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848.7</v>
      </c>
      <c r="D5">
        <v>104649.60000000001</v>
      </c>
      <c r="E5">
        <v>6115.3</v>
      </c>
      <c r="F5">
        <f t="shared" ref="F5:F15" si="0">D5/10000</f>
        <v>10.464960000000001</v>
      </c>
      <c r="G5">
        <f t="shared" ref="G5:G15" si="1">C5/10000</f>
        <v>8.4870000000000001E-2</v>
      </c>
      <c r="H5">
        <f t="shared" ref="H5:H15" si="2">F5-G5</f>
        <v>10.380090000000001</v>
      </c>
      <c r="I5">
        <f>E5/10000</f>
        <v>0.61153000000000002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0.99104601270028314</v>
      </c>
      <c r="P5" s="2">
        <v>3</v>
      </c>
      <c r="Q5" s="8">
        <f>H5</f>
        <v>10.380090000000001</v>
      </c>
      <c r="R5" s="8">
        <f>I5</f>
        <v>0.61153000000000002</v>
      </c>
      <c r="S5" s="8">
        <f>Q5/10^6*$Z$4*$Z$3/P5*10^12</f>
        <v>11.532279990000001</v>
      </c>
      <c r="T5" s="8">
        <f>S5*0.06</f>
        <v>0.69193679940000008</v>
      </c>
      <c r="U5" s="8">
        <f>S5/$Z$1</f>
        <v>1.5797643821917811</v>
      </c>
      <c r="V5" s="12">
        <f t="shared" ref="V5:V15" si="4">O5</f>
        <v>0.99104601270028314</v>
      </c>
    </row>
    <row r="6" spans="2:95" x14ac:dyDescent="0.3">
      <c r="B6">
        <v>2</v>
      </c>
      <c r="C6">
        <v>1149.4000000000001</v>
      </c>
      <c r="D6">
        <v>121814.8</v>
      </c>
      <c r="E6">
        <v>5318.7</v>
      </c>
      <c r="F6">
        <f t="shared" si="0"/>
        <v>12.181480000000001</v>
      </c>
      <c r="G6">
        <f t="shared" si="1"/>
        <v>0.11494000000000001</v>
      </c>
      <c r="H6">
        <f t="shared" si="2"/>
        <v>12.06654</v>
      </c>
      <c r="I6">
        <f t="shared" ref="I6:I15" si="5">E6/10000</f>
        <v>0.53186999999999995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0.8790957890492731</v>
      </c>
      <c r="P6" s="4">
        <v>3</v>
      </c>
      <c r="Q6" s="5">
        <f t="shared" ref="Q6:R15" si="7">H6</f>
        <v>12.06654</v>
      </c>
      <c r="R6" s="5">
        <f t="shared" si="7"/>
        <v>0.53186999999999995</v>
      </c>
      <c r="S6" s="5">
        <f t="shared" ref="S6:S15" si="8">Q6/10^6*$Z$4*$Z$3/P6*10^12</f>
        <v>13.405925939999999</v>
      </c>
      <c r="T6" s="5">
        <f t="shared" ref="T6:T15" si="9">S6*0.06</f>
        <v>0.80435555639999989</v>
      </c>
      <c r="U6" s="5">
        <f t="shared" ref="U6:U15" si="10">S6/$Z$1</f>
        <v>1.8364282109589041</v>
      </c>
      <c r="V6" s="5">
        <f t="shared" si="4"/>
        <v>0.8790957890492731</v>
      </c>
    </row>
    <row r="7" spans="2:95" x14ac:dyDescent="0.3">
      <c r="B7">
        <v>3</v>
      </c>
      <c r="C7">
        <v>1415.6</v>
      </c>
      <c r="D7">
        <v>126134.2</v>
      </c>
      <c r="E7">
        <v>4245.8999999999996</v>
      </c>
      <c r="F7">
        <f t="shared" si="0"/>
        <v>12.61342</v>
      </c>
      <c r="G7">
        <f t="shared" si="1"/>
        <v>0.14155999999999999</v>
      </c>
      <c r="H7">
        <f t="shared" si="2"/>
        <v>12.47186</v>
      </c>
      <c r="I7">
        <f t="shared" si="5"/>
        <v>0.42458999999999997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0.75839041370735061</v>
      </c>
      <c r="P7" s="4">
        <v>3</v>
      </c>
      <c r="Q7" s="5">
        <f t="shared" si="7"/>
        <v>12.47186</v>
      </c>
      <c r="R7" s="5">
        <f t="shared" si="7"/>
        <v>0.42458999999999997</v>
      </c>
      <c r="S7" s="5">
        <f t="shared" si="8"/>
        <v>13.85623646</v>
      </c>
      <c r="T7" s="5">
        <f t="shared" si="9"/>
        <v>0.83137418759999993</v>
      </c>
      <c r="U7" s="5">
        <f t="shared" si="10"/>
        <v>1.8981145835616438</v>
      </c>
      <c r="V7" s="5">
        <f t="shared" si="4"/>
        <v>0.75839041370735061</v>
      </c>
      <c r="Y7" t="s">
        <v>41</v>
      </c>
      <c r="Z7">
        <v>5</v>
      </c>
    </row>
    <row r="8" spans="2:95" x14ac:dyDescent="0.3">
      <c r="B8">
        <v>4</v>
      </c>
      <c r="C8">
        <v>2011.4</v>
      </c>
      <c r="D8">
        <v>117381.1</v>
      </c>
      <c r="E8">
        <v>4472.8999999999996</v>
      </c>
      <c r="F8">
        <f t="shared" si="0"/>
        <v>11.738110000000001</v>
      </c>
      <c r="G8">
        <f t="shared" si="1"/>
        <v>0.20114000000000001</v>
      </c>
      <c r="H8">
        <f t="shared" si="2"/>
        <v>11.53697</v>
      </c>
      <c r="I8">
        <f t="shared" si="5"/>
        <v>0.44728999999999997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0.45933865009451386</v>
      </c>
      <c r="P8" s="4">
        <v>3</v>
      </c>
      <c r="Q8" s="5">
        <f t="shared" si="7"/>
        <v>11.53697</v>
      </c>
      <c r="R8" s="5">
        <f t="shared" si="7"/>
        <v>0.44728999999999997</v>
      </c>
      <c r="S8" s="5">
        <f t="shared" si="8"/>
        <v>12.81757367</v>
      </c>
      <c r="T8" s="5">
        <f t="shared" si="9"/>
        <v>0.76905442019999992</v>
      </c>
      <c r="U8" s="5">
        <f t="shared" si="10"/>
        <v>1.7558320095890412</v>
      </c>
      <c r="V8" s="5">
        <f t="shared" si="4"/>
        <v>0.45933865009451386</v>
      </c>
    </row>
    <row r="9" spans="2:95" x14ac:dyDescent="0.3">
      <c r="B9">
        <v>5</v>
      </c>
      <c r="C9">
        <v>6741.2</v>
      </c>
      <c r="D9">
        <v>97012.1</v>
      </c>
      <c r="E9">
        <v>4183.6000000000004</v>
      </c>
      <c r="F9">
        <f t="shared" si="0"/>
        <v>9.7012100000000014</v>
      </c>
      <c r="G9">
        <f t="shared" si="1"/>
        <v>0.67411999999999994</v>
      </c>
      <c r="H9">
        <f t="shared" si="2"/>
        <v>9.0270900000000012</v>
      </c>
      <c r="I9">
        <f t="shared" si="5"/>
        <v>0.41836000000000001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0.33199314008207653</v>
      </c>
      <c r="P9" s="4">
        <v>3</v>
      </c>
      <c r="Q9" s="5">
        <f t="shared" si="7"/>
        <v>9.0270900000000012</v>
      </c>
      <c r="R9" s="5">
        <f t="shared" si="7"/>
        <v>0.41836000000000001</v>
      </c>
      <c r="S9" s="5">
        <f t="shared" si="8"/>
        <v>10.029096990000001</v>
      </c>
      <c r="T9" s="5">
        <f t="shared" si="9"/>
        <v>0.60174581940000005</v>
      </c>
      <c r="U9" s="5">
        <f t="shared" si="10"/>
        <v>1.3738489027397263</v>
      </c>
      <c r="V9" s="5">
        <f t="shared" si="4"/>
        <v>0.33199314008207653</v>
      </c>
    </row>
    <row r="10" spans="2:95" ht="15" thickBot="1" x14ac:dyDescent="0.35">
      <c r="B10">
        <v>6</v>
      </c>
      <c r="C10">
        <v>7830.1</v>
      </c>
      <c r="D10">
        <v>96086.3</v>
      </c>
      <c r="E10">
        <v>5045.6000000000004</v>
      </c>
      <c r="F10">
        <f t="shared" si="0"/>
        <v>9.6086299999999998</v>
      </c>
      <c r="G10">
        <f t="shared" si="1"/>
        <v>0.78300999999999998</v>
      </c>
      <c r="H10">
        <f t="shared" si="2"/>
        <v>8.8256200000000007</v>
      </c>
      <c r="I10">
        <f t="shared" si="5"/>
        <v>0.50456000000000001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0.22980318260987831</v>
      </c>
      <c r="P10" s="4">
        <v>4</v>
      </c>
      <c r="Q10" s="5">
        <f t="shared" si="7"/>
        <v>8.8256200000000007</v>
      </c>
      <c r="R10" s="5">
        <f t="shared" si="7"/>
        <v>0.50456000000000001</v>
      </c>
      <c r="S10" s="5">
        <f t="shared" si="8"/>
        <v>7.3539478650000012</v>
      </c>
      <c r="T10" s="5">
        <f t="shared" si="9"/>
        <v>0.44123687190000005</v>
      </c>
      <c r="U10" s="5">
        <f t="shared" si="10"/>
        <v>1.0073901184931509</v>
      </c>
      <c r="V10" s="5">
        <f t="shared" si="4"/>
        <v>0.22980318260987831</v>
      </c>
    </row>
    <row r="11" spans="2:95" ht="15.6" thickTop="1" thickBot="1" x14ac:dyDescent="0.35">
      <c r="B11">
        <v>7</v>
      </c>
      <c r="C11">
        <v>11459.8</v>
      </c>
      <c r="D11">
        <v>72401.600000000006</v>
      </c>
      <c r="E11">
        <v>5261.5</v>
      </c>
      <c r="F11">
        <f t="shared" si="0"/>
        <v>7.2401600000000004</v>
      </c>
      <c r="G11">
        <f t="shared" si="1"/>
        <v>1.14598</v>
      </c>
      <c r="H11">
        <f t="shared" si="2"/>
        <v>6.0941800000000006</v>
      </c>
      <c r="I11">
        <f t="shared" si="5"/>
        <v>0.52615000000000001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0.16612842792050866</v>
      </c>
      <c r="P11" s="4">
        <v>4</v>
      </c>
      <c r="Q11" s="5">
        <f t="shared" si="7"/>
        <v>6.0941800000000006</v>
      </c>
      <c r="R11" s="5">
        <f t="shared" si="7"/>
        <v>0.52615000000000001</v>
      </c>
      <c r="S11" s="5">
        <f t="shared" si="8"/>
        <v>5.0779754849999996</v>
      </c>
      <c r="T11" s="5">
        <f t="shared" si="9"/>
        <v>0.30467852909999998</v>
      </c>
      <c r="U11" s="5">
        <f t="shared" si="10"/>
        <v>0.69561308013698631</v>
      </c>
      <c r="V11" s="5">
        <f t="shared" si="4"/>
        <v>0.16612842792050866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-1505</v>
      </c>
      <c r="D12">
        <v>64846.9</v>
      </c>
      <c r="E12">
        <v>6693.7</v>
      </c>
      <c r="F12">
        <f t="shared" si="0"/>
        <v>6.4846900000000005</v>
      </c>
      <c r="G12">
        <f t="shared" si="1"/>
        <v>-0.15049999999999999</v>
      </c>
      <c r="H12">
        <f t="shared" si="2"/>
        <v>6.6351900000000006</v>
      </c>
      <c r="I12">
        <f t="shared" si="5"/>
        <v>0.66937000000000002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0.13931788796440595</v>
      </c>
      <c r="P12" s="4">
        <v>5</v>
      </c>
      <c r="Q12" s="5">
        <f t="shared" si="7"/>
        <v>6.6351900000000006</v>
      </c>
      <c r="R12" s="5">
        <f t="shared" si="7"/>
        <v>0.66937000000000002</v>
      </c>
      <c r="S12" s="5">
        <f t="shared" si="8"/>
        <v>4.4230176540000006</v>
      </c>
      <c r="T12" s="5">
        <f t="shared" si="9"/>
        <v>0.26538105924000005</v>
      </c>
      <c r="U12" s="5">
        <f t="shared" si="10"/>
        <v>0.6058928293150686</v>
      </c>
      <c r="V12" s="5">
        <f t="shared" si="4"/>
        <v>0.13931788796440595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10331.4</v>
      </c>
      <c r="D13">
        <v>74729.2</v>
      </c>
      <c r="E13">
        <v>9363.9</v>
      </c>
      <c r="F13">
        <f t="shared" si="0"/>
        <v>7.4729199999999993</v>
      </c>
      <c r="G13">
        <f t="shared" si="1"/>
        <v>1.0331399999999999</v>
      </c>
      <c r="H13">
        <f t="shared" si="2"/>
        <v>6.4397799999999989</v>
      </c>
      <c r="I13">
        <f t="shared" si="5"/>
        <v>0.93638999999999994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0.1122803112129348</v>
      </c>
      <c r="P13" s="4">
        <v>8</v>
      </c>
      <c r="Q13" s="5">
        <f t="shared" si="7"/>
        <v>6.4397799999999989</v>
      </c>
      <c r="R13" s="5">
        <f t="shared" si="7"/>
        <v>0.93638999999999994</v>
      </c>
      <c r="S13" s="5">
        <f t="shared" si="8"/>
        <v>2.6829733425</v>
      </c>
      <c r="T13" s="5">
        <f t="shared" si="9"/>
        <v>0.16097840054999998</v>
      </c>
      <c r="U13" s="5">
        <f t="shared" si="10"/>
        <v>0.3675305948630137</v>
      </c>
      <c r="V13" s="5">
        <f t="shared" si="4"/>
        <v>0.1122803112129348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16448.5</v>
      </c>
      <c r="D14">
        <v>68753</v>
      </c>
      <c r="E14">
        <v>13399.3</v>
      </c>
      <c r="F14">
        <f t="shared" si="0"/>
        <v>6.8753000000000002</v>
      </c>
      <c r="G14">
        <f t="shared" si="1"/>
        <v>1.6448499999999999</v>
      </c>
      <c r="H14">
        <f t="shared" si="2"/>
        <v>5.2304500000000003</v>
      </c>
      <c r="I14">
        <f t="shared" si="5"/>
        <v>1.3399299999999998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8.0405986756380471E-2</v>
      </c>
      <c r="P14" s="4">
        <v>14</v>
      </c>
      <c r="Q14" s="5">
        <f t="shared" si="7"/>
        <v>5.2304500000000003</v>
      </c>
      <c r="R14" s="5">
        <f t="shared" si="7"/>
        <v>1.3399299999999998</v>
      </c>
      <c r="S14" s="5">
        <f t="shared" si="8"/>
        <v>1.2452207035714287</v>
      </c>
      <c r="T14" s="5">
        <f t="shared" si="9"/>
        <v>7.4713242214285713E-2</v>
      </c>
      <c r="U14" s="5">
        <f t="shared" si="10"/>
        <v>0.1705781785714286</v>
      </c>
      <c r="V14" s="5">
        <f t="shared" si="4"/>
        <v>8.0405986756380471E-2</v>
      </c>
      <c r="X14" s="31">
        <f t="shared" ref="X14:X24" si="12">O5</f>
        <v>0.99104601270028314</v>
      </c>
      <c r="Y14" s="32">
        <f t="shared" ref="Y14:AA24" si="13">S5</f>
        <v>11.532279990000001</v>
      </c>
      <c r="Z14" s="32">
        <f t="shared" si="13"/>
        <v>0.69193679940000008</v>
      </c>
      <c r="AA14" s="32">
        <f t="shared" si="13"/>
        <v>1.5797643821917811</v>
      </c>
      <c r="AB14" s="41">
        <f>I5/H5</f>
        <v>5.891374737598614E-2</v>
      </c>
      <c r="AC14" s="33">
        <f t="shared" ref="AC14:AC24" si="14">R5</f>
        <v>0.61153000000000002</v>
      </c>
      <c r="AD14" s="31">
        <f t="shared" ref="AD14:AD23" si="15">O19</f>
        <v>0.6606973418001888</v>
      </c>
      <c r="AE14" s="32">
        <f t="shared" ref="AE14:AG23" si="16">S19</f>
        <v>5.7812995899999997</v>
      </c>
      <c r="AF14" s="32">
        <f t="shared" si="16"/>
        <v>0.34687797539999998</v>
      </c>
      <c r="AG14" s="32">
        <f t="shared" si="16"/>
        <v>0.79195884794520544</v>
      </c>
      <c r="AH14" s="41">
        <f>I19/H19</f>
        <v>0.18631009917962063</v>
      </c>
      <c r="AI14" s="33">
        <f>R19</f>
        <v>0.96950000000000003</v>
      </c>
      <c r="AJ14" s="31">
        <f t="shared" ref="AJ14:AJ23" si="17">O33</f>
        <v>0.49552300635014157</v>
      </c>
      <c r="AK14" s="32">
        <f t="shared" ref="AK14:AM23" si="18">S33</f>
        <v>3.3905497999999996</v>
      </c>
      <c r="AL14" s="32">
        <f t="shared" si="18"/>
        <v>0.20343298799999998</v>
      </c>
      <c r="AM14" s="32">
        <f t="shared" si="18"/>
        <v>0.46445887671232872</v>
      </c>
      <c r="AN14" s="41">
        <f>I33/H33</f>
        <v>0.36583983223015931</v>
      </c>
      <c r="AO14" s="33">
        <f>R33</f>
        <v>1.1164700000000001</v>
      </c>
      <c r="AP14" s="31">
        <f t="shared" ref="AP14:AP23" si="19">O47</f>
        <v>0.39641840508011328</v>
      </c>
      <c r="AQ14" s="32">
        <f t="shared" ref="AQ14:AS23" si="20">S47</f>
        <v>4.2894932300000006</v>
      </c>
      <c r="AR14" s="32">
        <f t="shared" si="20"/>
        <v>0.25736959380000002</v>
      </c>
      <c r="AS14" s="32">
        <f t="shared" si="20"/>
        <v>0.58760181232876718</v>
      </c>
      <c r="AT14" s="41">
        <f>I47/H47</f>
        <v>0.2828774414454549</v>
      </c>
      <c r="AU14" s="33">
        <f>R47</f>
        <v>1.0921700000000001</v>
      </c>
      <c r="AV14" s="31">
        <f t="shared" ref="AV14:AV23" si="21">O61</f>
        <v>0.3303486709000944</v>
      </c>
      <c r="AW14" s="32">
        <f t="shared" ref="AW14:AY23" si="22">S61</f>
        <v>4.4417557800000003</v>
      </c>
      <c r="AX14" s="32">
        <f t="shared" si="22"/>
        <v>0.26650534679999999</v>
      </c>
      <c r="AY14" s="32">
        <f t="shared" si="22"/>
        <v>0.60845969589041105</v>
      </c>
      <c r="AZ14" s="41">
        <f>I61/H61</f>
        <v>0.2862795711834476</v>
      </c>
      <c r="BA14" s="33">
        <f>R61</f>
        <v>1.1445399999999999</v>
      </c>
      <c r="BB14" s="31">
        <f t="shared" ref="BB14:BB23" si="23">O75</f>
        <v>0.28315600362865234</v>
      </c>
      <c r="BC14" s="32">
        <f t="shared" ref="BC14:BE23" si="24">S75</f>
        <v>3.8445266200000008</v>
      </c>
      <c r="BD14" s="32">
        <f t="shared" si="24"/>
        <v>0.23067159720000005</v>
      </c>
      <c r="BE14" s="32">
        <f t="shared" si="24"/>
        <v>0.52664748219178092</v>
      </c>
      <c r="BF14" s="41">
        <f>I75/H75</f>
        <v>0.3370429023066564</v>
      </c>
      <c r="BG14" s="33">
        <f>R75</f>
        <v>1.16631</v>
      </c>
      <c r="BH14" s="31">
        <f t="shared" ref="BH14:BH22" si="25">O89</f>
        <v>0.24776150317507079</v>
      </c>
      <c r="BI14" s="32">
        <f t="shared" ref="BI14:BK22" si="26">S89</f>
        <v>4.128442670000001</v>
      </c>
      <c r="BJ14" s="32">
        <f t="shared" si="26"/>
        <v>0.24770656020000004</v>
      </c>
      <c r="BK14" s="32">
        <f t="shared" si="26"/>
        <v>0.5655400917808221</v>
      </c>
      <c r="BL14" s="41">
        <f>I89/H89</f>
        <v>0.29007230951810703</v>
      </c>
      <c r="BM14" s="33">
        <f>R89</f>
        <v>1.0779000000000001</v>
      </c>
      <c r="BN14" s="31">
        <f t="shared" ref="BN14:BN22" si="27">O103</f>
        <v>0.22023244726672958</v>
      </c>
      <c r="BO14" s="32">
        <f t="shared" ref="BO14:BQ22" si="28">S103</f>
        <v>3.3335777200000001</v>
      </c>
      <c r="BP14" s="32">
        <f t="shared" si="28"/>
        <v>0.2000146632</v>
      </c>
      <c r="BQ14" s="32">
        <f t="shared" si="28"/>
        <v>0.45665448219178084</v>
      </c>
      <c r="BR14" s="41">
        <f>I103/H103</f>
        <v>0.34320717742258011</v>
      </c>
      <c r="BS14" s="33">
        <f>R103</f>
        <v>1.0298</v>
      </c>
      <c r="BT14" s="31">
        <f t="shared" ref="BT14:BT22" si="29">O117</f>
        <v>0.19820920254005664</v>
      </c>
      <c r="BU14" s="32">
        <f t="shared" ref="BU14:BW22" si="30">S117</f>
        <v>2.7928206900000005</v>
      </c>
      <c r="BV14" s="32">
        <f t="shared" si="30"/>
        <v>0.16756924140000001</v>
      </c>
      <c r="BW14" s="32">
        <f t="shared" si="30"/>
        <v>0.38257817671232885</v>
      </c>
      <c r="BX14" s="41">
        <f>I117/H117</f>
        <v>0.34376379888534836</v>
      </c>
      <c r="BY14" s="33">
        <f>R117</f>
        <v>0.86414999999999997</v>
      </c>
      <c r="BZ14" s="31">
        <f t="shared" ref="BZ14:BZ19" si="31">O131</f>
        <v>0.13213946836003776</v>
      </c>
      <c r="CA14" s="32">
        <f t="shared" ref="CA14:CC19" si="32">S131</f>
        <v>3.4198468699999998</v>
      </c>
      <c r="CB14" s="32">
        <f t="shared" si="32"/>
        <v>0.20519081219999999</v>
      </c>
      <c r="CC14" s="32">
        <f t="shared" si="32"/>
        <v>0.46847217397260271</v>
      </c>
      <c r="CD14" s="41">
        <f>I131/H131</f>
        <v>0.37434579636602272</v>
      </c>
      <c r="CE14" s="33">
        <f>R131</f>
        <v>1.1523000000000001</v>
      </c>
      <c r="CF14" s="31">
        <f t="shared" ref="CF14:CF18" si="33">O145</f>
        <v>9.910460127002832E-2</v>
      </c>
      <c r="CG14" s="32">
        <f t="shared" ref="CG14:CI18" si="34">S145</f>
        <v>3.2735614999999996</v>
      </c>
      <c r="CH14" s="32">
        <f t="shared" si="34"/>
        <v>0.19641368999999997</v>
      </c>
      <c r="CI14" s="32">
        <f t="shared" si="34"/>
        <v>0.4484330821917808</v>
      </c>
      <c r="CJ14" s="41">
        <f>I145/H145</f>
        <v>0.47172577634481594</v>
      </c>
      <c r="CK14" s="33">
        <f>R145</f>
        <v>1.38994</v>
      </c>
      <c r="CL14" s="31">
        <f t="shared" ref="CL14:CL18" si="35">O159</f>
        <v>7.928368101602265E-2</v>
      </c>
      <c r="CM14" s="32">
        <f t="shared" ref="CM14:CO18" si="36">S159</f>
        <v>4.2935928199999989</v>
      </c>
      <c r="CN14" s="32">
        <f t="shared" si="36"/>
        <v>0.25761556919999995</v>
      </c>
      <c r="CO14" s="32">
        <f t="shared" si="36"/>
        <v>0.58816339999999989</v>
      </c>
      <c r="CP14" s="41">
        <f>I159/H159</f>
        <v>0.3818823066692198</v>
      </c>
      <c r="CQ14" s="33">
        <f>R159</f>
        <v>1.47583</v>
      </c>
    </row>
    <row r="15" spans="2:95" ht="15" thickBot="1" x14ac:dyDescent="0.35">
      <c r="B15">
        <v>11</v>
      </c>
      <c r="C15">
        <v>22260.5</v>
      </c>
      <c r="D15">
        <v>63248.6</v>
      </c>
      <c r="E15">
        <v>7238.2</v>
      </c>
      <c r="F15">
        <f t="shared" si="0"/>
        <v>6.3248600000000001</v>
      </c>
      <c r="G15">
        <f t="shared" si="1"/>
        <v>2.2260499999999999</v>
      </c>
      <c r="H15">
        <f t="shared" si="2"/>
        <v>4.0988100000000003</v>
      </c>
      <c r="I15">
        <f t="shared" si="5"/>
        <v>0.72382000000000002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5.1852053541803021E-2</v>
      </c>
      <c r="P15" s="7">
        <v>21</v>
      </c>
      <c r="Q15" s="6">
        <f t="shared" si="7"/>
        <v>4.0988100000000003</v>
      </c>
      <c r="R15" s="6">
        <f t="shared" si="7"/>
        <v>0.72382000000000002</v>
      </c>
      <c r="S15" s="6">
        <f t="shared" si="8"/>
        <v>0.65053970142857154</v>
      </c>
      <c r="T15" s="6">
        <f t="shared" si="9"/>
        <v>3.9032382085714294E-2</v>
      </c>
      <c r="U15" s="6">
        <f t="shared" si="10"/>
        <v>8.9115027592955004E-2</v>
      </c>
      <c r="V15" s="6">
        <f t="shared" si="4"/>
        <v>5.1852053541803021E-2</v>
      </c>
      <c r="X15" s="34">
        <f t="shared" si="12"/>
        <v>0.8790957890492731</v>
      </c>
      <c r="Y15" s="35">
        <f t="shared" si="13"/>
        <v>13.405925939999999</v>
      </c>
      <c r="Z15" s="35">
        <f t="shared" si="13"/>
        <v>0.80435555639999989</v>
      </c>
      <c r="AA15" s="35">
        <f t="shared" si="13"/>
        <v>1.8364282109589041</v>
      </c>
      <c r="AB15" s="42">
        <f t="shared" ref="AB15:AB24" si="37">I6/H6</f>
        <v>4.4078087007543169E-2</v>
      </c>
      <c r="AC15" s="36">
        <f t="shared" si="14"/>
        <v>0.53186999999999995</v>
      </c>
      <c r="AD15" s="34">
        <f t="shared" si="15"/>
        <v>0.5860638593661821</v>
      </c>
      <c r="AE15" s="35">
        <f t="shared" si="16"/>
        <v>7.7938760900000004</v>
      </c>
      <c r="AF15" s="35">
        <f t="shared" si="16"/>
        <v>0.46763256539999998</v>
      </c>
      <c r="AG15" s="35">
        <f t="shared" si="16"/>
        <v>1.0676542589041096</v>
      </c>
      <c r="AH15" s="42">
        <f t="shared" ref="AH15:AH23" si="38">I20/H20</f>
        <v>7.0990236900212264E-2</v>
      </c>
      <c r="AI15" s="36">
        <f t="shared" ref="AI15:AI23" si="39">R20</f>
        <v>0.49801000000000006</v>
      </c>
      <c r="AJ15" s="34">
        <f t="shared" si="17"/>
        <v>0.43954789452463655</v>
      </c>
      <c r="AK15" s="35">
        <f t="shared" si="18"/>
        <v>2.2254774300000002</v>
      </c>
      <c r="AL15" s="35">
        <f t="shared" si="18"/>
        <v>0.13352864580000001</v>
      </c>
      <c r="AM15" s="35">
        <f t="shared" si="18"/>
        <v>0.30485992191780825</v>
      </c>
      <c r="AN15" s="42">
        <f t="shared" ref="AN15:AN23" si="40">I34/H34</f>
        <v>0.38653008042413611</v>
      </c>
      <c r="AO15" s="36">
        <f t="shared" ref="AO15:AO23" si="41">R34</f>
        <v>0.77427000000000001</v>
      </c>
      <c r="AP15" s="34">
        <f t="shared" si="19"/>
        <v>0.35163831561970926</v>
      </c>
      <c r="AQ15" s="35">
        <f t="shared" si="20"/>
        <v>6.0631936199999998</v>
      </c>
      <c r="AR15" s="35">
        <f t="shared" si="20"/>
        <v>0.36379161719999997</v>
      </c>
      <c r="AS15" s="35">
        <f t="shared" si="20"/>
        <v>0.83057446849315064</v>
      </c>
      <c r="AT15" s="42">
        <f t="shared" ref="AT15:AT23" si="42">I48/H48</f>
        <v>0.14236214181792864</v>
      </c>
      <c r="AU15" s="36">
        <f t="shared" ref="AU15:AU23" si="43">R48</f>
        <v>0.77693000000000001</v>
      </c>
      <c r="AV15" s="34">
        <f t="shared" si="21"/>
        <v>0.29303192968309105</v>
      </c>
      <c r="AW15" s="35">
        <f t="shared" si="22"/>
        <v>5.5256251599999997</v>
      </c>
      <c r="AX15" s="35">
        <f t="shared" si="22"/>
        <v>0.33153750959999995</v>
      </c>
      <c r="AY15" s="35">
        <f t="shared" si="22"/>
        <v>0.75693495342465755</v>
      </c>
      <c r="AZ15" s="42">
        <f t="shared" ref="AZ15:AZ23" si="44">I62/H62</f>
        <v>0.16519555409002809</v>
      </c>
      <c r="BA15" s="36">
        <f t="shared" ref="BA15:BA23" si="45">R62</f>
        <v>0.82161000000000006</v>
      </c>
      <c r="BB15" s="34">
        <f t="shared" si="23"/>
        <v>0.25117022544264944</v>
      </c>
      <c r="BC15" s="35">
        <f t="shared" si="24"/>
        <v>5.5221143999999995</v>
      </c>
      <c r="BD15" s="35">
        <f t="shared" si="24"/>
        <v>0.33132686399999994</v>
      </c>
      <c r="BE15" s="35">
        <f t="shared" si="24"/>
        <v>0.7564540273972602</v>
      </c>
      <c r="BF15" s="42">
        <f t="shared" ref="BF15:BF23" si="46">I76/H76</f>
        <v>0.15427530983421858</v>
      </c>
      <c r="BG15" s="36">
        <f t="shared" ref="BG15:BG23" si="47">R76</f>
        <v>0.76680999999999999</v>
      </c>
      <c r="BH15" s="34">
        <f t="shared" si="25"/>
        <v>0.21977394726231828</v>
      </c>
      <c r="BI15" s="35">
        <f t="shared" si="26"/>
        <v>5.5852303099999991</v>
      </c>
      <c r="BJ15" s="35">
        <f t="shared" si="26"/>
        <v>0.33511381859999995</v>
      </c>
      <c r="BK15" s="35">
        <f t="shared" si="26"/>
        <v>0.76510004246575336</v>
      </c>
      <c r="BL15" s="42">
        <f t="shared" ref="BL15:BL22" si="48">I90/H90</f>
        <v>0.19109804444214581</v>
      </c>
      <c r="BM15" s="36">
        <f t="shared" ref="BM15:BM22" si="49">R90</f>
        <v>0.96068999999999993</v>
      </c>
      <c r="BN15" s="34">
        <f t="shared" si="27"/>
        <v>0.19535461978872734</v>
      </c>
      <c r="BO15" s="35">
        <f t="shared" si="28"/>
        <v>4.6049505700000015</v>
      </c>
      <c r="BP15" s="35">
        <f t="shared" si="28"/>
        <v>0.27629703420000007</v>
      </c>
      <c r="BQ15" s="35">
        <f t="shared" si="28"/>
        <v>0.63081514657534266</v>
      </c>
      <c r="BR15" s="42">
        <f t="shared" ref="BR15:BR22" si="50">I104/H104</f>
        <v>0.11807849220844076</v>
      </c>
      <c r="BS15" s="36">
        <f t="shared" ref="BS15:BS22" si="51">R104</f>
        <v>0.48941999999999997</v>
      </c>
      <c r="BT15" s="34">
        <f t="shared" si="29"/>
        <v>0.17581915780985463</v>
      </c>
      <c r="BU15" s="35">
        <f t="shared" si="30"/>
        <v>4.0901909400000003</v>
      </c>
      <c r="BV15" s="35">
        <f t="shared" si="30"/>
        <v>0.24541145640000001</v>
      </c>
      <c r="BW15" s="35">
        <f t="shared" si="30"/>
        <v>0.56030012876712332</v>
      </c>
      <c r="BX15" s="42">
        <f t="shared" ref="BX15:BX22" si="52">I118/H118</f>
        <v>0.17095563269718653</v>
      </c>
      <c r="BY15" s="36">
        <f t="shared" ref="BY15:BY22" si="53">R118</f>
        <v>0.62938000000000005</v>
      </c>
      <c r="BZ15" s="34">
        <f t="shared" si="31"/>
        <v>0.11721277187323642</v>
      </c>
      <c r="CA15" s="35">
        <f t="shared" si="32"/>
        <v>5.1263095400000003</v>
      </c>
      <c r="CB15" s="35">
        <f t="shared" si="32"/>
        <v>0.30757857240000003</v>
      </c>
      <c r="CC15" s="35">
        <f t="shared" si="32"/>
        <v>0.70223418356164391</v>
      </c>
      <c r="CD15" s="42">
        <f t="shared" ref="CD15:CD19" si="54">I132/H132</f>
        <v>0.28773725981439657</v>
      </c>
      <c r="CE15" s="36">
        <f t="shared" ref="CE15:CE19" si="55">R132</f>
        <v>1.3276600000000001</v>
      </c>
      <c r="CF15" s="34">
        <f t="shared" si="33"/>
        <v>8.7909578904927316E-2</v>
      </c>
      <c r="CG15" s="35">
        <f t="shared" si="34"/>
        <v>3.8907664399999997</v>
      </c>
      <c r="CH15" s="35">
        <f t="shared" si="34"/>
        <v>0.23344598639999997</v>
      </c>
      <c r="CI15" s="35">
        <f t="shared" si="34"/>
        <v>0.53298170410958901</v>
      </c>
      <c r="CJ15" s="42">
        <f t="shared" ref="CJ15:CJ18" si="56">I146/H146</f>
        <v>0.28371177941999526</v>
      </c>
      <c r="CK15" s="36">
        <f t="shared" ref="CK15:CK18" si="57">R146</f>
        <v>0.99357000000000006</v>
      </c>
      <c r="CL15" s="34">
        <f t="shared" si="35"/>
        <v>7.0327663123941841E-2</v>
      </c>
      <c r="CM15" s="35">
        <f t="shared" si="36"/>
        <v>4.5701651600000011</v>
      </c>
      <c r="CN15" s="35">
        <f t="shared" si="36"/>
        <v>0.27420990960000008</v>
      </c>
      <c r="CO15" s="35">
        <f t="shared" si="36"/>
        <v>0.62605002191780834</v>
      </c>
      <c r="CP15" s="42">
        <f t="shared" ref="CP15:CP18" si="58">I160/H160</f>
        <v>0.29130485516195209</v>
      </c>
      <c r="CQ15" s="36">
        <f t="shared" ref="CQ15:CQ18" si="59">R160</f>
        <v>1.1982999999999999</v>
      </c>
    </row>
    <row r="16" spans="2:95" ht="15" thickTop="1" x14ac:dyDescent="0.3">
      <c r="X16" s="34">
        <f t="shared" si="12"/>
        <v>0.75839041370735061</v>
      </c>
      <c r="Y16" s="35">
        <f t="shared" si="13"/>
        <v>13.85623646</v>
      </c>
      <c r="Z16" s="35">
        <f t="shared" si="13"/>
        <v>0.83137418759999993</v>
      </c>
      <c r="AA16" s="35">
        <f t="shared" si="13"/>
        <v>1.8981145835616438</v>
      </c>
      <c r="AB16" s="42">
        <f t="shared" si="37"/>
        <v>3.4043839491463182E-2</v>
      </c>
      <c r="AC16" s="36">
        <f t="shared" si="14"/>
        <v>0.42458999999999997</v>
      </c>
      <c r="AD16" s="34">
        <f t="shared" si="15"/>
        <v>0.5055936091382337</v>
      </c>
      <c r="AE16" s="35">
        <f t="shared" si="16"/>
        <v>8.6220932600000015</v>
      </c>
      <c r="AF16" s="35">
        <f t="shared" si="16"/>
        <v>0.51732559560000002</v>
      </c>
      <c r="AG16" s="35">
        <f t="shared" si="16"/>
        <v>1.1811086657534249</v>
      </c>
      <c r="AH16" s="42">
        <f t="shared" si="38"/>
        <v>6.9675774998518167E-2</v>
      </c>
      <c r="AI16" s="36">
        <f t="shared" si="39"/>
        <v>0.54073000000000004</v>
      </c>
      <c r="AJ16" s="34">
        <f t="shared" si="17"/>
        <v>0.3791952068536753</v>
      </c>
      <c r="AK16" s="35">
        <f t="shared" si="18"/>
        <v>6.3916385500000006</v>
      </c>
      <c r="AL16" s="35">
        <f t="shared" si="18"/>
        <v>0.38349831300000004</v>
      </c>
      <c r="AM16" s="35">
        <f t="shared" si="18"/>
        <v>0.87556692465753438</v>
      </c>
      <c r="AN16" s="42">
        <f t="shared" si="40"/>
        <v>0.10802965383579145</v>
      </c>
      <c r="AO16" s="36">
        <f t="shared" si="41"/>
        <v>0.62150000000000005</v>
      </c>
      <c r="AP16" s="34">
        <f t="shared" si="19"/>
        <v>0.30335616548294025</v>
      </c>
      <c r="AQ16" s="35">
        <f t="shared" si="20"/>
        <v>6.7312823600000007</v>
      </c>
      <c r="AR16" s="35">
        <f t="shared" si="20"/>
        <v>0.40387694160000004</v>
      </c>
      <c r="AS16" s="35">
        <f t="shared" si="20"/>
        <v>0.92209347397260288</v>
      </c>
      <c r="AT16" s="42">
        <f t="shared" si="42"/>
        <v>0.11009513497811432</v>
      </c>
      <c r="AU16" s="36">
        <f t="shared" si="43"/>
        <v>0.66703999999999997</v>
      </c>
      <c r="AV16" s="34">
        <f t="shared" si="21"/>
        <v>0.25279680456911685</v>
      </c>
      <c r="AW16" s="35">
        <f t="shared" si="22"/>
        <v>5.9512381500000009</v>
      </c>
      <c r="AX16" s="35">
        <f t="shared" si="22"/>
        <v>0.35707428900000004</v>
      </c>
      <c r="AY16" s="35">
        <f t="shared" si="22"/>
        <v>0.81523810273972619</v>
      </c>
      <c r="AZ16" s="42">
        <f t="shared" si="44"/>
        <v>0.12347829333632028</v>
      </c>
      <c r="BA16" s="36">
        <f t="shared" si="45"/>
        <v>0.66143000000000007</v>
      </c>
      <c r="BB16" s="34">
        <f t="shared" si="23"/>
        <v>0.21668297534495734</v>
      </c>
      <c r="BC16" s="35">
        <f t="shared" si="24"/>
        <v>5.2491417000000009</v>
      </c>
      <c r="BD16" s="35">
        <f t="shared" si="24"/>
        <v>0.31494850200000002</v>
      </c>
      <c r="BE16" s="35">
        <f t="shared" si="24"/>
        <v>0.71906050684931522</v>
      </c>
      <c r="BF16" s="42">
        <f t="shared" si="46"/>
        <v>0.12854149469807605</v>
      </c>
      <c r="BG16" s="36">
        <f t="shared" si="47"/>
        <v>0.60731999999999997</v>
      </c>
      <c r="BH16" s="34">
        <f t="shared" si="25"/>
        <v>0.18959760342683765</v>
      </c>
      <c r="BI16" s="35">
        <f t="shared" si="26"/>
        <v>5.3052471999999984</v>
      </c>
      <c r="BJ16" s="35">
        <f t="shared" si="26"/>
        <v>0.31831483199999988</v>
      </c>
      <c r="BK16" s="35">
        <f t="shared" si="26"/>
        <v>0.72674619178082167</v>
      </c>
      <c r="BL16" s="42">
        <f t="shared" si="48"/>
        <v>0.16907564081085613</v>
      </c>
      <c r="BM16" s="36">
        <f t="shared" si="49"/>
        <v>0.80737000000000003</v>
      </c>
      <c r="BN16" s="34">
        <f t="shared" si="27"/>
        <v>0.16853120304607791</v>
      </c>
      <c r="BO16" s="35">
        <f t="shared" si="28"/>
        <v>5.0571053500000014</v>
      </c>
      <c r="BP16" s="35">
        <f t="shared" si="28"/>
        <v>0.30342632100000005</v>
      </c>
      <c r="BQ16" s="35">
        <f t="shared" si="28"/>
        <v>0.69275415753424674</v>
      </c>
      <c r="BR16" s="42">
        <f t="shared" si="50"/>
        <v>0.16337752781835957</v>
      </c>
      <c r="BS16" s="36">
        <f t="shared" si="51"/>
        <v>0.74366999999999994</v>
      </c>
      <c r="BT16" s="34">
        <f t="shared" si="29"/>
        <v>0.15167808274147013</v>
      </c>
      <c r="BU16" s="35">
        <f t="shared" si="30"/>
        <v>4.7353819700000006</v>
      </c>
      <c r="BV16" s="35">
        <f t="shared" si="30"/>
        <v>0.28412291820000002</v>
      </c>
      <c r="BW16" s="35">
        <f t="shared" si="30"/>
        <v>0.64868246164383569</v>
      </c>
      <c r="BX16" s="42">
        <f t="shared" si="52"/>
        <v>0.12090974996891327</v>
      </c>
      <c r="BY16" s="36">
        <f t="shared" si="53"/>
        <v>0.51534999999999997</v>
      </c>
      <c r="BZ16" s="34">
        <f t="shared" si="31"/>
        <v>0.10111872182764674</v>
      </c>
      <c r="CA16" s="35">
        <f t="shared" si="32"/>
        <v>4.6552010999999993</v>
      </c>
      <c r="CB16" s="35">
        <f t="shared" si="32"/>
        <v>0.27931206599999997</v>
      </c>
      <c r="CC16" s="35">
        <f t="shared" si="32"/>
        <v>0.63769878082191778</v>
      </c>
      <c r="CD16" s="42">
        <f t="shared" si="54"/>
        <v>0.25756903176535167</v>
      </c>
      <c r="CE16" s="36">
        <f t="shared" si="55"/>
        <v>1.07924</v>
      </c>
      <c r="CF16" s="34">
        <f t="shared" si="33"/>
        <v>7.5839041370735064E-2</v>
      </c>
      <c r="CG16" s="35">
        <f t="shared" si="34"/>
        <v>3.9251185599999996</v>
      </c>
      <c r="CH16" s="35">
        <f t="shared" si="34"/>
        <v>0.23550711359999996</v>
      </c>
      <c r="CI16" s="35">
        <f t="shared" si="34"/>
        <v>0.53768747397260275</v>
      </c>
      <c r="CJ16" s="42">
        <f t="shared" si="56"/>
        <v>0.27622729948824781</v>
      </c>
      <c r="CK16" s="36">
        <f t="shared" si="57"/>
        <v>0.97589999999999999</v>
      </c>
      <c r="CL16" s="34">
        <f t="shared" si="35"/>
        <v>6.0671233096588048E-2</v>
      </c>
      <c r="CM16" s="35">
        <f t="shared" si="36"/>
        <v>5.53319107</v>
      </c>
      <c r="CN16" s="35">
        <f t="shared" si="36"/>
        <v>0.33199146419999997</v>
      </c>
      <c r="CO16" s="35">
        <f t="shared" si="36"/>
        <v>0.75797137945205484</v>
      </c>
      <c r="CP16" s="42">
        <f t="shared" si="58"/>
        <v>0.3159182952270615</v>
      </c>
      <c r="CQ16" s="36">
        <f t="shared" si="59"/>
        <v>1.5733900000000001</v>
      </c>
    </row>
    <row r="17" spans="2:95" ht="15" thickBot="1" x14ac:dyDescent="0.35">
      <c r="X17" s="34">
        <f t="shared" si="12"/>
        <v>0.45933865009451386</v>
      </c>
      <c r="Y17" s="35">
        <f t="shared" si="13"/>
        <v>12.81757367</v>
      </c>
      <c r="Z17" s="35">
        <f t="shared" si="13"/>
        <v>0.76905442019999992</v>
      </c>
      <c r="AA17" s="35">
        <f t="shared" si="13"/>
        <v>1.7558320095890412</v>
      </c>
      <c r="AB17" s="42">
        <f t="shared" si="37"/>
        <v>3.8770145020746348E-2</v>
      </c>
      <c r="AC17" s="36">
        <f t="shared" si="14"/>
        <v>0.44728999999999997</v>
      </c>
      <c r="AD17" s="34">
        <f t="shared" si="15"/>
        <v>0.30622576672967589</v>
      </c>
      <c r="AE17" s="35">
        <f t="shared" si="16"/>
        <v>7.703818430000001</v>
      </c>
      <c r="AF17" s="35">
        <f t="shared" si="16"/>
        <v>0.46222910580000004</v>
      </c>
      <c r="AG17" s="35">
        <f t="shared" si="16"/>
        <v>1.0553175931506851</v>
      </c>
      <c r="AH17" s="42">
        <f t="shared" si="38"/>
        <v>6.1374678582605174E-2</v>
      </c>
      <c r="AI17" s="36">
        <f t="shared" si="39"/>
        <v>0.42558000000000001</v>
      </c>
      <c r="AJ17" s="34">
        <f t="shared" si="17"/>
        <v>0.22966932504725693</v>
      </c>
      <c r="AK17" s="35">
        <f t="shared" si="18"/>
        <v>5.1132441800000006</v>
      </c>
      <c r="AL17" s="35">
        <f t="shared" si="18"/>
        <v>0.30679465080000001</v>
      </c>
      <c r="AM17" s="35">
        <f t="shared" si="18"/>
        <v>0.70044440821917819</v>
      </c>
      <c r="AN17" s="42">
        <f t="shared" si="40"/>
        <v>0.1080745179667911</v>
      </c>
      <c r="AO17" s="36">
        <f t="shared" si="41"/>
        <v>0.49740000000000001</v>
      </c>
      <c r="AP17" s="34">
        <f t="shared" si="19"/>
        <v>0.18373546003780555</v>
      </c>
      <c r="AQ17" s="35">
        <f t="shared" si="20"/>
        <v>5.3402770299999993</v>
      </c>
      <c r="AR17" s="35">
        <f t="shared" si="20"/>
        <v>0.32041662179999997</v>
      </c>
      <c r="AS17" s="35">
        <f t="shared" si="20"/>
        <v>0.73154479863013688</v>
      </c>
      <c r="AT17" s="42">
        <f t="shared" si="42"/>
        <v>0.12895877238788117</v>
      </c>
      <c r="AU17" s="36">
        <f t="shared" si="43"/>
        <v>0.61987000000000003</v>
      </c>
      <c r="AV17" s="34">
        <f t="shared" si="21"/>
        <v>0.15311288336483794</v>
      </c>
      <c r="AW17" s="35">
        <f t="shared" si="22"/>
        <v>5.097545750000001</v>
      </c>
      <c r="AX17" s="35">
        <f t="shared" si="22"/>
        <v>0.30585274500000004</v>
      </c>
      <c r="AY17" s="35">
        <f t="shared" si="22"/>
        <v>0.69829393835616449</v>
      </c>
      <c r="AZ17" s="42">
        <f t="shared" si="44"/>
        <v>0.11507873372200732</v>
      </c>
      <c r="BA17" s="36">
        <f t="shared" si="45"/>
        <v>0.52801000000000009</v>
      </c>
      <c r="BB17" s="34">
        <f t="shared" si="23"/>
        <v>0.13123961431271824</v>
      </c>
      <c r="BC17" s="35">
        <f t="shared" si="24"/>
        <v>4.5869745900000005</v>
      </c>
      <c r="BD17" s="35">
        <f t="shared" si="24"/>
        <v>0.2752184754</v>
      </c>
      <c r="BE17" s="35">
        <f t="shared" si="24"/>
        <v>0.62835268356164398</v>
      </c>
      <c r="BF17" s="42">
        <f t="shared" si="46"/>
        <v>0.16283857591633183</v>
      </c>
      <c r="BG17" s="36">
        <f t="shared" si="47"/>
        <v>0.67231000000000007</v>
      </c>
      <c r="BH17" s="34">
        <f t="shared" si="25"/>
        <v>0.11483466252362846</v>
      </c>
      <c r="BI17" s="35">
        <f t="shared" si="26"/>
        <v>3.4033263000000002</v>
      </c>
      <c r="BJ17" s="35">
        <f t="shared" si="26"/>
        <v>0.20419957800000002</v>
      </c>
      <c r="BK17" s="35">
        <f t="shared" si="26"/>
        <v>0.46620908219178087</v>
      </c>
      <c r="BL17" s="42">
        <f t="shared" si="48"/>
        <v>0.19743087519994776</v>
      </c>
      <c r="BM17" s="36">
        <f t="shared" si="49"/>
        <v>0.60478999999999994</v>
      </c>
      <c r="BN17" s="34">
        <f t="shared" si="27"/>
        <v>0.10207525557655864</v>
      </c>
      <c r="BO17" s="35">
        <f t="shared" si="28"/>
        <v>3.0554388700000006</v>
      </c>
      <c r="BP17" s="35">
        <f t="shared" si="28"/>
        <v>0.18332633220000003</v>
      </c>
      <c r="BQ17" s="35">
        <f t="shared" si="28"/>
        <v>0.41855326986301378</v>
      </c>
      <c r="BR17" s="42">
        <f t="shared" si="50"/>
        <v>0.25958758913085372</v>
      </c>
      <c r="BS17" s="36">
        <f t="shared" si="51"/>
        <v>0.71391000000000004</v>
      </c>
      <c r="BT17" s="34">
        <f t="shared" si="29"/>
        <v>9.1867730018902777E-2</v>
      </c>
      <c r="BU17" s="35">
        <f t="shared" si="30"/>
        <v>2.4232576499999996</v>
      </c>
      <c r="BV17" s="35">
        <f t="shared" si="30"/>
        <v>0.14539545899999998</v>
      </c>
      <c r="BW17" s="35">
        <f t="shared" si="30"/>
        <v>0.331953102739726</v>
      </c>
      <c r="BX17" s="42">
        <f t="shared" si="52"/>
        <v>0.43356944730990538</v>
      </c>
      <c r="BY17" s="36">
        <f t="shared" si="53"/>
        <v>0.94567999999999997</v>
      </c>
      <c r="BZ17" s="34">
        <f t="shared" si="31"/>
        <v>6.124515334593518E-2</v>
      </c>
      <c r="CA17" s="35">
        <f t="shared" si="32"/>
        <v>2.9249296999999999</v>
      </c>
      <c r="CB17" s="35">
        <f t="shared" si="32"/>
        <v>0.17549578199999999</v>
      </c>
      <c r="CC17" s="35">
        <f t="shared" si="32"/>
        <v>0.40067530136986301</v>
      </c>
      <c r="CD17" s="42">
        <f t="shared" si="54"/>
        <v>0.71520872108481792</v>
      </c>
      <c r="CE17" s="36">
        <f t="shared" si="55"/>
        <v>1.88293</v>
      </c>
      <c r="CF17" s="34">
        <f t="shared" si="33"/>
        <v>4.5933865009451388E-2</v>
      </c>
      <c r="CG17" s="35">
        <f t="shared" si="34"/>
        <v>0.96264817000000003</v>
      </c>
      <c r="CH17" s="35">
        <f t="shared" si="34"/>
        <v>5.7758890199999996E-2</v>
      </c>
      <c r="CI17" s="35">
        <f t="shared" si="34"/>
        <v>0.13186961232876712</v>
      </c>
      <c r="CJ17" s="42">
        <f t="shared" si="56"/>
        <v>2.6319318614608704</v>
      </c>
      <c r="CK17" s="36">
        <f t="shared" si="57"/>
        <v>2.2804900000000004</v>
      </c>
      <c r="CL17" s="34">
        <f t="shared" si="35"/>
        <v>3.6747092007561107E-2</v>
      </c>
      <c r="CM17" s="35">
        <f t="shared" si="36"/>
        <v>-0.20014665000000006</v>
      </c>
      <c r="CN17" s="35">
        <f t="shared" si="36"/>
        <v>-1.2008799000000004E-2</v>
      </c>
      <c r="CO17" s="35">
        <f t="shared" si="36"/>
        <v>-2.7417349315068503E-2</v>
      </c>
      <c r="CP17" s="42">
        <f t="shared" si="58"/>
        <v>-14.724618373577572</v>
      </c>
      <c r="CQ17" s="36">
        <f t="shared" si="59"/>
        <v>2.6526400000000003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0.33199314008207653</v>
      </c>
      <c r="Y18" s="35">
        <f t="shared" si="13"/>
        <v>10.029096990000001</v>
      </c>
      <c r="Z18" s="35">
        <f t="shared" si="13"/>
        <v>0.60174581940000005</v>
      </c>
      <c r="AA18" s="35">
        <f t="shared" si="13"/>
        <v>1.3738489027397263</v>
      </c>
      <c r="AB18" s="42">
        <f t="shared" si="37"/>
        <v>4.6344946156513335E-2</v>
      </c>
      <c r="AC18" s="36">
        <f t="shared" si="14"/>
        <v>0.41836000000000001</v>
      </c>
      <c r="AD18" s="34">
        <f t="shared" si="15"/>
        <v>0.22132876005471772</v>
      </c>
      <c r="AE18" s="35">
        <f t="shared" si="16"/>
        <v>6.6977857100000016</v>
      </c>
      <c r="AF18" s="35">
        <f t="shared" si="16"/>
        <v>0.40186714260000006</v>
      </c>
      <c r="AG18" s="35">
        <f t="shared" si="16"/>
        <v>0.91750489178082217</v>
      </c>
      <c r="AH18" s="42">
        <f t="shared" si="38"/>
        <v>7.8412768449111811E-2</v>
      </c>
      <c r="AI18" s="36">
        <f t="shared" si="39"/>
        <v>0.47271999999999997</v>
      </c>
      <c r="AJ18" s="34">
        <f t="shared" si="17"/>
        <v>0.16599657004103827</v>
      </c>
      <c r="AK18" s="35">
        <f t="shared" si="18"/>
        <v>3.7569131600000008</v>
      </c>
      <c r="AL18" s="35">
        <f t="shared" si="18"/>
        <v>0.22541478960000003</v>
      </c>
      <c r="AM18" s="35">
        <f t="shared" si="18"/>
        <v>0.5146456383561645</v>
      </c>
      <c r="AN18" s="42">
        <f t="shared" si="40"/>
        <v>0.14582914394539798</v>
      </c>
      <c r="AO18" s="36">
        <f t="shared" si="41"/>
        <v>0.49313000000000001</v>
      </c>
      <c r="AP18" s="34">
        <f t="shared" si="19"/>
        <v>0.1327972560328306</v>
      </c>
      <c r="AQ18" s="35">
        <f t="shared" si="20"/>
        <v>3.24626423</v>
      </c>
      <c r="AR18" s="35">
        <f t="shared" si="20"/>
        <v>0.19477585379999998</v>
      </c>
      <c r="AS18" s="35">
        <f t="shared" si="20"/>
        <v>0.44469373013698632</v>
      </c>
      <c r="AT18" s="42">
        <f t="shared" si="42"/>
        <v>0.23170301821056632</v>
      </c>
      <c r="AU18" s="36">
        <f t="shared" si="43"/>
        <v>0.67701999999999996</v>
      </c>
      <c r="AV18" s="34">
        <f t="shared" si="21"/>
        <v>0.11066438002735886</v>
      </c>
      <c r="AW18" s="35">
        <f t="shared" si="22"/>
        <v>2.9389394099999997</v>
      </c>
      <c r="AX18" s="35">
        <f t="shared" si="22"/>
        <v>0.17633636459999996</v>
      </c>
      <c r="AY18" s="35">
        <f t="shared" si="22"/>
        <v>0.40259443972602738</v>
      </c>
      <c r="AZ18" s="42">
        <f t="shared" si="44"/>
        <v>0.21898000612404595</v>
      </c>
      <c r="BA18" s="36">
        <f t="shared" si="45"/>
        <v>0.57926999999999995</v>
      </c>
      <c r="BB18" s="34">
        <f t="shared" si="23"/>
        <v>9.4855182880593303E-2</v>
      </c>
      <c r="BC18" s="35">
        <f t="shared" si="24"/>
        <v>2.2661178100000003</v>
      </c>
      <c r="BD18" s="35">
        <f t="shared" si="24"/>
        <v>0.13596706860000002</v>
      </c>
      <c r="BE18" s="35">
        <f t="shared" si="24"/>
        <v>0.31042709726027401</v>
      </c>
      <c r="BF18" s="42">
        <f t="shared" si="46"/>
        <v>0.24789308284020764</v>
      </c>
      <c r="BG18" s="36">
        <f t="shared" si="47"/>
        <v>0.50563000000000002</v>
      </c>
      <c r="BH18" s="34">
        <f t="shared" si="25"/>
        <v>8.2998285020519133E-2</v>
      </c>
      <c r="BI18" s="35">
        <f t="shared" si="26"/>
        <v>2.8679131799999995</v>
      </c>
      <c r="BJ18" s="35">
        <f t="shared" si="26"/>
        <v>0.17207479079999996</v>
      </c>
      <c r="BK18" s="35">
        <f t="shared" si="26"/>
        <v>0.39286481917808214</v>
      </c>
      <c r="BL18" s="42">
        <f t="shared" si="48"/>
        <v>0.25109050197956134</v>
      </c>
      <c r="BM18" s="36">
        <f t="shared" si="49"/>
        <v>0.64816000000000007</v>
      </c>
      <c r="BN18" s="34">
        <f t="shared" si="27"/>
        <v>7.3776253351572563E-2</v>
      </c>
      <c r="BO18" s="35">
        <f t="shared" si="28"/>
        <v>1.8225621700000001</v>
      </c>
      <c r="BP18" s="35">
        <f t="shared" si="28"/>
        <v>0.1093537302</v>
      </c>
      <c r="BQ18" s="35">
        <f t="shared" si="28"/>
        <v>0.24966605068493153</v>
      </c>
      <c r="BR18" s="42">
        <f t="shared" si="50"/>
        <v>0.46334282248380032</v>
      </c>
      <c r="BS18" s="36">
        <f t="shared" si="51"/>
        <v>0.7601</v>
      </c>
      <c r="BT18" s="34">
        <f t="shared" si="29"/>
        <v>6.6398628016415301E-2</v>
      </c>
      <c r="BU18" s="35">
        <f t="shared" si="30"/>
        <v>0.79105422000000014</v>
      </c>
      <c r="BV18" s="35">
        <f t="shared" si="30"/>
        <v>4.7463253200000007E-2</v>
      </c>
      <c r="BW18" s="35">
        <f t="shared" si="30"/>
        <v>0.10836359178082194</v>
      </c>
      <c r="BX18" s="42">
        <f t="shared" si="52"/>
        <v>2.3386140838740483</v>
      </c>
      <c r="BY18" s="36">
        <f t="shared" si="53"/>
        <v>1.6651400000000001</v>
      </c>
      <c r="BZ18" s="34">
        <f t="shared" si="31"/>
        <v>4.4265752010943536E-2</v>
      </c>
      <c r="CA18" s="35">
        <f t="shared" si="32"/>
        <v>1.8044862000000004</v>
      </c>
      <c r="CB18" s="35">
        <f t="shared" si="32"/>
        <v>0.10826917200000002</v>
      </c>
      <c r="CC18" s="35">
        <f t="shared" si="32"/>
        <v>0.24718989041095896</v>
      </c>
      <c r="CD18" s="42">
        <f t="shared" si="54"/>
        <v>0.76580470385420507</v>
      </c>
      <c r="CE18" s="36">
        <f t="shared" si="55"/>
        <v>1.2438200000000001</v>
      </c>
      <c r="CF18" s="34">
        <f t="shared" si="33"/>
        <v>3.319931400820765E-2</v>
      </c>
      <c r="CG18" s="35">
        <f t="shared" si="34"/>
        <v>1.9568487400000001</v>
      </c>
      <c r="CH18" s="35">
        <f t="shared" si="34"/>
        <v>0.11741092440000001</v>
      </c>
      <c r="CI18" s="35">
        <f t="shared" si="34"/>
        <v>0.26806147123287671</v>
      </c>
      <c r="CJ18" s="42">
        <f t="shared" si="56"/>
        <v>0.74006154405168789</v>
      </c>
      <c r="CK18" s="36">
        <f t="shared" si="57"/>
        <v>1.3035000000000001</v>
      </c>
      <c r="CL18" s="34">
        <f t="shared" si="35"/>
        <v>2.6559451206566127E-2</v>
      </c>
      <c r="CM18" s="35">
        <f t="shared" si="36"/>
        <v>1.47325266</v>
      </c>
      <c r="CN18" s="35">
        <f t="shared" si="36"/>
        <v>8.8395159599999995E-2</v>
      </c>
      <c r="CO18" s="35">
        <f t="shared" si="36"/>
        <v>0.20181543287671233</v>
      </c>
      <c r="CP18" s="42">
        <f t="shared" si="58"/>
        <v>0.65903503612204573</v>
      </c>
      <c r="CQ18" s="36">
        <f t="shared" si="59"/>
        <v>0.87392000000000003</v>
      </c>
    </row>
    <row r="19" spans="2:95" ht="15" thickTop="1" x14ac:dyDescent="0.3">
      <c r="B19">
        <v>1</v>
      </c>
      <c r="C19">
        <v>-6134.9</v>
      </c>
      <c r="D19">
        <v>45902</v>
      </c>
      <c r="E19">
        <v>9695</v>
      </c>
      <c r="F19">
        <f t="shared" ref="F19:F29" si="60">D19/10000</f>
        <v>4.5902000000000003</v>
      </c>
      <c r="G19">
        <f t="shared" ref="G19:G29" si="61">C19/10000</f>
        <v>-0.61348999999999998</v>
      </c>
      <c r="H19">
        <f t="shared" ref="H19:H29" si="62">F19-G19</f>
        <v>5.2036899999999999</v>
      </c>
      <c r="I19">
        <f>E19/10000</f>
        <v>0.96950000000000003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0.6606973418001888</v>
      </c>
      <c r="P19" s="2">
        <v>3</v>
      </c>
      <c r="Q19" s="8">
        <f>H19</f>
        <v>5.2036899999999999</v>
      </c>
      <c r="R19" s="8">
        <f>I19</f>
        <v>0.96950000000000003</v>
      </c>
      <c r="S19" s="8">
        <f>Q19/10^6*$Z$4*$Z$3/P19*10^12</f>
        <v>5.7812995899999997</v>
      </c>
      <c r="T19" s="8">
        <f>S19*0.06</f>
        <v>0.34687797539999998</v>
      </c>
      <c r="U19" s="8">
        <f>S19/$Z$1</f>
        <v>0.79195884794520544</v>
      </c>
      <c r="V19" s="12">
        <f t="shared" ref="V19:V29" si="63">O19</f>
        <v>0.6606973418001888</v>
      </c>
      <c r="W19" s="19"/>
      <c r="X19" s="34">
        <f t="shared" si="12"/>
        <v>0.22980318260987831</v>
      </c>
      <c r="Y19" s="35">
        <f t="shared" si="13"/>
        <v>7.3539478650000012</v>
      </c>
      <c r="Z19" s="35">
        <f t="shared" si="13"/>
        <v>0.44123687190000005</v>
      </c>
      <c r="AA19" s="35">
        <f t="shared" si="13"/>
        <v>1.0073901184931509</v>
      </c>
      <c r="AB19" s="42">
        <f t="shared" si="37"/>
        <v>5.7169921206668764E-2</v>
      </c>
      <c r="AC19" s="36">
        <f t="shared" si="14"/>
        <v>0.50456000000000001</v>
      </c>
      <c r="AD19" s="34">
        <f t="shared" si="15"/>
        <v>0.15320212173991887</v>
      </c>
      <c r="AE19" s="35">
        <f t="shared" si="16"/>
        <v>4.7307102150000002</v>
      </c>
      <c r="AF19" s="35">
        <f t="shared" si="16"/>
        <v>0.28384261290000001</v>
      </c>
      <c r="AG19" s="35">
        <f t="shared" si="16"/>
        <v>0.64804249520547952</v>
      </c>
      <c r="AH19" s="42">
        <f t="shared" si="38"/>
        <v>0.1162024299769966</v>
      </c>
      <c r="AI19" s="36">
        <f t="shared" si="39"/>
        <v>0.65973000000000004</v>
      </c>
      <c r="AJ19" s="34">
        <f t="shared" si="17"/>
        <v>0.11490159130493915</v>
      </c>
      <c r="AK19" s="35">
        <f t="shared" si="18"/>
        <v>2.4053761049999998</v>
      </c>
      <c r="AL19" s="35">
        <f t="shared" si="18"/>
        <v>0.14432256629999998</v>
      </c>
      <c r="AM19" s="35">
        <f t="shared" si="18"/>
        <v>0.32950357602739722</v>
      </c>
      <c r="AN19" s="42">
        <f t="shared" si="40"/>
        <v>0.171141148839175</v>
      </c>
      <c r="AO19" s="36">
        <f t="shared" si="41"/>
        <v>0.49403999999999998</v>
      </c>
      <c r="AP19" s="34">
        <f t="shared" si="19"/>
        <v>9.1921273043951326E-2</v>
      </c>
      <c r="AQ19" s="35">
        <f t="shared" si="20"/>
        <v>1.9360730399999999</v>
      </c>
      <c r="AR19" s="35">
        <f t="shared" si="20"/>
        <v>0.11616438239999999</v>
      </c>
      <c r="AS19" s="35">
        <f t="shared" si="20"/>
        <v>0.26521548493150682</v>
      </c>
      <c r="AT19" s="42">
        <f t="shared" si="42"/>
        <v>0.24793847266216776</v>
      </c>
      <c r="AU19" s="36">
        <f t="shared" si="43"/>
        <v>0.57608999999999999</v>
      </c>
      <c r="AV19" s="34">
        <f t="shared" si="21"/>
        <v>7.6601060869959436E-2</v>
      </c>
      <c r="AW19" s="35">
        <f t="shared" si="22"/>
        <v>1.1137552800000001</v>
      </c>
      <c r="AX19" s="35">
        <f t="shared" si="22"/>
        <v>6.6825316800000006E-2</v>
      </c>
      <c r="AY19" s="35">
        <f t="shared" si="22"/>
        <v>0.15256921643835619</v>
      </c>
      <c r="AZ19" s="42">
        <f t="shared" si="44"/>
        <v>0.37491770409384723</v>
      </c>
      <c r="BA19" s="36">
        <f t="shared" si="45"/>
        <v>0.50112999999999996</v>
      </c>
      <c r="BB19" s="34">
        <f t="shared" si="23"/>
        <v>6.5658052174250942E-2</v>
      </c>
      <c r="BC19" s="35">
        <f t="shared" si="24"/>
        <v>1.8631719974999996</v>
      </c>
      <c r="BD19" s="35">
        <f t="shared" si="24"/>
        <v>0.11179031984999997</v>
      </c>
      <c r="BE19" s="35">
        <f t="shared" si="24"/>
        <v>0.25522904075342462</v>
      </c>
      <c r="BF19" s="42">
        <f t="shared" si="46"/>
        <v>0.24323466143119732</v>
      </c>
      <c r="BG19" s="36">
        <f t="shared" si="47"/>
        <v>0.54388000000000003</v>
      </c>
      <c r="BH19" s="34">
        <f t="shared" si="25"/>
        <v>5.7450795652469577E-2</v>
      </c>
      <c r="BI19" s="35">
        <f t="shared" si="26"/>
        <v>1.7262940199999999</v>
      </c>
      <c r="BJ19" s="35">
        <f t="shared" si="26"/>
        <v>0.10357764119999999</v>
      </c>
      <c r="BK19" s="35">
        <f t="shared" si="26"/>
        <v>0.23647863287671231</v>
      </c>
      <c r="BL19" s="42">
        <f t="shared" si="48"/>
        <v>0.24346932077074568</v>
      </c>
      <c r="BM19" s="36">
        <f t="shared" si="49"/>
        <v>0.50441000000000003</v>
      </c>
      <c r="BN19" s="34">
        <f t="shared" si="27"/>
        <v>5.1067373913306291E-2</v>
      </c>
      <c r="BO19" s="35">
        <f t="shared" si="28"/>
        <v>1.8382328250000004</v>
      </c>
      <c r="BP19" s="35">
        <f t="shared" si="28"/>
        <v>0.11029396950000002</v>
      </c>
      <c r="BQ19" s="35">
        <f t="shared" si="28"/>
        <v>0.25181271575342473</v>
      </c>
      <c r="BR19" s="42">
        <f t="shared" si="50"/>
        <v>0.21866642491274194</v>
      </c>
      <c r="BS19" s="36">
        <f t="shared" si="51"/>
        <v>0.4824</v>
      </c>
      <c r="BT19" s="34">
        <f t="shared" si="29"/>
        <v>4.5960636521975663E-2</v>
      </c>
      <c r="BU19" s="35">
        <f t="shared" si="30"/>
        <v>1.3072192650000003</v>
      </c>
      <c r="BV19" s="35">
        <f t="shared" si="30"/>
        <v>7.8433155900000009E-2</v>
      </c>
      <c r="BW19" s="35">
        <f t="shared" si="30"/>
        <v>0.17907113219178086</v>
      </c>
      <c r="BX19" s="42">
        <f t="shared" si="52"/>
        <v>0.34704427531520499</v>
      </c>
      <c r="BY19" s="36">
        <f t="shared" si="53"/>
        <v>0.54444999999999999</v>
      </c>
      <c r="BZ19" s="34">
        <f t="shared" si="31"/>
        <v>3.0640424347983773E-2</v>
      </c>
      <c r="CA19" s="35">
        <f t="shared" si="32"/>
        <v>1.5514198425000001</v>
      </c>
      <c r="CB19" s="35">
        <f t="shared" si="32"/>
        <v>9.3085190550000002E-2</v>
      </c>
      <c r="CC19" s="35">
        <f t="shared" si="32"/>
        <v>0.21252326609589042</v>
      </c>
      <c r="CD19" s="42">
        <f t="shared" si="54"/>
        <v>0.33022896089457487</v>
      </c>
      <c r="CE19" s="36">
        <f t="shared" si="55"/>
        <v>0.61485000000000001</v>
      </c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-2695.5</v>
      </c>
      <c r="D20">
        <v>67456.399999999994</v>
      </c>
      <c r="E20">
        <v>4980.1000000000004</v>
      </c>
      <c r="F20">
        <f t="shared" si="60"/>
        <v>6.7456399999999999</v>
      </c>
      <c r="G20">
        <f t="shared" si="61"/>
        <v>-0.26955000000000001</v>
      </c>
      <c r="H20">
        <f t="shared" si="62"/>
        <v>7.0151899999999996</v>
      </c>
      <c r="I20">
        <f t="shared" ref="I20:I29" si="64">E20/10000</f>
        <v>0.49801000000000006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0.5860638593661821</v>
      </c>
      <c r="P20" s="4">
        <v>3</v>
      </c>
      <c r="Q20" s="5">
        <f t="shared" ref="Q20:R29" si="67">H20</f>
        <v>7.0151899999999996</v>
      </c>
      <c r="R20" s="5">
        <f t="shared" si="67"/>
        <v>0.49801000000000006</v>
      </c>
      <c r="S20" s="5">
        <f t="shared" ref="S20:S29" si="68">Q20/10^6*$Z$4*$Z$3/P20*10^12</f>
        <v>7.7938760900000004</v>
      </c>
      <c r="T20" s="5">
        <f t="shared" ref="T20:T29" si="69">S20*0.06</f>
        <v>0.46763256539999998</v>
      </c>
      <c r="U20" s="5">
        <f t="shared" ref="U20:U29" si="70">S20/$Z$1</f>
        <v>1.0676542589041096</v>
      </c>
      <c r="V20" s="5">
        <f t="shared" si="63"/>
        <v>0.5860638593661821</v>
      </c>
      <c r="W20" s="19"/>
      <c r="X20" s="34">
        <f t="shared" si="12"/>
        <v>0.16612842792050866</v>
      </c>
      <c r="Y20" s="35">
        <f t="shared" si="13"/>
        <v>5.0779754849999996</v>
      </c>
      <c r="Z20" s="35">
        <f t="shared" si="13"/>
        <v>0.30467852909999998</v>
      </c>
      <c r="AA20" s="35">
        <f t="shared" si="13"/>
        <v>0.69561308013698631</v>
      </c>
      <c r="AB20" s="42">
        <f t="shared" si="37"/>
        <v>8.6336471846909665E-2</v>
      </c>
      <c r="AC20" s="36">
        <f t="shared" si="14"/>
        <v>0.52615000000000001</v>
      </c>
      <c r="AD20" s="34">
        <f t="shared" si="15"/>
        <v>0.11075228528033912</v>
      </c>
      <c r="AE20" s="35">
        <f t="shared" si="16"/>
        <v>2.7168116249999996</v>
      </c>
      <c r="AF20" s="35">
        <f t="shared" si="16"/>
        <v>0.16300869749999997</v>
      </c>
      <c r="AG20" s="35">
        <f t="shared" si="16"/>
        <v>0.37216597602739721</v>
      </c>
      <c r="AH20" s="42">
        <f t="shared" si="38"/>
        <v>0.14977150743750961</v>
      </c>
      <c r="AI20" s="36">
        <f t="shared" si="39"/>
        <v>0.48833000000000004</v>
      </c>
      <c r="AJ20" s="34">
        <f t="shared" si="17"/>
        <v>8.3064213960254332E-2</v>
      </c>
      <c r="AK20" s="35">
        <f t="shared" si="18"/>
        <v>1.3743292200000001</v>
      </c>
      <c r="AL20" s="35">
        <f t="shared" si="18"/>
        <v>8.2459753199999999E-2</v>
      </c>
      <c r="AM20" s="35">
        <f t="shared" si="18"/>
        <v>0.18826427671232879</v>
      </c>
      <c r="AN20" s="42">
        <f t="shared" si="40"/>
        <v>0.33438424601057376</v>
      </c>
      <c r="AO20" s="36">
        <f t="shared" si="41"/>
        <v>0.55152000000000001</v>
      </c>
      <c r="AP20" s="34">
        <f t="shared" si="19"/>
        <v>6.645137116820346E-2</v>
      </c>
      <c r="AQ20" s="35">
        <f t="shared" si="20"/>
        <v>1.3964853374999999</v>
      </c>
      <c r="AR20" s="35">
        <f t="shared" si="20"/>
        <v>8.3789120249999988E-2</v>
      </c>
      <c r="AS20" s="35">
        <f t="shared" si="20"/>
        <v>0.19129936130136985</v>
      </c>
      <c r="AT20" s="42">
        <f t="shared" si="42"/>
        <v>0.41146215579223722</v>
      </c>
      <c r="AU20" s="36">
        <f t="shared" si="43"/>
        <v>0.68958999999999993</v>
      </c>
      <c r="AV20" s="34">
        <f t="shared" si="21"/>
        <v>5.5376142640169559E-2</v>
      </c>
      <c r="AW20" s="35">
        <f t="shared" si="22"/>
        <v>0.85455620250000008</v>
      </c>
      <c r="AX20" s="35">
        <f t="shared" si="22"/>
        <v>5.1273372150000003E-2</v>
      </c>
      <c r="AY20" s="35">
        <f t="shared" si="22"/>
        <v>0.1170624934931507</v>
      </c>
      <c r="AZ20" s="42">
        <f t="shared" si="44"/>
        <v>0.5393098472069191</v>
      </c>
      <c r="BA20" s="36">
        <f t="shared" si="45"/>
        <v>0.55310000000000004</v>
      </c>
      <c r="BB20" s="34">
        <f t="shared" si="23"/>
        <v>4.7465265120145331E-2</v>
      </c>
      <c r="BC20" s="35">
        <f t="shared" si="24"/>
        <v>1.0781671725000002</v>
      </c>
      <c r="BD20" s="35">
        <f t="shared" si="24"/>
        <v>6.4690030350000011E-2</v>
      </c>
      <c r="BE20" s="35">
        <f t="shared" si="24"/>
        <v>0.1476941332191781</v>
      </c>
      <c r="BF20" s="42">
        <f t="shared" si="46"/>
        <v>0.43148392880604058</v>
      </c>
      <c r="BG20" s="36">
        <f t="shared" si="47"/>
        <v>0.55831000000000008</v>
      </c>
      <c r="BH20" s="34">
        <f t="shared" si="25"/>
        <v>4.1532106980127166E-2</v>
      </c>
      <c r="BI20" s="35">
        <f t="shared" si="26"/>
        <v>1.6320534449999999</v>
      </c>
      <c r="BJ20" s="35">
        <f t="shared" si="26"/>
        <v>9.7923206699999987E-2</v>
      </c>
      <c r="BK20" s="35">
        <f t="shared" si="26"/>
        <v>0.22356896506849314</v>
      </c>
      <c r="BL20" s="42">
        <f t="shared" si="48"/>
        <v>0.26678443425607301</v>
      </c>
      <c r="BM20" s="36">
        <f t="shared" si="49"/>
        <v>0.52254</v>
      </c>
      <c r="BN20" s="34">
        <f t="shared" si="27"/>
        <v>3.6917428426779704E-2</v>
      </c>
      <c r="BO20" s="35">
        <f t="shared" si="28"/>
        <v>1.27710561</v>
      </c>
      <c r="BP20" s="35">
        <f t="shared" si="28"/>
        <v>7.6626336599999997E-2</v>
      </c>
      <c r="BQ20" s="35">
        <f t="shared" si="28"/>
        <v>0.17494597397260275</v>
      </c>
      <c r="BR20" s="42">
        <f t="shared" si="50"/>
        <v>0.2944841715165592</v>
      </c>
      <c r="BS20" s="36">
        <f t="shared" si="51"/>
        <v>0.45134999999999997</v>
      </c>
      <c r="BT20" s="34">
        <f t="shared" si="29"/>
        <v>3.322568558410173E-2</v>
      </c>
      <c r="BU20" s="35">
        <f t="shared" si="30"/>
        <v>1.3880111850000003</v>
      </c>
      <c r="BV20" s="35">
        <f t="shared" si="30"/>
        <v>8.3280671100000009E-2</v>
      </c>
      <c r="BW20" s="35">
        <f t="shared" si="30"/>
        <v>0.19013851849315072</v>
      </c>
      <c r="BX20" s="42">
        <f t="shared" si="52"/>
        <v>0.36471202679825665</v>
      </c>
      <c r="BY20" s="36">
        <f t="shared" si="53"/>
        <v>0.60753000000000001</v>
      </c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-1772.6</v>
      </c>
      <c r="D21">
        <v>75834</v>
      </c>
      <c r="E21">
        <v>5407.3</v>
      </c>
      <c r="F21">
        <f t="shared" si="60"/>
        <v>7.5834000000000001</v>
      </c>
      <c r="G21">
        <f t="shared" si="61"/>
        <v>-0.17726</v>
      </c>
      <c r="H21">
        <f t="shared" si="62"/>
        <v>7.7606600000000006</v>
      </c>
      <c r="I21">
        <f t="shared" si="64"/>
        <v>0.54073000000000004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0.5055936091382337</v>
      </c>
      <c r="P21" s="4">
        <v>3</v>
      </c>
      <c r="Q21" s="5">
        <f t="shared" si="67"/>
        <v>7.7606600000000006</v>
      </c>
      <c r="R21" s="5">
        <f t="shared" si="67"/>
        <v>0.54073000000000004</v>
      </c>
      <c r="S21" s="5">
        <f t="shared" si="68"/>
        <v>8.6220932600000015</v>
      </c>
      <c r="T21" s="5">
        <f t="shared" si="69"/>
        <v>0.51732559560000002</v>
      </c>
      <c r="U21" s="5">
        <f t="shared" si="70"/>
        <v>1.1811086657534249</v>
      </c>
      <c r="V21" s="5">
        <f t="shared" si="63"/>
        <v>0.5055936091382337</v>
      </c>
      <c r="W21" s="19"/>
      <c r="X21" s="34">
        <f t="shared" si="12"/>
        <v>0.13931788796440595</v>
      </c>
      <c r="Y21" s="35">
        <f t="shared" si="13"/>
        <v>4.4230176540000006</v>
      </c>
      <c r="Z21" s="35">
        <f t="shared" si="13"/>
        <v>0.26538105924000005</v>
      </c>
      <c r="AA21" s="35">
        <f t="shared" si="13"/>
        <v>0.6058928293150686</v>
      </c>
      <c r="AB21" s="42">
        <f t="shared" si="37"/>
        <v>0.10088181348235695</v>
      </c>
      <c r="AC21" s="36">
        <f t="shared" si="14"/>
        <v>0.66937000000000002</v>
      </c>
      <c r="AD21" s="34">
        <f t="shared" si="15"/>
        <v>9.287859197627063E-2</v>
      </c>
      <c r="AE21" s="35">
        <f t="shared" si="16"/>
        <v>1.2513681839999997</v>
      </c>
      <c r="AF21" s="35">
        <f t="shared" si="16"/>
        <v>7.5082091039999979E-2</v>
      </c>
      <c r="AG21" s="35">
        <f t="shared" si="16"/>
        <v>0.17142029917808216</v>
      </c>
      <c r="AH21" s="42">
        <f t="shared" si="38"/>
        <v>0.2726342928980845</v>
      </c>
      <c r="AI21" s="36">
        <f t="shared" si="39"/>
        <v>0.51180000000000003</v>
      </c>
      <c r="AJ21" s="34">
        <f t="shared" si="17"/>
        <v>6.9658943982202973E-2</v>
      </c>
      <c r="AK21" s="35">
        <f t="shared" si="18"/>
        <v>1.2142852259999999</v>
      </c>
      <c r="AL21" s="35">
        <f t="shared" si="18"/>
        <v>7.2857113559999992E-2</v>
      </c>
      <c r="AM21" s="35">
        <f t="shared" si="18"/>
        <v>0.1663404419178082</v>
      </c>
      <c r="AN21" s="42">
        <f t="shared" si="40"/>
        <v>0.32044180697295249</v>
      </c>
      <c r="AO21" s="36">
        <f t="shared" si="41"/>
        <v>0.58372000000000002</v>
      </c>
      <c r="AP21" s="34">
        <f t="shared" si="19"/>
        <v>5.5727155185762378E-2</v>
      </c>
      <c r="AQ21" s="35">
        <f t="shared" si="20"/>
        <v>0.45326800199999961</v>
      </c>
      <c r="AR21" s="35">
        <f t="shared" si="20"/>
        <v>2.7196080119999976E-2</v>
      </c>
      <c r="AS21" s="35">
        <f t="shared" si="20"/>
        <v>6.209150712328762E-2</v>
      </c>
      <c r="AT21" s="42">
        <f t="shared" si="42"/>
        <v>0.79319675868053063</v>
      </c>
      <c r="AU21" s="36">
        <f t="shared" si="43"/>
        <v>0.53935</v>
      </c>
      <c r="AV21" s="34">
        <f t="shared" si="21"/>
        <v>4.6439295988135315E-2</v>
      </c>
      <c r="AW21" s="35">
        <f t="shared" si="22"/>
        <v>1.417831536</v>
      </c>
      <c r="AX21" s="35">
        <f t="shared" si="22"/>
        <v>8.5069892159999994E-2</v>
      </c>
      <c r="AY21" s="35">
        <f t="shared" si="22"/>
        <v>0.19422349808219178</v>
      </c>
      <c r="AZ21" s="42">
        <f t="shared" si="44"/>
        <v>0.24988246135329298</v>
      </c>
      <c r="BA21" s="36">
        <f t="shared" si="45"/>
        <v>0.53149000000000002</v>
      </c>
      <c r="BB21" s="34">
        <f t="shared" si="23"/>
        <v>3.9805110846973121E-2</v>
      </c>
      <c r="BC21" s="35">
        <f t="shared" si="24"/>
        <v>0.51201545999999998</v>
      </c>
      <c r="BD21" s="35">
        <f t="shared" si="24"/>
        <v>3.0720927599999996E-2</v>
      </c>
      <c r="BE21" s="35">
        <f t="shared" si="24"/>
        <v>7.013910410958904E-2</v>
      </c>
      <c r="BF21" s="42">
        <f t="shared" si="46"/>
        <v>0.70397083713058195</v>
      </c>
      <c r="BG21" s="36">
        <f t="shared" si="47"/>
        <v>0.54071999999999998</v>
      </c>
      <c r="BH21" s="34">
        <f t="shared" si="25"/>
        <v>3.4829471991101486E-2</v>
      </c>
      <c r="BI21" s="35">
        <f t="shared" si="26"/>
        <v>0.93251340600000021</v>
      </c>
      <c r="BJ21" s="35">
        <f t="shared" si="26"/>
        <v>5.5950804360000009E-2</v>
      </c>
      <c r="BK21" s="35">
        <f t="shared" si="26"/>
        <v>0.12774156246575347</v>
      </c>
      <c r="BL21" s="42">
        <f t="shared" si="48"/>
        <v>0.41264984881085987</v>
      </c>
      <c r="BM21" s="36">
        <f t="shared" si="49"/>
        <v>0.57726</v>
      </c>
      <c r="BN21" s="34">
        <f t="shared" si="27"/>
        <v>3.0959530658756874E-2</v>
      </c>
      <c r="BO21" s="35">
        <f t="shared" si="28"/>
        <v>0.61235209200000007</v>
      </c>
      <c r="BP21" s="35">
        <f t="shared" si="28"/>
        <v>3.6741125520000001E-2</v>
      </c>
      <c r="BQ21" s="35">
        <f t="shared" si="28"/>
        <v>8.3883848219178089E-2</v>
      </c>
      <c r="BR21" s="42">
        <f t="shared" si="50"/>
        <v>0.65733382682719721</v>
      </c>
      <c r="BS21" s="36">
        <f t="shared" si="51"/>
        <v>0.60383999999999993</v>
      </c>
      <c r="BT21" s="34">
        <f t="shared" si="29"/>
        <v>2.7863577592881189E-2</v>
      </c>
      <c r="BU21" s="35">
        <f t="shared" si="30"/>
        <v>1.2811585380000001</v>
      </c>
      <c r="BV21" s="35">
        <f t="shared" si="30"/>
        <v>7.686951228000001E-2</v>
      </c>
      <c r="BW21" s="35">
        <f t="shared" si="30"/>
        <v>0.17550116958904111</v>
      </c>
      <c r="BX21" s="42">
        <f t="shared" si="52"/>
        <v>0.3280348399785632</v>
      </c>
      <c r="BY21" s="36">
        <f t="shared" si="53"/>
        <v>0.63046000000000002</v>
      </c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-5326</v>
      </c>
      <c r="D22">
        <v>64015.3</v>
      </c>
      <c r="E22">
        <v>4255.8</v>
      </c>
      <c r="F22">
        <f t="shared" si="60"/>
        <v>6.4015300000000002</v>
      </c>
      <c r="G22">
        <f t="shared" si="61"/>
        <v>-0.53259999999999996</v>
      </c>
      <c r="H22">
        <f t="shared" si="62"/>
        <v>6.9341299999999997</v>
      </c>
      <c r="I22">
        <f t="shared" si="64"/>
        <v>0.42558000000000001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0.30622576672967589</v>
      </c>
      <c r="P22" s="4">
        <v>3</v>
      </c>
      <c r="Q22" s="5">
        <f t="shared" si="67"/>
        <v>6.9341299999999997</v>
      </c>
      <c r="R22" s="5">
        <f t="shared" si="67"/>
        <v>0.42558000000000001</v>
      </c>
      <c r="S22" s="5">
        <f t="shared" si="68"/>
        <v>7.703818430000001</v>
      </c>
      <c r="T22" s="5">
        <f t="shared" si="69"/>
        <v>0.46222910580000004</v>
      </c>
      <c r="U22" s="5">
        <f t="shared" si="70"/>
        <v>1.0553175931506851</v>
      </c>
      <c r="V22" s="5">
        <f t="shared" si="63"/>
        <v>0.30622576672967589</v>
      </c>
      <c r="W22" s="19"/>
      <c r="X22" s="34">
        <f t="shared" si="12"/>
        <v>0.1122803112129348</v>
      </c>
      <c r="Y22" s="35">
        <f t="shared" si="13"/>
        <v>2.6829733425</v>
      </c>
      <c r="Z22" s="35">
        <f t="shared" si="13"/>
        <v>0.16097840054999998</v>
      </c>
      <c r="AA22" s="35">
        <f t="shared" si="13"/>
        <v>0.3675305948630137</v>
      </c>
      <c r="AB22" s="42">
        <f t="shared" si="37"/>
        <v>0.14540714123774418</v>
      </c>
      <c r="AC22" s="36">
        <f t="shared" si="14"/>
        <v>0.93638999999999994</v>
      </c>
      <c r="AD22" s="34">
        <f t="shared" si="15"/>
        <v>7.4853540808623192E-2</v>
      </c>
      <c r="AE22" s="35">
        <f t="shared" si="16"/>
        <v>1.6034104762500001</v>
      </c>
      <c r="AF22" s="35">
        <f t="shared" si="16"/>
        <v>9.6204628575000006E-2</v>
      </c>
      <c r="AG22" s="35">
        <f t="shared" si="16"/>
        <v>0.21964527071917811</v>
      </c>
      <c r="AH22" s="42">
        <f t="shared" si="38"/>
        <v>0.17323837165492637</v>
      </c>
      <c r="AI22" s="36">
        <f t="shared" si="39"/>
        <v>0.66671999999999998</v>
      </c>
      <c r="AJ22" s="34">
        <f t="shared" si="17"/>
        <v>5.6140155606467401E-2</v>
      </c>
      <c r="AK22" s="35">
        <f t="shared" si="18"/>
        <v>0.8093148937500001</v>
      </c>
      <c r="AL22" s="35">
        <f t="shared" si="18"/>
        <v>4.8558893625000002E-2</v>
      </c>
      <c r="AM22" s="35">
        <f t="shared" si="18"/>
        <v>0.11086505393835618</v>
      </c>
      <c r="AN22" s="42">
        <f t="shared" si="40"/>
        <v>0.2751743841857352</v>
      </c>
      <c r="AO22" s="36">
        <f t="shared" si="41"/>
        <v>0.53454000000000002</v>
      </c>
      <c r="AP22" s="34">
        <f t="shared" si="19"/>
        <v>4.491212448517392E-2</v>
      </c>
      <c r="AQ22" s="35">
        <f t="shared" si="20"/>
        <v>0.6844398825000001</v>
      </c>
      <c r="AR22" s="35">
        <f t="shared" si="20"/>
        <v>4.1066392950000002E-2</v>
      </c>
      <c r="AS22" s="35">
        <f t="shared" si="20"/>
        <v>9.3758888013698652E-2</v>
      </c>
      <c r="AT22" s="42">
        <f t="shared" si="42"/>
        <v>0.31181748456921632</v>
      </c>
      <c r="AU22" s="36">
        <f t="shared" si="43"/>
        <v>0.51226000000000005</v>
      </c>
      <c r="AV22" s="34">
        <f t="shared" si="21"/>
        <v>3.7426770404311596E-2</v>
      </c>
      <c r="AW22" s="35">
        <f t="shared" si="22"/>
        <v>0.64283570999999995</v>
      </c>
      <c r="AX22" s="35">
        <f t="shared" si="22"/>
        <v>3.8570142599999996E-2</v>
      </c>
      <c r="AY22" s="35">
        <f t="shared" si="22"/>
        <v>8.8059686301369858E-2</v>
      </c>
      <c r="AZ22" s="42">
        <f t="shared" si="44"/>
        <v>0.25650049255975527</v>
      </c>
      <c r="BA22" s="36">
        <f t="shared" si="45"/>
        <v>0.39576999999999996</v>
      </c>
      <c r="BB22" s="34">
        <f t="shared" si="23"/>
        <v>3.2080088917981371E-2</v>
      </c>
      <c r="BC22" s="35">
        <f t="shared" si="24"/>
        <v>1.0741842375000001</v>
      </c>
      <c r="BD22" s="35">
        <f t="shared" si="24"/>
        <v>6.4451054250000001E-2</v>
      </c>
      <c r="BE22" s="35">
        <f t="shared" si="24"/>
        <v>0.14714852568493153</v>
      </c>
      <c r="BF22" s="42">
        <f t="shared" si="46"/>
        <v>0.15573827715936855</v>
      </c>
      <c r="BG22" s="36">
        <f t="shared" si="47"/>
        <v>0.40154000000000001</v>
      </c>
      <c r="BH22" s="34">
        <f t="shared" si="25"/>
        <v>2.8070077803233701E-2</v>
      </c>
      <c r="BI22" s="35">
        <f t="shared" si="26"/>
        <v>1.4018931299999999</v>
      </c>
      <c r="BJ22" s="35">
        <f t="shared" si="26"/>
        <v>8.4113587799999986E-2</v>
      </c>
      <c r="BK22" s="35">
        <f t="shared" si="26"/>
        <v>0.19204015479452055</v>
      </c>
      <c r="BL22" s="42">
        <f t="shared" si="48"/>
        <v>0.12446209077292504</v>
      </c>
      <c r="BM22" s="36">
        <f t="shared" si="49"/>
        <v>0.41880000000000001</v>
      </c>
      <c r="BN22" s="34">
        <f t="shared" si="27"/>
        <v>2.4951180269541066E-2</v>
      </c>
      <c r="BO22" s="35">
        <f t="shared" si="28"/>
        <v>1.3332291637499998</v>
      </c>
      <c r="BP22" s="35">
        <f t="shared" si="28"/>
        <v>7.9993749824999988E-2</v>
      </c>
      <c r="BQ22" s="35">
        <f t="shared" si="28"/>
        <v>0.18263413202054793</v>
      </c>
      <c r="BR22" s="42">
        <f t="shared" si="50"/>
        <v>0.11793492017362121</v>
      </c>
      <c r="BS22" s="36">
        <f t="shared" si="51"/>
        <v>0.37740000000000001</v>
      </c>
      <c r="BT22" s="34">
        <f t="shared" si="29"/>
        <v>2.245606224258696E-2</v>
      </c>
      <c r="BU22" s="35">
        <f t="shared" si="30"/>
        <v>0.74554627125000006</v>
      </c>
      <c r="BV22" s="35">
        <f t="shared" si="30"/>
        <v>4.4732776275000004E-2</v>
      </c>
      <c r="BW22" s="35">
        <f t="shared" si="30"/>
        <v>0.10212962619863014</v>
      </c>
      <c r="BX22" s="42">
        <f t="shared" si="52"/>
        <v>0.19710643814718157</v>
      </c>
      <c r="BY22" s="36">
        <f t="shared" si="53"/>
        <v>0.35271999999999998</v>
      </c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-12697.7</v>
      </c>
      <c r="D23">
        <v>47588.4</v>
      </c>
      <c r="E23">
        <v>4727.2</v>
      </c>
      <c r="F23">
        <f t="shared" si="60"/>
        <v>4.7588400000000002</v>
      </c>
      <c r="G23">
        <f t="shared" si="61"/>
        <v>-1.2697700000000001</v>
      </c>
      <c r="H23">
        <f t="shared" si="62"/>
        <v>6.0286100000000005</v>
      </c>
      <c r="I23">
        <f t="shared" si="64"/>
        <v>0.47271999999999997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0.22132876005471772</v>
      </c>
      <c r="P23" s="4">
        <v>3</v>
      </c>
      <c r="Q23" s="5">
        <f t="shared" si="67"/>
        <v>6.0286100000000005</v>
      </c>
      <c r="R23" s="5">
        <f t="shared" si="67"/>
        <v>0.47271999999999997</v>
      </c>
      <c r="S23" s="5">
        <f t="shared" si="68"/>
        <v>6.6977857100000016</v>
      </c>
      <c r="T23" s="5">
        <f t="shared" si="69"/>
        <v>0.40186714260000006</v>
      </c>
      <c r="U23" s="5">
        <f t="shared" si="70"/>
        <v>0.91750489178082217</v>
      </c>
      <c r="V23" s="5">
        <f t="shared" si="63"/>
        <v>0.22132876005471772</v>
      </c>
      <c r="W23" s="19"/>
      <c r="X23" s="34">
        <f t="shared" si="12"/>
        <v>8.0405986756380471E-2</v>
      </c>
      <c r="Y23" s="35">
        <f t="shared" si="13"/>
        <v>1.2452207035714287</v>
      </c>
      <c r="Z23" s="35">
        <f t="shared" si="13"/>
        <v>7.4713242214285713E-2</v>
      </c>
      <c r="AA23" s="35">
        <f t="shared" si="13"/>
        <v>0.1705781785714286</v>
      </c>
      <c r="AB23" s="42">
        <f t="shared" si="37"/>
        <v>0.25617872267204539</v>
      </c>
      <c r="AC23" s="36">
        <f t="shared" si="14"/>
        <v>1.3399299999999998</v>
      </c>
      <c r="AD23" s="34">
        <f t="shared" si="15"/>
        <v>5.3603991170920309E-2</v>
      </c>
      <c r="AE23" s="35">
        <f t="shared" si="16"/>
        <v>0.95226666857142883</v>
      </c>
      <c r="AF23" s="35">
        <f t="shared" si="16"/>
        <v>5.7136000114285726E-2</v>
      </c>
      <c r="AG23" s="35">
        <f t="shared" si="16"/>
        <v>0.13044748884540122</v>
      </c>
      <c r="AH23" s="42">
        <f t="shared" si="38"/>
        <v>0.16208074161483232</v>
      </c>
      <c r="AI23" s="36">
        <f t="shared" si="39"/>
        <v>0.64831000000000005</v>
      </c>
      <c r="AJ23" s="34">
        <f t="shared" si="17"/>
        <v>4.0202993378190235E-2</v>
      </c>
      <c r="AK23" s="35">
        <f t="shared" si="18"/>
        <v>0.57600191785714283</v>
      </c>
      <c r="AL23" s="35">
        <f t="shared" si="18"/>
        <v>3.4560115071428567E-2</v>
      </c>
      <c r="AM23" s="35">
        <f t="shared" si="18"/>
        <v>7.8904372309197654E-2</v>
      </c>
      <c r="AN23" s="42">
        <f t="shared" si="40"/>
        <v>0.20441009320300071</v>
      </c>
      <c r="AO23" s="36">
        <f t="shared" si="41"/>
        <v>0.49456000000000006</v>
      </c>
      <c r="AP23" s="34">
        <f t="shared" si="19"/>
        <v>3.2162394702552187E-2</v>
      </c>
      <c r="AQ23" s="35">
        <f t="shared" si="20"/>
        <v>1.0268473050000002</v>
      </c>
      <c r="AR23" s="35">
        <f t="shared" si="20"/>
        <v>6.1610838300000012E-2</v>
      </c>
      <c r="AS23" s="35">
        <f t="shared" si="20"/>
        <v>0.14066401438356169</v>
      </c>
      <c r="AT23" s="42">
        <f t="shared" si="42"/>
        <v>0.12246388403942327</v>
      </c>
      <c r="AU23" s="36">
        <f t="shared" si="43"/>
        <v>0.52821000000000007</v>
      </c>
      <c r="AV23" s="34">
        <f t="shared" si="21"/>
        <v>2.6801995585460155E-2</v>
      </c>
      <c r="AW23" s="35">
        <f t="shared" si="22"/>
        <v>0.53898419142857146</v>
      </c>
      <c r="AX23" s="35">
        <f t="shared" si="22"/>
        <v>3.2339051485714289E-2</v>
      </c>
      <c r="AY23" s="35">
        <f t="shared" si="22"/>
        <v>7.3833450880626234E-2</v>
      </c>
      <c r="AZ23" s="42">
        <f t="shared" si="44"/>
        <v>0.15410607961271403</v>
      </c>
      <c r="BA23" s="36">
        <f t="shared" si="45"/>
        <v>0.34889000000000003</v>
      </c>
      <c r="BB23" s="34">
        <f t="shared" si="23"/>
        <v>2.2973139073251561E-2</v>
      </c>
      <c r="BC23" s="35">
        <f t="shared" si="24"/>
        <v>0.38900157214285708</v>
      </c>
      <c r="BD23" s="35">
        <f t="shared" si="24"/>
        <v>2.3340094328571422E-2</v>
      </c>
      <c r="BE23" s="35">
        <f t="shared" si="24"/>
        <v>5.3287886594911932E-2</v>
      </c>
      <c r="BF23" s="42">
        <f t="shared" si="46"/>
        <v>0.42807395484617233</v>
      </c>
      <c r="BG23" s="36">
        <f t="shared" si="47"/>
        <v>0.69946000000000008</v>
      </c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-17040.3</v>
      </c>
      <c r="D24">
        <v>39733.9</v>
      </c>
      <c r="E24">
        <v>6597.3</v>
      </c>
      <c r="F24">
        <f t="shared" si="60"/>
        <v>3.9733900000000002</v>
      </c>
      <c r="G24">
        <f t="shared" si="61"/>
        <v>-1.7040299999999999</v>
      </c>
      <c r="H24">
        <f t="shared" si="62"/>
        <v>5.6774199999999997</v>
      </c>
      <c r="I24">
        <f t="shared" si="64"/>
        <v>0.65973000000000004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0.15320212173991887</v>
      </c>
      <c r="P24" s="4">
        <v>4</v>
      </c>
      <c r="Q24" s="5">
        <f t="shared" si="67"/>
        <v>5.6774199999999997</v>
      </c>
      <c r="R24" s="5">
        <f t="shared" si="67"/>
        <v>0.65973000000000004</v>
      </c>
      <c r="S24" s="5">
        <f t="shared" si="68"/>
        <v>4.7307102150000002</v>
      </c>
      <c r="T24" s="5">
        <f t="shared" si="69"/>
        <v>0.28384261290000001</v>
      </c>
      <c r="U24" s="5">
        <f t="shared" si="70"/>
        <v>0.64804249520547952</v>
      </c>
      <c r="V24" s="5">
        <f t="shared" si="63"/>
        <v>0.15320212173991887</v>
      </c>
      <c r="W24" s="19"/>
      <c r="X24" s="37">
        <f t="shared" si="12"/>
        <v>5.1852053541803021E-2</v>
      </c>
      <c r="Y24" s="38">
        <f t="shared" si="13"/>
        <v>0.65053970142857154</v>
      </c>
      <c r="Z24" s="38">
        <f t="shared" si="13"/>
        <v>3.9032382085714294E-2</v>
      </c>
      <c r="AA24" s="38">
        <f t="shared" si="13"/>
        <v>8.9115027592955004E-2</v>
      </c>
      <c r="AB24" s="43">
        <f t="shared" si="37"/>
        <v>0.17659271837435742</v>
      </c>
      <c r="AC24" s="39">
        <f t="shared" si="14"/>
        <v>0.72382000000000002</v>
      </c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-14882.3</v>
      </c>
      <c r="D25">
        <v>17722.7</v>
      </c>
      <c r="E25">
        <v>4883.3</v>
      </c>
      <c r="F25">
        <f t="shared" si="60"/>
        <v>1.77227</v>
      </c>
      <c r="G25">
        <f t="shared" si="61"/>
        <v>-1.4882299999999999</v>
      </c>
      <c r="H25">
        <f t="shared" si="62"/>
        <v>3.2605</v>
      </c>
      <c r="I25">
        <f t="shared" si="64"/>
        <v>0.48833000000000004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0.11075228528033912</v>
      </c>
      <c r="P25" s="4">
        <v>4</v>
      </c>
      <c r="Q25" s="5">
        <f t="shared" si="67"/>
        <v>3.2605</v>
      </c>
      <c r="R25" s="5">
        <f t="shared" si="67"/>
        <v>0.48833000000000004</v>
      </c>
      <c r="S25" s="5">
        <f t="shared" si="68"/>
        <v>2.7168116249999996</v>
      </c>
      <c r="T25" s="5">
        <f t="shared" si="69"/>
        <v>0.16300869749999997</v>
      </c>
      <c r="U25" s="5">
        <f t="shared" si="70"/>
        <v>0.37216597602739721</v>
      </c>
      <c r="V25" s="5">
        <f t="shared" si="63"/>
        <v>0.11075228528033912</v>
      </c>
      <c r="W25" s="19"/>
      <c r="X25" s="20"/>
      <c r="Y25" s="21"/>
      <c r="Z25" s="18"/>
      <c r="AA25" s="22">
        <f>MAX(AA14:AA24)</f>
        <v>1.8981145835616438</v>
      </c>
      <c r="AB25" s="17"/>
      <c r="AC25" s="26">
        <f>MIN(AC14:AC24)</f>
        <v>0.41836000000000001</v>
      </c>
      <c r="AG25" s="22">
        <f>MAX(AG14:AG24)</f>
        <v>1.1811086657534249</v>
      </c>
      <c r="AI25" s="26">
        <f>MIN(AI14:AI24)</f>
        <v>0.42558000000000001</v>
      </c>
      <c r="AM25" s="22">
        <f>MAX(AM14:AM24)</f>
        <v>0.87556692465753438</v>
      </c>
      <c r="AO25" s="26">
        <f>MIN(AO14:AO24)</f>
        <v>0.49313000000000001</v>
      </c>
      <c r="AS25" s="22">
        <f>MAX(AS14:AS24)</f>
        <v>0.92209347397260288</v>
      </c>
      <c r="AU25" s="26">
        <f>MIN(AU14:AU24)</f>
        <v>0.51226000000000005</v>
      </c>
      <c r="AY25" s="22">
        <f>MAX(AY14:AY24)</f>
        <v>0.81523810273972619</v>
      </c>
      <c r="BA25" s="64">
        <f>MIN(BA14:BA24)</f>
        <v>0.34889000000000003</v>
      </c>
      <c r="BE25" s="22">
        <f>MAX(BE14:BE24)</f>
        <v>0.7564540273972602</v>
      </c>
      <c r="BG25" s="26">
        <f>MIN(BG14:BG24)</f>
        <v>0.40154000000000001</v>
      </c>
      <c r="BK25" s="22">
        <f>MAX(BK14:BK24)</f>
        <v>0.76510004246575336</v>
      </c>
      <c r="BM25" s="26">
        <f>MIN(BM14:BM24)</f>
        <v>0.41880000000000001</v>
      </c>
      <c r="BQ25" s="22">
        <f>MAX(BQ14:BQ24)</f>
        <v>0.69275415753424674</v>
      </c>
      <c r="BS25" s="26">
        <f>MIN(BS14:BS24)</f>
        <v>0.37740000000000001</v>
      </c>
      <c r="BW25" s="22">
        <f>MAX(BW14:BW24)</f>
        <v>0.64868246164383569</v>
      </c>
      <c r="BY25" s="26">
        <f>MIN(BY14:BY24)</f>
        <v>0.35271999999999998</v>
      </c>
      <c r="CC25" s="22">
        <f>MAX(CC14:CC24)</f>
        <v>0.70223418356164391</v>
      </c>
      <c r="CE25" s="26">
        <f>MIN(CE14:CE24)</f>
        <v>0.61485000000000001</v>
      </c>
      <c r="CI25" s="22">
        <f>MAX(CI14:CI24)</f>
        <v>0.53768747397260275</v>
      </c>
      <c r="CK25" s="26">
        <f>MIN(CK14:CK24)</f>
        <v>0.97589999999999999</v>
      </c>
      <c r="CO25" s="22">
        <f>MAX(CO14:CO24)</f>
        <v>0.75797137945205484</v>
      </c>
      <c r="CQ25" s="26">
        <f>MIN(CQ14:CQ24)</f>
        <v>0.87392000000000003</v>
      </c>
    </row>
    <row r="26" spans="2:95" x14ac:dyDescent="0.3">
      <c r="B26">
        <v>8</v>
      </c>
      <c r="C26">
        <v>-1418.8</v>
      </c>
      <c r="D26">
        <v>17353.599999999999</v>
      </c>
      <c r="E26">
        <v>5118</v>
      </c>
      <c r="F26">
        <f t="shared" si="60"/>
        <v>1.7353599999999998</v>
      </c>
      <c r="G26">
        <f t="shared" si="61"/>
        <v>-0.14188000000000001</v>
      </c>
      <c r="H26">
        <f t="shared" si="62"/>
        <v>1.8772399999999998</v>
      </c>
      <c r="I26">
        <f t="shared" si="64"/>
        <v>0.51180000000000003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9.287859197627063E-2</v>
      </c>
      <c r="P26" s="4">
        <v>5</v>
      </c>
      <c r="Q26" s="5">
        <f t="shared" si="67"/>
        <v>1.8772399999999998</v>
      </c>
      <c r="R26" s="5">
        <f t="shared" si="67"/>
        <v>0.51180000000000003</v>
      </c>
      <c r="S26" s="5">
        <f t="shared" si="68"/>
        <v>1.2513681839999997</v>
      </c>
      <c r="T26" s="5">
        <f t="shared" si="69"/>
        <v>7.5082091039999979E-2</v>
      </c>
      <c r="U26" s="5">
        <f t="shared" si="70"/>
        <v>0.17142029917808216</v>
      </c>
      <c r="V26" s="5">
        <f t="shared" si="63"/>
        <v>9.287859197627063E-2</v>
      </c>
      <c r="W26" s="19"/>
      <c r="X26" s="20"/>
      <c r="Y26" s="21"/>
      <c r="Z26" s="18"/>
    </row>
    <row r="27" spans="2:95" x14ac:dyDescent="0.3">
      <c r="B27">
        <v>9</v>
      </c>
      <c r="C27">
        <v>-16574.900000000001</v>
      </c>
      <c r="D27">
        <v>21910.799999999999</v>
      </c>
      <c r="E27">
        <v>6667.2</v>
      </c>
      <c r="F27">
        <f t="shared" si="60"/>
        <v>2.1910799999999999</v>
      </c>
      <c r="G27">
        <f t="shared" si="61"/>
        <v>-1.6574900000000001</v>
      </c>
      <c r="H27">
        <f t="shared" si="62"/>
        <v>3.84857</v>
      </c>
      <c r="I27">
        <f t="shared" si="64"/>
        <v>0.66671999999999998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7.4853540808623192E-2</v>
      </c>
      <c r="P27" s="4">
        <v>8</v>
      </c>
      <c r="Q27" s="5">
        <f t="shared" si="67"/>
        <v>3.84857</v>
      </c>
      <c r="R27" s="5">
        <f t="shared" si="67"/>
        <v>0.66671999999999998</v>
      </c>
      <c r="S27" s="5">
        <f t="shared" si="68"/>
        <v>1.6034104762500001</v>
      </c>
      <c r="T27" s="5">
        <f t="shared" si="69"/>
        <v>9.6204628575000006E-2</v>
      </c>
      <c r="U27" s="5">
        <f t="shared" si="70"/>
        <v>0.21964527071917811</v>
      </c>
      <c r="V27" s="5">
        <f t="shared" si="63"/>
        <v>7.4853540808623192E-2</v>
      </c>
      <c r="W27" s="19"/>
      <c r="X27" s="20"/>
      <c r="Y27" s="21"/>
      <c r="Z27" s="17"/>
    </row>
    <row r="28" spans="2:95" x14ac:dyDescent="0.3">
      <c r="B28">
        <v>10</v>
      </c>
      <c r="C28">
        <v>-15344.9</v>
      </c>
      <c r="D28">
        <v>24654.3</v>
      </c>
      <c r="E28">
        <v>6483.1</v>
      </c>
      <c r="F28">
        <f t="shared" si="60"/>
        <v>2.46543</v>
      </c>
      <c r="G28">
        <f t="shared" si="61"/>
        <v>-1.5344899999999999</v>
      </c>
      <c r="H28">
        <f t="shared" si="62"/>
        <v>3.9999199999999999</v>
      </c>
      <c r="I28">
        <f t="shared" si="64"/>
        <v>0.64831000000000005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5.3603991170920309E-2</v>
      </c>
      <c r="P28" s="4">
        <v>14</v>
      </c>
      <c r="Q28" s="5">
        <f t="shared" si="67"/>
        <v>3.9999199999999999</v>
      </c>
      <c r="R28" s="5">
        <f t="shared" si="67"/>
        <v>0.64831000000000005</v>
      </c>
      <c r="S28" s="5">
        <f t="shared" si="68"/>
        <v>0.95226666857142883</v>
      </c>
      <c r="T28" s="5">
        <f t="shared" si="69"/>
        <v>5.7136000114285726E-2</v>
      </c>
      <c r="U28" s="5">
        <f t="shared" si="70"/>
        <v>0.13044748884540122</v>
      </c>
      <c r="V28" s="5">
        <f t="shared" si="63"/>
        <v>5.3603991170920309E-2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3.456803569453535E-2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3.456803569453535E-2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6868.7</v>
      </c>
      <c r="D33">
        <v>37386.699999999997</v>
      </c>
      <c r="E33">
        <v>11164.7</v>
      </c>
      <c r="F33">
        <f t="shared" ref="F33:F43" si="72">D33/10000</f>
        <v>3.7386699999999995</v>
      </c>
      <c r="G33">
        <f t="shared" ref="G33:G43" si="73">C33/10000</f>
        <v>0.68686999999999998</v>
      </c>
      <c r="H33">
        <f t="shared" ref="H33:H43" si="74">F33-G33</f>
        <v>3.0517999999999996</v>
      </c>
      <c r="I33">
        <f>E33/10000</f>
        <v>1.1164700000000001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0.49552300635014157</v>
      </c>
      <c r="P33" s="2">
        <v>3</v>
      </c>
      <c r="Q33" s="8">
        <f>H33</f>
        <v>3.0517999999999996</v>
      </c>
      <c r="R33" s="8">
        <f>I33</f>
        <v>1.1164700000000001</v>
      </c>
      <c r="S33" s="8">
        <f>Q33/10^6*$Z$4*$Z$3/P33*10^12</f>
        <v>3.3905497999999996</v>
      </c>
      <c r="T33" s="8">
        <f>S33*0.06</f>
        <v>0.20343298799999998</v>
      </c>
      <c r="U33" s="8">
        <f>S33/$Z$1</f>
        <v>0.46445887671232872</v>
      </c>
      <c r="V33" s="12">
        <f t="shared" ref="V33:V43" si="75">O33</f>
        <v>0.49552300635014157</v>
      </c>
    </row>
    <row r="34" spans="2:22" x14ac:dyDescent="0.3">
      <c r="B34">
        <v>2</v>
      </c>
      <c r="C34">
        <v>34851</v>
      </c>
      <c r="D34">
        <v>54882.3</v>
      </c>
      <c r="E34">
        <v>7742.7</v>
      </c>
      <c r="F34">
        <f t="shared" si="72"/>
        <v>5.4882300000000006</v>
      </c>
      <c r="G34">
        <f t="shared" si="73"/>
        <v>3.4851000000000001</v>
      </c>
      <c r="H34">
        <f t="shared" si="74"/>
        <v>2.0031300000000005</v>
      </c>
      <c r="I34">
        <f t="shared" ref="I34:I43" si="76">E34/10000</f>
        <v>0.77427000000000001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0.43954789452463655</v>
      </c>
      <c r="P34" s="4">
        <v>3</v>
      </c>
      <c r="Q34" s="5">
        <f t="shared" ref="Q34:R43" si="79">H34</f>
        <v>2.0031300000000005</v>
      </c>
      <c r="R34" s="5">
        <f t="shared" si="79"/>
        <v>0.77427000000000001</v>
      </c>
      <c r="S34" s="5">
        <f t="shared" ref="S34:S43" si="80">Q34/10^6*$Z$4*$Z$3/P34*10^12</f>
        <v>2.2254774300000002</v>
      </c>
      <c r="T34" s="5">
        <f t="shared" ref="T34:T43" si="81">S34*0.06</f>
        <v>0.13352864580000001</v>
      </c>
      <c r="U34" s="5">
        <f t="shared" ref="U34:U43" si="82">S34/$Z$1</f>
        <v>0.30485992191780825</v>
      </c>
      <c r="V34" s="5">
        <f t="shared" si="75"/>
        <v>0.43954789452463655</v>
      </c>
    </row>
    <row r="35" spans="2:22" x14ac:dyDescent="0.3">
      <c r="B35">
        <v>3</v>
      </c>
      <c r="C35">
        <v>4644.5</v>
      </c>
      <c r="D35">
        <v>62175</v>
      </c>
      <c r="E35">
        <v>6215</v>
      </c>
      <c r="F35">
        <f t="shared" si="72"/>
        <v>6.2175000000000002</v>
      </c>
      <c r="G35">
        <f t="shared" si="73"/>
        <v>0.46444999999999997</v>
      </c>
      <c r="H35">
        <f t="shared" si="74"/>
        <v>5.75305</v>
      </c>
      <c r="I35">
        <f t="shared" si="76"/>
        <v>0.62150000000000005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0.3791952068536753</v>
      </c>
      <c r="P35" s="4">
        <v>3</v>
      </c>
      <c r="Q35" s="5">
        <f t="shared" si="79"/>
        <v>5.75305</v>
      </c>
      <c r="R35" s="5">
        <f t="shared" si="79"/>
        <v>0.62150000000000005</v>
      </c>
      <c r="S35" s="5">
        <f t="shared" si="80"/>
        <v>6.3916385500000006</v>
      </c>
      <c r="T35" s="5">
        <f t="shared" si="81"/>
        <v>0.38349831300000004</v>
      </c>
      <c r="U35" s="5">
        <f t="shared" si="82"/>
        <v>0.87556692465753438</v>
      </c>
      <c r="V35" s="5">
        <f t="shared" si="75"/>
        <v>0.3791952068536753</v>
      </c>
    </row>
    <row r="36" spans="2:22" x14ac:dyDescent="0.3">
      <c r="B36">
        <v>4</v>
      </c>
      <c r="C36">
        <v>5530.8</v>
      </c>
      <c r="D36">
        <v>51554.6</v>
      </c>
      <c r="E36">
        <v>4974</v>
      </c>
      <c r="F36">
        <f t="shared" si="72"/>
        <v>5.1554599999999997</v>
      </c>
      <c r="G36">
        <f t="shared" si="73"/>
        <v>0.55308000000000002</v>
      </c>
      <c r="H36">
        <f t="shared" si="74"/>
        <v>4.6023800000000001</v>
      </c>
      <c r="I36">
        <f t="shared" si="76"/>
        <v>0.49740000000000001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0.22966932504725693</v>
      </c>
      <c r="P36" s="4">
        <v>3</v>
      </c>
      <c r="Q36" s="5">
        <f t="shared" si="79"/>
        <v>4.6023800000000001</v>
      </c>
      <c r="R36" s="5">
        <f t="shared" si="79"/>
        <v>0.49740000000000001</v>
      </c>
      <c r="S36" s="5">
        <f t="shared" si="80"/>
        <v>5.1132441800000006</v>
      </c>
      <c r="T36" s="5">
        <f t="shared" si="81"/>
        <v>0.30679465080000001</v>
      </c>
      <c r="U36" s="5">
        <f t="shared" si="82"/>
        <v>0.70044440821917819</v>
      </c>
      <c r="V36" s="5">
        <f t="shared" si="75"/>
        <v>0.22966932504725693</v>
      </c>
    </row>
    <row r="37" spans="2:22" x14ac:dyDescent="0.3">
      <c r="B37">
        <v>5</v>
      </c>
      <c r="C37">
        <v>4881.3</v>
      </c>
      <c r="D37">
        <v>38696.9</v>
      </c>
      <c r="E37">
        <v>4931.3</v>
      </c>
      <c r="F37">
        <f t="shared" si="72"/>
        <v>3.8696900000000003</v>
      </c>
      <c r="G37">
        <f t="shared" si="73"/>
        <v>0.48813000000000001</v>
      </c>
      <c r="H37">
        <f t="shared" si="74"/>
        <v>3.3815600000000003</v>
      </c>
      <c r="I37">
        <f t="shared" si="76"/>
        <v>0.49313000000000001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0.16599657004103827</v>
      </c>
      <c r="P37" s="4">
        <v>3</v>
      </c>
      <c r="Q37" s="5">
        <f t="shared" si="79"/>
        <v>3.3815600000000003</v>
      </c>
      <c r="R37" s="5">
        <f t="shared" si="79"/>
        <v>0.49313000000000001</v>
      </c>
      <c r="S37" s="5">
        <f t="shared" si="80"/>
        <v>3.7569131600000008</v>
      </c>
      <c r="T37" s="5">
        <f t="shared" si="81"/>
        <v>0.22541478960000003</v>
      </c>
      <c r="U37" s="5">
        <f t="shared" si="82"/>
        <v>0.5146456383561645</v>
      </c>
      <c r="V37" s="5">
        <f t="shared" si="75"/>
        <v>0.16599657004103827</v>
      </c>
    </row>
    <row r="38" spans="2:22" x14ac:dyDescent="0.3">
      <c r="B38">
        <v>6</v>
      </c>
      <c r="C38">
        <v>3323.3</v>
      </c>
      <c r="D38">
        <v>32190.7</v>
      </c>
      <c r="E38">
        <v>4940.3999999999996</v>
      </c>
      <c r="F38">
        <f t="shared" si="72"/>
        <v>3.2190699999999999</v>
      </c>
      <c r="G38">
        <f t="shared" si="73"/>
        <v>0.33233000000000001</v>
      </c>
      <c r="H38">
        <f t="shared" si="74"/>
        <v>2.8867399999999996</v>
      </c>
      <c r="I38">
        <f t="shared" si="76"/>
        <v>0.49403999999999998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0.11490159130493915</v>
      </c>
      <c r="P38" s="4">
        <v>4</v>
      </c>
      <c r="Q38" s="5">
        <f t="shared" si="79"/>
        <v>2.8867399999999996</v>
      </c>
      <c r="R38" s="5">
        <f t="shared" si="79"/>
        <v>0.49403999999999998</v>
      </c>
      <c r="S38" s="5">
        <f t="shared" si="80"/>
        <v>2.4053761049999998</v>
      </c>
      <c r="T38" s="5">
        <f t="shared" si="81"/>
        <v>0.14432256629999998</v>
      </c>
      <c r="U38" s="5">
        <f t="shared" si="82"/>
        <v>0.32950357602739722</v>
      </c>
      <c r="V38" s="5">
        <f t="shared" si="75"/>
        <v>0.11490159130493915</v>
      </c>
    </row>
    <row r="39" spans="2:22" x14ac:dyDescent="0.3">
      <c r="B39">
        <v>7</v>
      </c>
      <c r="C39">
        <v>4535.5</v>
      </c>
      <c r="D39">
        <v>21029.1</v>
      </c>
      <c r="E39">
        <v>5515.2</v>
      </c>
      <c r="F39">
        <f t="shared" si="72"/>
        <v>2.1029100000000001</v>
      </c>
      <c r="G39">
        <f t="shared" si="73"/>
        <v>0.45355000000000001</v>
      </c>
      <c r="H39">
        <f t="shared" si="74"/>
        <v>1.6493600000000002</v>
      </c>
      <c r="I39">
        <f t="shared" si="76"/>
        <v>0.55152000000000001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8.3064213960254332E-2</v>
      </c>
      <c r="P39" s="4">
        <v>4</v>
      </c>
      <c r="Q39" s="5">
        <f t="shared" si="79"/>
        <v>1.6493600000000002</v>
      </c>
      <c r="R39" s="5">
        <f t="shared" si="79"/>
        <v>0.55152000000000001</v>
      </c>
      <c r="S39" s="5">
        <f t="shared" si="80"/>
        <v>1.3743292200000001</v>
      </c>
      <c r="T39" s="5">
        <f t="shared" si="81"/>
        <v>8.2459753199999999E-2</v>
      </c>
      <c r="U39" s="5">
        <f t="shared" si="82"/>
        <v>0.18826427671232879</v>
      </c>
      <c r="V39" s="5">
        <f t="shared" si="75"/>
        <v>8.3064213960254332E-2</v>
      </c>
    </row>
    <row r="40" spans="2:22" x14ac:dyDescent="0.3">
      <c r="B40">
        <v>8</v>
      </c>
      <c r="C40">
        <v>689.1</v>
      </c>
      <c r="D40">
        <v>18905.2</v>
      </c>
      <c r="E40">
        <v>5837.2</v>
      </c>
      <c r="F40">
        <f t="shared" si="72"/>
        <v>1.89052</v>
      </c>
      <c r="G40">
        <f t="shared" si="73"/>
        <v>6.8909999999999999E-2</v>
      </c>
      <c r="H40">
        <f t="shared" si="74"/>
        <v>1.82161</v>
      </c>
      <c r="I40">
        <f t="shared" si="76"/>
        <v>0.58372000000000002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6.9658943982202973E-2</v>
      </c>
      <c r="P40" s="4">
        <v>5</v>
      </c>
      <c r="Q40" s="5">
        <f t="shared" si="79"/>
        <v>1.82161</v>
      </c>
      <c r="R40" s="5">
        <f t="shared" si="79"/>
        <v>0.58372000000000002</v>
      </c>
      <c r="S40" s="5">
        <f t="shared" si="80"/>
        <v>1.2142852259999999</v>
      </c>
      <c r="T40" s="5">
        <f t="shared" si="81"/>
        <v>7.2857113559999992E-2</v>
      </c>
      <c r="U40" s="5">
        <f t="shared" si="82"/>
        <v>0.1663404419178082</v>
      </c>
      <c r="V40" s="5">
        <f t="shared" si="75"/>
        <v>6.9658943982202973E-2</v>
      </c>
    </row>
    <row r="41" spans="2:22" x14ac:dyDescent="0.3">
      <c r="B41">
        <v>9</v>
      </c>
      <c r="C41">
        <v>-476.3</v>
      </c>
      <c r="D41">
        <v>18949.2</v>
      </c>
      <c r="E41">
        <v>5345.4</v>
      </c>
      <c r="F41">
        <f t="shared" si="72"/>
        <v>1.8949200000000002</v>
      </c>
      <c r="G41">
        <f t="shared" si="73"/>
        <v>-4.7629999999999999E-2</v>
      </c>
      <c r="H41">
        <f t="shared" si="74"/>
        <v>1.9425500000000002</v>
      </c>
      <c r="I41">
        <f t="shared" si="76"/>
        <v>0.53454000000000002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5.6140155606467401E-2</v>
      </c>
      <c r="P41" s="4">
        <v>8</v>
      </c>
      <c r="Q41" s="5">
        <f t="shared" si="79"/>
        <v>1.9425500000000002</v>
      </c>
      <c r="R41" s="5">
        <f t="shared" si="79"/>
        <v>0.53454000000000002</v>
      </c>
      <c r="S41" s="5">
        <f t="shared" si="80"/>
        <v>0.8093148937500001</v>
      </c>
      <c r="T41" s="5">
        <f t="shared" si="81"/>
        <v>4.8558893625000002E-2</v>
      </c>
      <c r="U41" s="5">
        <f t="shared" si="82"/>
        <v>0.11086505393835618</v>
      </c>
      <c r="V41" s="5">
        <f t="shared" si="75"/>
        <v>5.6140155606467401E-2</v>
      </c>
    </row>
    <row r="42" spans="2:22" x14ac:dyDescent="0.3">
      <c r="B42">
        <v>10</v>
      </c>
      <c r="C42">
        <v>-1790.8</v>
      </c>
      <c r="D42">
        <v>22403.7</v>
      </c>
      <c r="E42">
        <v>4945.6000000000004</v>
      </c>
      <c r="F42">
        <f t="shared" si="72"/>
        <v>2.24037</v>
      </c>
      <c r="G42">
        <f t="shared" si="73"/>
        <v>-0.17907999999999999</v>
      </c>
      <c r="H42">
        <f t="shared" si="74"/>
        <v>2.4194499999999999</v>
      </c>
      <c r="I42">
        <f t="shared" si="76"/>
        <v>0.49456000000000006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4.0202993378190235E-2</v>
      </c>
      <c r="P42" s="4">
        <v>14</v>
      </c>
      <c r="Q42" s="5">
        <f t="shared" si="79"/>
        <v>2.4194499999999999</v>
      </c>
      <c r="R42" s="5">
        <f t="shared" si="79"/>
        <v>0.49456000000000006</v>
      </c>
      <c r="S42" s="5">
        <f t="shared" si="80"/>
        <v>0.57600191785714283</v>
      </c>
      <c r="T42" s="5">
        <f t="shared" si="81"/>
        <v>3.4560115071428567E-2</v>
      </c>
      <c r="U42" s="5">
        <f t="shared" si="82"/>
        <v>7.8904372309197654E-2</v>
      </c>
      <c r="V42" s="5">
        <f t="shared" si="75"/>
        <v>4.0202993378190235E-2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2.5926026770901511E-2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2.5926026770901511E-2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5389.4</v>
      </c>
      <c r="D47">
        <v>43998.7</v>
      </c>
      <c r="E47">
        <v>10921.7</v>
      </c>
      <c r="F47">
        <f t="shared" ref="F47:F57" si="84">D47/10000</f>
        <v>4.3998699999999999</v>
      </c>
      <c r="G47">
        <f t="shared" ref="G47:G57" si="85">C47/10000</f>
        <v>0.53893999999999997</v>
      </c>
      <c r="H47">
        <f t="shared" ref="H47:H57" si="86">F47-G47</f>
        <v>3.8609299999999998</v>
      </c>
      <c r="I47">
        <f>E47/10000</f>
        <v>1.0921700000000001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0.39641840508011328</v>
      </c>
      <c r="P47" s="2">
        <v>3</v>
      </c>
      <c r="Q47" s="8">
        <f>H47</f>
        <v>3.8609299999999998</v>
      </c>
      <c r="R47" s="8">
        <f>I47</f>
        <v>1.0921700000000001</v>
      </c>
      <c r="S47" s="8">
        <f>Q47/10^6*$Z$4*$Z$3/P47*10^12</f>
        <v>4.2894932300000006</v>
      </c>
      <c r="T47" s="8">
        <f>S47*0.06</f>
        <v>0.25736959380000002</v>
      </c>
      <c r="U47" s="8">
        <f>S47/$Z$1</f>
        <v>0.58760181232876718</v>
      </c>
      <c r="V47" s="12">
        <f t="shared" ref="V47:V57" si="87">O47</f>
        <v>0.39641840508011328</v>
      </c>
    </row>
    <row r="48" spans="2:22" x14ac:dyDescent="0.3">
      <c r="B48">
        <v>2</v>
      </c>
      <c r="C48">
        <v>3433.4</v>
      </c>
      <c r="D48">
        <v>58007.6</v>
      </c>
      <c r="E48">
        <v>7769.3</v>
      </c>
      <c r="F48">
        <f t="shared" si="84"/>
        <v>5.8007599999999995</v>
      </c>
      <c r="G48">
        <f t="shared" si="85"/>
        <v>0.34334000000000003</v>
      </c>
      <c r="H48">
        <f t="shared" si="86"/>
        <v>5.457419999999999</v>
      </c>
      <c r="I48">
        <f t="shared" ref="I48:I57" si="88">E48/10000</f>
        <v>0.77693000000000001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0.35163831561970926</v>
      </c>
      <c r="P48" s="4">
        <v>3</v>
      </c>
      <c r="Q48" s="5">
        <f t="shared" ref="Q48:R57" si="91">H48</f>
        <v>5.457419999999999</v>
      </c>
      <c r="R48" s="5">
        <f t="shared" si="91"/>
        <v>0.77693000000000001</v>
      </c>
      <c r="S48" s="5">
        <f t="shared" ref="S48:S57" si="92">Q48/10^6*$Z$4*$Z$3/P48*10^12</f>
        <v>6.0631936199999998</v>
      </c>
      <c r="T48" s="5">
        <f t="shared" ref="T48:T57" si="93">S48*0.06</f>
        <v>0.36379161719999997</v>
      </c>
      <c r="U48" s="5">
        <f t="shared" ref="U48:U57" si="94">S48/$Z$1</f>
        <v>0.83057446849315064</v>
      </c>
      <c r="V48" s="5">
        <f t="shared" si="87"/>
        <v>0.35163831561970926</v>
      </c>
    </row>
    <row r="49" spans="2:22" x14ac:dyDescent="0.3">
      <c r="B49">
        <v>3</v>
      </c>
      <c r="C49">
        <v>6278.2</v>
      </c>
      <c r="D49">
        <v>66865.8</v>
      </c>
      <c r="E49">
        <v>6670.4</v>
      </c>
      <c r="F49">
        <f t="shared" si="84"/>
        <v>6.6865800000000002</v>
      </c>
      <c r="G49">
        <f t="shared" si="85"/>
        <v>0.62781999999999993</v>
      </c>
      <c r="H49">
        <f t="shared" si="86"/>
        <v>6.0587600000000004</v>
      </c>
      <c r="I49">
        <f t="shared" si="88"/>
        <v>0.66703999999999997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0.30335616548294025</v>
      </c>
      <c r="P49" s="4">
        <v>3</v>
      </c>
      <c r="Q49" s="5">
        <f t="shared" si="91"/>
        <v>6.0587600000000004</v>
      </c>
      <c r="R49" s="5">
        <f t="shared" si="91"/>
        <v>0.66703999999999997</v>
      </c>
      <c r="S49" s="5">
        <f t="shared" si="92"/>
        <v>6.7312823600000007</v>
      </c>
      <c r="T49" s="5">
        <f t="shared" si="93"/>
        <v>0.40387694160000004</v>
      </c>
      <c r="U49" s="5">
        <f t="shared" si="94"/>
        <v>0.92209347397260288</v>
      </c>
      <c r="V49" s="5">
        <f t="shared" si="87"/>
        <v>0.30335616548294025</v>
      </c>
    </row>
    <row r="50" spans="2:22" x14ac:dyDescent="0.3">
      <c r="B50">
        <v>4</v>
      </c>
      <c r="C50">
        <v>7578.5</v>
      </c>
      <c r="D50">
        <v>55645.8</v>
      </c>
      <c r="E50">
        <v>6198.7</v>
      </c>
      <c r="F50">
        <f t="shared" si="84"/>
        <v>5.5645800000000003</v>
      </c>
      <c r="G50">
        <f t="shared" si="85"/>
        <v>0.75785000000000002</v>
      </c>
      <c r="H50">
        <f t="shared" si="86"/>
        <v>4.8067299999999999</v>
      </c>
      <c r="I50">
        <f t="shared" si="88"/>
        <v>0.61987000000000003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0.18373546003780555</v>
      </c>
      <c r="P50" s="4">
        <v>3</v>
      </c>
      <c r="Q50" s="5">
        <f t="shared" si="91"/>
        <v>4.8067299999999999</v>
      </c>
      <c r="R50" s="5">
        <f t="shared" si="91"/>
        <v>0.61987000000000003</v>
      </c>
      <c r="S50" s="5">
        <f t="shared" si="92"/>
        <v>5.3402770299999993</v>
      </c>
      <c r="T50" s="5">
        <f t="shared" si="93"/>
        <v>0.32041662179999997</v>
      </c>
      <c r="U50" s="5">
        <f t="shared" si="94"/>
        <v>0.73154479863013688</v>
      </c>
      <c r="V50" s="5">
        <f t="shared" si="87"/>
        <v>0.18373546003780555</v>
      </c>
    </row>
    <row r="51" spans="2:22" x14ac:dyDescent="0.3">
      <c r="B51">
        <v>5</v>
      </c>
      <c r="C51">
        <v>13622.6</v>
      </c>
      <c r="D51">
        <v>42841.9</v>
      </c>
      <c r="E51">
        <v>6770.2</v>
      </c>
      <c r="F51">
        <f t="shared" si="84"/>
        <v>4.2841899999999997</v>
      </c>
      <c r="G51">
        <f t="shared" si="85"/>
        <v>1.36226</v>
      </c>
      <c r="H51">
        <f t="shared" si="86"/>
        <v>2.9219299999999997</v>
      </c>
      <c r="I51">
        <f t="shared" si="88"/>
        <v>0.67701999999999996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0.1327972560328306</v>
      </c>
      <c r="P51" s="4">
        <v>3</v>
      </c>
      <c r="Q51" s="5">
        <f t="shared" si="91"/>
        <v>2.9219299999999997</v>
      </c>
      <c r="R51" s="5">
        <f t="shared" si="91"/>
        <v>0.67701999999999996</v>
      </c>
      <c r="S51" s="5">
        <f t="shared" si="92"/>
        <v>3.24626423</v>
      </c>
      <c r="T51" s="5">
        <f t="shared" si="93"/>
        <v>0.19477585379999998</v>
      </c>
      <c r="U51" s="5">
        <f t="shared" si="94"/>
        <v>0.44469373013698632</v>
      </c>
      <c r="V51" s="5">
        <f t="shared" si="87"/>
        <v>0.1327972560328306</v>
      </c>
    </row>
    <row r="52" spans="2:22" x14ac:dyDescent="0.3">
      <c r="B52">
        <v>6</v>
      </c>
      <c r="C52">
        <v>9716</v>
      </c>
      <c r="D52">
        <v>32951.199999999997</v>
      </c>
      <c r="E52">
        <v>5760.9</v>
      </c>
      <c r="F52">
        <f t="shared" si="84"/>
        <v>3.2951199999999998</v>
      </c>
      <c r="G52">
        <f t="shared" si="85"/>
        <v>0.97160000000000002</v>
      </c>
      <c r="H52">
        <f t="shared" si="86"/>
        <v>2.3235199999999998</v>
      </c>
      <c r="I52">
        <f t="shared" si="88"/>
        <v>0.57608999999999999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9.1921273043951326E-2</v>
      </c>
      <c r="P52" s="4">
        <v>4</v>
      </c>
      <c r="Q52" s="5">
        <f t="shared" si="91"/>
        <v>2.3235199999999998</v>
      </c>
      <c r="R52" s="5">
        <f t="shared" si="91"/>
        <v>0.57608999999999999</v>
      </c>
      <c r="S52" s="5">
        <f t="shared" si="92"/>
        <v>1.9360730399999999</v>
      </c>
      <c r="T52" s="5">
        <f t="shared" si="93"/>
        <v>0.11616438239999999</v>
      </c>
      <c r="U52" s="5">
        <f t="shared" si="94"/>
        <v>0.26521548493150682</v>
      </c>
      <c r="V52" s="5">
        <f t="shared" si="87"/>
        <v>9.1921273043951326E-2</v>
      </c>
    </row>
    <row r="53" spans="2:22" x14ac:dyDescent="0.3">
      <c r="B53">
        <v>7</v>
      </c>
      <c r="C53">
        <v>12271.7</v>
      </c>
      <c r="D53">
        <v>29031.200000000001</v>
      </c>
      <c r="E53">
        <v>6895.9</v>
      </c>
      <c r="F53">
        <f t="shared" si="84"/>
        <v>2.9031199999999999</v>
      </c>
      <c r="G53">
        <f t="shared" si="85"/>
        <v>1.2271700000000001</v>
      </c>
      <c r="H53">
        <f t="shared" si="86"/>
        <v>1.6759499999999998</v>
      </c>
      <c r="I53">
        <f t="shared" si="88"/>
        <v>0.68958999999999993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6.645137116820346E-2</v>
      </c>
      <c r="P53" s="4">
        <v>4</v>
      </c>
      <c r="Q53" s="5">
        <f t="shared" si="91"/>
        <v>1.6759499999999998</v>
      </c>
      <c r="R53" s="5">
        <f t="shared" si="91"/>
        <v>0.68958999999999993</v>
      </c>
      <c r="S53" s="5">
        <f t="shared" si="92"/>
        <v>1.3964853374999999</v>
      </c>
      <c r="T53" s="5">
        <f t="shared" si="93"/>
        <v>8.3789120249999988E-2</v>
      </c>
      <c r="U53" s="5">
        <f t="shared" si="94"/>
        <v>0.19129936130136985</v>
      </c>
      <c r="V53" s="5">
        <f t="shared" si="87"/>
        <v>6.645137116820346E-2</v>
      </c>
    </row>
    <row r="54" spans="2:22" x14ac:dyDescent="0.3">
      <c r="B54">
        <v>8</v>
      </c>
      <c r="C54">
        <v>19790.900000000001</v>
      </c>
      <c r="D54">
        <v>26590.6</v>
      </c>
      <c r="E54">
        <v>5393.5</v>
      </c>
      <c r="F54">
        <f t="shared" si="84"/>
        <v>2.6590599999999998</v>
      </c>
      <c r="G54">
        <f t="shared" si="85"/>
        <v>1.9790900000000002</v>
      </c>
      <c r="H54">
        <f t="shared" si="86"/>
        <v>0.67996999999999952</v>
      </c>
      <c r="I54">
        <f t="shared" si="88"/>
        <v>0.53935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5.5727155185762378E-2</v>
      </c>
      <c r="P54" s="4">
        <v>5</v>
      </c>
      <c r="Q54" s="5">
        <f t="shared" si="91"/>
        <v>0.67996999999999952</v>
      </c>
      <c r="R54" s="5">
        <f t="shared" si="91"/>
        <v>0.53935</v>
      </c>
      <c r="S54" s="5">
        <f t="shared" si="92"/>
        <v>0.45326800199999961</v>
      </c>
      <c r="T54" s="5">
        <f t="shared" si="93"/>
        <v>2.7196080119999976E-2</v>
      </c>
      <c r="U54" s="5">
        <f t="shared" si="94"/>
        <v>6.209150712328762E-2</v>
      </c>
      <c r="V54" s="5">
        <f t="shared" si="87"/>
        <v>5.5727155185762378E-2</v>
      </c>
    </row>
    <row r="55" spans="2:22" x14ac:dyDescent="0.3">
      <c r="B55">
        <v>9</v>
      </c>
      <c r="C55">
        <v>13579.5</v>
      </c>
      <c r="D55">
        <v>30007.7</v>
      </c>
      <c r="E55">
        <v>5122.6000000000004</v>
      </c>
      <c r="F55">
        <f t="shared" si="84"/>
        <v>3.0007700000000002</v>
      </c>
      <c r="G55">
        <f t="shared" si="85"/>
        <v>1.35795</v>
      </c>
      <c r="H55">
        <f t="shared" si="86"/>
        <v>1.6428200000000002</v>
      </c>
      <c r="I55">
        <f t="shared" si="88"/>
        <v>0.51226000000000005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4.491212448517392E-2</v>
      </c>
      <c r="P55" s="4">
        <v>8</v>
      </c>
      <c r="Q55" s="5">
        <f t="shared" si="91"/>
        <v>1.6428200000000002</v>
      </c>
      <c r="R55" s="5">
        <f t="shared" si="91"/>
        <v>0.51226000000000005</v>
      </c>
      <c r="S55" s="5">
        <f t="shared" si="92"/>
        <v>0.6844398825000001</v>
      </c>
      <c r="T55" s="5">
        <f t="shared" si="93"/>
        <v>4.1066392950000002E-2</v>
      </c>
      <c r="U55" s="5">
        <f t="shared" si="94"/>
        <v>9.3758888013698652E-2</v>
      </c>
      <c r="V55" s="5">
        <f t="shared" si="87"/>
        <v>4.491212448517392E-2</v>
      </c>
    </row>
    <row r="56" spans="2:22" x14ac:dyDescent="0.3">
      <c r="B56">
        <v>10</v>
      </c>
      <c r="C56">
        <v>6141</v>
      </c>
      <c r="D56">
        <v>49272.9</v>
      </c>
      <c r="E56">
        <v>5282.1</v>
      </c>
      <c r="F56">
        <f t="shared" si="84"/>
        <v>4.9272900000000002</v>
      </c>
      <c r="G56">
        <f t="shared" si="85"/>
        <v>0.61409999999999998</v>
      </c>
      <c r="H56">
        <f t="shared" si="86"/>
        <v>4.3131900000000005</v>
      </c>
      <c r="I56">
        <f t="shared" si="88"/>
        <v>0.52821000000000007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3.2162394702552187E-2</v>
      </c>
      <c r="P56" s="4">
        <v>14</v>
      </c>
      <c r="Q56" s="5">
        <f t="shared" si="91"/>
        <v>4.3131900000000005</v>
      </c>
      <c r="R56" s="5">
        <f t="shared" si="91"/>
        <v>0.52821000000000007</v>
      </c>
      <c r="S56" s="5">
        <f t="shared" si="92"/>
        <v>1.0268473050000002</v>
      </c>
      <c r="T56" s="5">
        <f t="shared" si="93"/>
        <v>6.1610838300000012E-2</v>
      </c>
      <c r="U56" s="5">
        <f t="shared" si="94"/>
        <v>0.14066401438356169</v>
      </c>
      <c r="V56" s="5">
        <f t="shared" si="87"/>
        <v>3.2162394702552187E-2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2.0740821416721209E-2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2.0740821416721209E-2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-3841.1</v>
      </c>
      <c r="D61">
        <v>36138.699999999997</v>
      </c>
      <c r="E61">
        <v>11445.4</v>
      </c>
      <c r="F61">
        <f t="shared" ref="F61:F71" si="96">D61/10000</f>
        <v>3.6138699999999999</v>
      </c>
      <c r="G61">
        <f t="shared" ref="G61:G71" si="97">C61/10000</f>
        <v>-0.38411000000000001</v>
      </c>
      <c r="H61">
        <f t="shared" ref="H61:H71" si="98">F61-G61</f>
        <v>3.9979800000000001</v>
      </c>
      <c r="I61">
        <f>E61/10000</f>
        <v>1.1445399999999999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0.3303486709000944</v>
      </c>
      <c r="P61" s="2">
        <v>3</v>
      </c>
      <c r="Q61" s="8">
        <f>H61</f>
        <v>3.9979800000000001</v>
      </c>
      <c r="R61" s="8">
        <f>I61</f>
        <v>1.1445399999999999</v>
      </c>
      <c r="S61" s="8">
        <f>Q61/10^6*$Z$4*$Z$3/P61*10^12</f>
        <v>4.4417557800000003</v>
      </c>
      <c r="T61" s="8">
        <f>S61*0.06</f>
        <v>0.26650534679999999</v>
      </c>
      <c r="U61" s="8">
        <f>S61/$Z$1</f>
        <v>0.60845969589041105</v>
      </c>
      <c r="V61" s="12">
        <f t="shared" ref="V61:V71" si="99">O61</f>
        <v>0.3303486709000944</v>
      </c>
    </row>
    <row r="62" spans="2:22" x14ac:dyDescent="0.3">
      <c r="B62">
        <v>2</v>
      </c>
      <c r="C62">
        <v>-1784.3</v>
      </c>
      <c r="D62">
        <v>47951.3</v>
      </c>
      <c r="E62">
        <v>8216.1</v>
      </c>
      <c r="F62">
        <f t="shared" si="96"/>
        <v>4.7951300000000003</v>
      </c>
      <c r="G62">
        <f t="shared" si="97"/>
        <v>-0.17843000000000001</v>
      </c>
      <c r="H62">
        <f t="shared" si="98"/>
        <v>4.97356</v>
      </c>
      <c r="I62">
        <f t="shared" ref="I62:I71" si="100">E62/10000</f>
        <v>0.82161000000000006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0.29303192968309105</v>
      </c>
      <c r="P62" s="4">
        <v>3</v>
      </c>
      <c r="Q62" s="5">
        <f t="shared" ref="Q62:R71" si="103">H62</f>
        <v>4.97356</v>
      </c>
      <c r="R62" s="5">
        <f t="shared" si="103"/>
        <v>0.82161000000000006</v>
      </c>
      <c r="S62" s="5">
        <f t="shared" ref="S62:S71" si="104">Q62/10^6*$Z$4*$Z$3/P62*10^12</f>
        <v>5.5256251599999997</v>
      </c>
      <c r="T62" s="5">
        <f t="shared" ref="T62:T71" si="105">S62*0.06</f>
        <v>0.33153750959999995</v>
      </c>
      <c r="U62" s="5">
        <f t="shared" ref="U62:U71" si="106">S62/$Z$1</f>
        <v>0.75693495342465755</v>
      </c>
      <c r="V62" s="5">
        <f t="shared" si="99"/>
        <v>0.29303192968309105</v>
      </c>
    </row>
    <row r="63" spans="2:22" x14ac:dyDescent="0.3">
      <c r="B63">
        <v>3</v>
      </c>
      <c r="C63">
        <v>-588</v>
      </c>
      <c r="D63">
        <v>52978.5</v>
      </c>
      <c r="E63">
        <v>6614.3</v>
      </c>
      <c r="F63">
        <f t="shared" si="96"/>
        <v>5.2978500000000004</v>
      </c>
      <c r="G63">
        <f t="shared" si="97"/>
        <v>-5.8799999999999998E-2</v>
      </c>
      <c r="H63">
        <f t="shared" si="98"/>
        <v>5.3566500000000001</v>
      </c>
      <c r="I63">
        <f t="shared" si="100"/>
        <v>0.66143000000000007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0.25279680456911685</v>
      </c>
      <c r="P63" s="4">
        <v>3</v>
      </c>
      <c r="Q63" s="5">
        <f t="shared" si="103"/>
        <v>5.3566500000000001</v>
      </c>
      <c r="R63" s="5">
        <f t="shared" si="103"/>
        <v>0.66143000000000007</v>
      </c>
      <c r="S63" s="5">
        <f t="shared" si="104"/>
        <v>5.9512381500000009</v>
      </c>
      <c r="T63" s="5">
        <f t="shared" si="105"/>
        <v>0.35707428900000004</v>
      </c>
      <c r="U63" s="5">
        <f t="shared" si="106"/>
        <v>0.81523810273972619</v>
      </c>
      <c r="V63" s="5">
        <f t="shared" si="99"/>
        <v>0.25279680456911685</v>
      </c>
    </row>
    <row r="64" spans="2:22" x14ac:dyDescent="0.3">
      <c r="B64">
        <v>4</v>
      </c>
      <c r="C64">
        <v>-1004.2</v>
      </c>
      <c r="D64">
        <v>44878.3</v>
      </c>
      <c r="E64">
        <v>5280.1</v>
      </c>
      <c r="F64">
        <f t="shared" si="96"/>
        <v>4.4878300000000007</v>
      </c>
      <c r="G64">
        <f t="shared" si="97"/>
        <v>-0.10042000000000001</v>
      </c>
      <c r="H64">
        <f t="shared" si="98"/>
        <v>4.5882500000000004</v>
      </c>
      <c r="I64">
        <f t="shared" si="100"/>
        <v>0.52801000000000009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0.15311288336483794</v>
      </c>
      <c r="P64" s="4">
        <v>3</v>
      </c>
      <c r="Q64" s="5">
        <f t="shared" si="103"/>
        <v>4.5882500000000004</v>
      </c>
      <c r="R64" s="5">
        <f t="shared" si="103"/>
        <v>0.52801000000000009</v>
      </c>
      <c r="S64" s="5">
        <f t="shared" si="104"/>
        <v>5.097545750000001</v>
      </c>
      <c r="T64" s="5">
        <f t="shared" si="105"/>
        <v>0.30585274500000004</v>
      </c>
      <c r="U64" s="5">
        <f t="shared" si="106"/>
        <v>0.69829393835616449</v>
      </c>
      <c r="V64" s="5">
        <f t="shared" si="99"/>
        <v>0.15311288336483794</v>
      </c>
    </row>
    <row r="65" spans="2:22" x14ac:dyDescent="0.3">
      <c r="B65">
        <v>5</v>
      </c>
      <c r="C65">
        <v>3755.6</v>
      </c>
      <c r="D65">
        <v>30208.7</v>
      </c>
      <c r="E65">
        <v>5792.7</v>
      </c>
      <c r="F65">
        <f t="shared" si="96"/>
        <v>3.0208699999999999</v>
      </c>
      <c r="G65">
        <f t="shared" si="97"/>
        <v>0.37556</v>
      </c>
      <c r="H65">
        <f t="shared" si="98"/>
        <v>2.6453099999999998</v>
      </c>
      <c r="I65">
        <f t="shared" si="100"/>
        <v>0.57926999999999995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0.11066438002735886</v>
      </c>
      <c r="P65" s="4">
        <v>3</v>
      </c>
      <c r="Q65" s="5">
        <f t="shared" si="103"/>
        <v>2.6453099999999998</v>
      </c>
      <c r="R65" s="5">
        <f t="shared" si="103"/>
        <v>0.57926999999999995</v>
      </c>
      <c r="S65" s="5">
        <f t="shared" si="104"/>
        <v>2.9389394099999997</v>
      </c>
      <c r="T65" s="5">
        <f t="shared" si="105"/>
        <v>0.17633636459999996</v>
      </c>
      <c r="U65" s="5">
        <f t="shared" si="106"/>
        <v>0.40259443972602738</v>
      </c>
      <c r="V65" s="5">
        <f t="shared" si="99"/>
        <v>0.11066438002735886</v>
      </c>
    </row>
    <row r="66" spans="2:22" x14ac:dyDescent="0.3">
      <c r="B66">
        <v>6</v>
      </c>
      <c r="C66">
        <v>8704.2999999999993</v>
      </c>
      <c r="D66">
        <v>22070.7</v>
      </c>
      <c r="E66">
        <v>5011.3</v>
      </c>
      <c r="F66">
        <f t="shared" si="96"/>
        <v>2.2070699999999999</v>
      </c>
      <c r="G66">
        <f t="shared" si="97"/>
        <v>0.87042999999999993</v>
      </c>
      <c r="H66">
        <f t="shared" si="98"/>
        <v>1.3366400000000001</v>
      </c>
      <c r="I66">
        <f t="shared" si="100"/>
        <v>0.50112999999999996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7.6601060869959436E-2</v>
      </c>
      <c r="P66" s="4">
        <v>4</v>
      </c>
      <c r="Q66" s="5">
        <f t="shared" si="103"/>
        <v>1.3366400000000001</v>
      </c>
      <c r="R66" s="5">
        <f t="shared" si="103"/>
        <v>0.50112999999999996</v>
      </c>
      <c r="S66" s="5">
        <f t="shared" si="104"/>
        <v>1.1137552800000001</v>
      </c>
      <c r="T66" s="5">
        <f t="shared" si="105"/>
        <v>6.6825316800000006E-2</v>
      </c>
      <c r="U66" s="5">
        <f t="shared" si="106"/>
        <v>0.15256921643835619</v>
      </c>
      <c r="V66" s="5">
        <f t="shared" si="99"/>
        <v>7.6601060869959436E-2</v>
      </c>
    </row>
    <row r="67" spans="2:22" x14ac:dyDescent="0.3">
      <c r="B67">
        <v>7</v>
      </c>
      <c r="C67">
        <v>8652.7999999999993</v>
      </c>
      <c r="D67">
        <v>18908.5</v>
      </c>
      <c r="E67">
        <v>5531</v>
      </c>
      <c r="F67">
        <f t="shared" si="96"/>
        <v>1.8908499999999999</v>
      </c>
      <c r="G67">
        <f t="shared" si="97"/>
        <v>0.86527999999999994</v>
      </c>
      <c r="H67">
        <f t="shared" si="98"/>
        <v>1.0255700000000001</v>
      </c>
      <c r="I67">
        <f t="shared" si="100"/>
        <v>0.55310000000000004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5.5376142640169559E-2</v>
      </c>
      <c r="P67" s="4">
        <v>4</v>
      </c>
      <c r="Q67" s="5">
        <f t="shared" si="103"/>
        <v>1.0255700000000001</v>
      </c>
      <c r="R67" s="5">
        <f t="shared" si="103"/>
        <v>0.55310000000000004</v>
      </c>
      <c r="S67" s="5">
        <f t="shared" si="104"/>
        <v>0.85455620250000008</v>
      </c>
      <c r="T67" s="5">
        <f t="shared" si="105"/>
        <v>5.1273372150000003E-2</v>
      </c>
      <c r="U67" s="5">
        <f t="shared" si="106"/>
        <v>0.1170624934931507</v>
      </c>
      <c r="V67" s="5">
        <f t="shared" si="99"/>
        <v>5.5376142640169559E-2</v>
      </c>
    </row>
    <row r="68" spans="2:22" x14ac:dyDescent="0.3">
      <c r="B68">
        <v>8</v>
      </c>
      <c r="C68">
        <v>-2347</v>
      </c>
      <c r="D68">
        <v>18922.599999999999</v>
      </c>
      <c r="E68">
        <v>5314.9</v>
      </c>
      <c r="F68">
        <f t="shared" si="96"/>
        <v>1.8922599999999998</v>
      </c>
      <c r="G68">
        <f t="shared" si="97"/>
        <v>-0.23469999999999999</v>
      </c>
      <c r="H68">
        <f t="shared" si="98"/>
        <v>2.12696</v>
      </c>
      <c r="I68">
        <f t="shared" si="100"/>
        <v>0.53149000000000002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4.6439295988135315E-2</v>
      </c>
      <c r="P68" s="4">
        <v>5</v>
      </c>
      <c r="Q68" s="5">
        <f t="shared" si="103"/>
        <v>2.12696</v>
      </c>
      <c r="R68" s="5">
        <f t="shared" si="103"/>
        <v>0.53149000000000002</v>
      </c>
      <c r="S68" s="5">
        <f t="shared" si="104"/>
        <v>1.417831536</v>
      </c>
      <c r="T68" s="5">
        <f t="shared" si="105"/>
        <v>8.5069892159999994E-2</v>
      </c>
      <c r="U68" s="5">
        <f t="shared" si="106"/>
        <v>0.19422349808219178</v>
      </c>
      <c r="V68" s="5">
        <f t="shared" si="99"/>
        <v>4.6439295988135315E-2</v>
      </c>
    </row>
    <row r="69" spans="2:22" x14ac:dyDescent="0.3">
      <c r="B69">
        <v>9</v>
      </c>
      <c r="C69">
        <v>9100</v>
      </c>
      <c r="D69">
        <v>24529.599999999999</v>
      </c>
      <c r="E69">
        <v>3957.7</v>
      </c>
      <c r="F69">
        <f t="shared" si="96"/>
        <v>2.45296</v>
      </c>
      <c r="G69">
        <f t="shared" si="97"/>
        <v>0.91</v>
      </c>
      <c r="H69">
        <f t="shared" si="98"/>
        <v>1.5429599999999999</v>
      </c>
      <c r="I69">
        <f t="shared" si="100"/>
        <v>0.39576999999999996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3.7426770404311596E-2</v>
      </c>
      <c r="P69" s="4">
        <v>8</v>
      </c>
      <c r="Q69" s="5">
        <f t="shared" si="103"/>
        <v>1.5429599999999999</v>
      </c>
      <c r="R69" s="5">
        <f t="shared" si="103"/>
        <v>0.39576999999999996</v>
      </c>
      <c r="S69" s="5">
        <f t="shared" si="104"/>
        <v>0.64283570999999995</v>
      </c>
      <c r="T69" s="5">
        <f t="shared" si="105"/>
        <v>3.8570142599999996E-2</v>
      </c>
      <c r="U69" s="5">
        <f t="shared" si="106"/>
        <v>8.8059686301369858E-2</v>
      </c>
      <c r="V69" s="5">
        <f t="shared" si="99"/>
        <v>3.7426770404311596E-2</v>
      </c>
    </row>
    <row r="70" spans="2:22" x14ac:dyDescent="0.3">
      <c r="B70">
        <v>10</v>
      </c>
      <c r="C70">
        <v>9360.4</v>
      </c>
      <c r="D70">
        <v>32000</v>
      </c>
      <c r="E70">
        <v>3488.9</v>
      </c>
      <c r="F70">
        <f t="shared" si="96"/>
        <v>3.2</v>
      </c>
      <c r="G70">
        <f t="shared" si="97"/>
        <v>0.93603999999999998</v>
      </c>
      <c r="H70">
        <f t="shared" si="98"/>
        <v>2.26396</v>
      </c>
      <c r="I70">
        <f t="shared" si="100"/>
        <v>0.34889000000000003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2.6801995585460155E-2</v>
      </c>
      <c r="P70" s="4">
        <v>14</v>
      </c>
      <c r="Q70" s="5">
        <f t="shared" si="103"/>
        <v>2.26396</v>
      </c>
      <c r="R70" s="5">
        <f t="shared" si="103"/>
        <v>0.34889000000000003</v>
      </c>
      <c r="S70" s="5">
        <f t="shared" si="104"/>
        <v>0.53898419142857146</v>
      </c>
      <c r="T70" s="5">
        <f t="shared" si="105"/>
        <v>3.2339051485714289E-2</v>
      </c>
      <c r="U70" s="5">
        <f t="shared" si="106"/>
        <v>7.3833450880626234E-2</v>
      </c>
      <c r="V70" s="5">
        <f t="shared" si="99"/>
        <v>2.6801995585460155E-2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1.7284017847267675E-2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1.7284017847267675E-2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6838.7</v>
      </c>
      <c r="D75">
        <v>41442.9</v>
      </c>
      <c r="E75">
        <v>11663.1</v>
      </c>
      <c r="F75">
        <f t="shared" ref="F75:F85" si="108">D75/10000</f>
        <v>4.1442899999999998</v>
      </c>
      <c r="G75">
        <f t="shared" ref="G75:G85" si="109">C75/10000</f>
        <v>0.68386999999999998</v>
      </c>
      <c r="H75">
        <f t="shared" ref="H75:H85" si="110">F75-G75</f>
        <v>3.4604200000000001</v>
      </c>
      <c r="I75">
        <f>E75/10000</f>
        <v>1.16631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0.28315600362865234</v>
      </c>
      <c r="P75" s="2">
        <v>3</v>
      </c>
      <c r="Q75" s="8">
        <f>H75</f>
        <v>3.4604200000000001</v>
      </c>
      <c r="R75" s="8">
        <f>I75</f>
        <v>1.16631</v>
      </c>
      <c r="S75" s="8">
        <f>Q75/10^6*$Z$4*$Z$3/P75*10^12</f>
        <v>3.8445266200000008</v>
      </c>
      <c r="T75" s="8">
        <f>S75*0.06</f>
        <v>0.23067159720000005</v>
      </c>
      <c r="U75" s="8">
        <f>S75/$Z$1</f>
        <v>0.52664748219178092</v>
      </c>
      <c r="V75" s="12">
        <f t="shared" ref="V75:V85" si="111">O75</f>
        <v>0.28315600362865234</v>
      </c>
    </row>
    <row r="76" spans="2:22" x14ac:dyDescent="0.3">
      <c r="B76">
        <v>2</v>
      </c>
      <c r="C76">
        <v>4473.7</v>
      </c>
      <c r="D76">
        <v>54177.7</v>
      </c>
      <c r="E76">
        <v>7668.1</v>
      </c>
      <c r="F76">
        <f t="shared" si="108"/>
        <v>5.41777</v>
      </c>
      <c r="G76">
        <f t="shared" si="109"/>
        <v>0.44736999999999999</v>
      </c>
      <c r="H76">
        <f t="shared" si="110"/>
        <v>4.9703999999999997</v>
      </c>
      <c r="I76">
        <f t="shared" ref="I76:I85" si="112">E76/10000</f>
        <v>0.76680999999999999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0.25117022544264944</v>
      </c>
      <c r="P76" s="4">
        <v>3</v>
      </c>
      <c r="Q76" s="5">
        <f t="shared" ref="Q76:R85" si="115">H76</f>
        <v>4.9703999999999997</v>
      </c>
      <c r="R76" s="5">
        <f t="shared" si="115"/>
        <v>0.76680999999999999</v>
      </c>
      <c r="S76" s="5">
        <f t="shared" ref="S76:S85" si="116">Q76/10^6*$Z$4*$Z$3/P76*10^12</f>
        <v>5.5221143999999995</v>
      </c>
      <c r="T76" s="5">
        <f t="shared" ref="T76:T85" si="117">S76*0.06</f>
        <v>0.33132686399999994</v>
      </c>
      <c r="U76" s="5">
        <f t="shared" ref="U76:U85" si="118">S76/$Z$1</f>
        <v>0.7564540273972602</v>
      </c>
      <c r="V76" s="5">
        <f t="shared" si="111"/>
        <v>0.25117022544264944</v>
      </c>
    </row>
    <row r="77" spans="2:22" x14ac:dyDescent="0.3">
      <c r="B77">
        <v>3</v>
      </c>
      <c r="C77">
        <v>14968.9</v>
      </c>
      <c r="D77">
        <v>62215.9</v>
      </c>
      <c r="E77">
        <v>6073.2</v>
      </c>
      <c r="F77">
        <f t="shared" si="108"/>
        <v>6.22159</v>
      </c>
      <c r="G77">
        <f t="shared" si="109"/>
        <v>1.4968900000000001</v>
      </c>
      <c r="H77">
        <f t="shared" si="110"/>
        <v>4.7247000000000003</v>
      </c>
      <c r="I77">
        <f t="shared" si="112"/>
        <v>0.60731999999999997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0.21668297534495734</v>
      </c>
      <c r="P77" s="4">
        <v>3</v>
      </c>
      <c r="Q77" s="5">
        <f t="shared" si="115"/>
        <v>4.7247000000000003</v>
      </c>
      <c r="R77" s="5">
        <f t="shared" si="115"/>
        <v>0.60731999999999997</v>
      </c>
      <c r="S77" s="5">
        <f t="shared" si="116"/>
        <v>5.2491417000000009</v>
      </c>
      <c r="T77" s="5">
        <f t="shared" si="117"/>
        <v>0.31494850200000002</v>
      </c>
      <c r="U77" s="5">
        <f t="shared" si="118"/>
        <v>0.71906050684931522</v>
      </c>
      <c r="V77" s="5">
        <f t="shared" si="111"/>
        <v>0.21668297534495734</v>
      </c>
    </row>
    <row r="78" spans="2:22" x14ac:dyDescent="0.3">
      <c r="B78">
        <v>4</v>
      </c>
      <c r="C78">
        <v>7380.8</v>
      </c>
      <c r="D78">
        <v>48667.7</v>
      </c>
      <c r="E78">
        <v>6723.1</v>
      </c>
      <c r="F78">
        <f t="shared" si="108"/>
        <v>4.8667699999999998</v>
      </c>
      <c r="G78">
        <f t="shared" si="109"/>
        <v>0.73808000000000007</v>
      </c>
      <c r="H78">
        <f t="shared" si="110"/>
        <v>4.1286899999999997</v>
      </c>
      <c r="I78">
        <f t="shared" si="112"/>
        <v>0.67231000000000007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0.13123961431271824</v>
      </c>
      <c r="P78" s="4">
        <v>3</v>
      </c>
      <c r="Q78" s="5">
        <f t="shared" si="115"/>
        <v>4.1286899999999997</v>
      </c>
      <c r="R78" s="5">
        <f t="shared" si="115"/>
        <v>0.67231000000000007</v>
      </c>
      <c r="S78" s="5">
        <f t="shared" si="116"/>
        <v>4.5869745900000005</v>
      </c>
      <c r="T78" s="5">
        <f t="shared" si="117"/>
        <v>0.2752184754</v>
      </c>
      <c r="U78" s="5">
        <f t="shared" si="118"/>
        <v>0.62835268356164398</v>
      </c>
      <c r="V78" s="5">
        <f t="shared" si="111"/>
        <v>0.13123961431271824</v>
      </c>
    </row>
    <row r="79" spans="2:22" x14ac:dyDescent="0.3">
      <c r="B79">
        <v>5</v>
      </c>
      <c r="C79">
        <v>18190.099999999999</v>
      </c>
      <c r="D79">
        <v>38587.199999999997</v>
      </c>
      <c r="E79">
        <v>5056.3</v>
      </c>
      <c r="F79">
        <f t="shared" si="108"/>
        <v>3.8587199999999999</v>
      </c>
      <c r="G79">
        <f t="shared" si="109"/>
        <v>1.8190099999999998</v>
      </c>
      <c r="H79">
        <f t="shared" si="110"/>
        <v>2.0397100000000004</v>
      </c>
      <c r="I79">
        <f t="shared" si="112"/>
        <v>0.50563000000000002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9.4855182880593303E-2</v>
      </c>
      <c r="P79" s="4">
        <v>3</v>
      </c>
      <c r="Q79" s="5">
        <f t="shared" si="115"/>
        <v>2.0397100000000004</v>
      </c>
      <c r="R79" s="5">
        <f t="shared" si="115"/>
        <v>0.50563000000000002</v>
      </c>
      <c r="S79" s="5">
        <f t="shared" si="116"/>
        <v>2.2661178100000003</v>
      </c>
      <c r="T79" s="5">
        <f t="shared" si="117"/>
        <v>0.13596706860000002</v>
      </c>
      <c r="U79" s="5">
        <f t="shared" si="118"/>
        <v>0.31042709726027401</v>
      </c>
      <c r="V79" s="5">
        <f t="shared" si="111"/>
        <v>9.4855182880593303E-2</v>
      </c>
    </row>
    <row r="80" spans="2:22" x14ac:dyDescent="0.3">
      <c r="B80">
        <v>6</v>
      </c>
      <c r="C80">
        <v>12189.9</v>
      </c>
      <c r="D80">
        <v>34550.199999999997</v>
      </c>
      <c r="E80">
        <v>5438.8</v>
      </c>
      <c r="F80">
        <f t="shared" si="108"/>
        <v>3.4550199999999998</v>
      </c>
      <c r="G80">
        <f t="shared" si="109"/>
        <v>1.21899</v>
      </c>
      <c r="H80">
        <f t="shared" si="110"/>
        <v>2.2360299999999995</v>
      </c>
      <c r="I80">
        <f t="shared" si="112"/>
        <v>0.54388000000000003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6.5658052174250942E-2</v>
      </c>
      <c r="P80" s="4">
        <v>4</v>
      </c>
      <c r="Q80" s="5">
        <f t="shared" si="115"/>
        <v>2.2360299999999995</v>
      </c>
      <c r="R80" s="5">
        <f t="shared" si="115"/>
        <v>0.54388000000000003</v>
      </c>
      <c r="S80" s="5">
        <f t="shared" si="116"/>
        <v>1.8631719974999996</v>
      </c>
      <c r="T80" s="5">
        <f t="shared" si="117"/>
        <v>0.11179031984999997</v>
      </c>
      <c r="U80" s="5">
        <f t="shared" si="118"/>
        <v>0.25522904075342462</v>
      </c>
      <c r="V80" s="5">
        <f t="shared" si="111"/>
        <v>6.5658052174250942E-2</v>
      </c>
    </row>
    <row r="81" spans="2:22" x14ac:dyDescent="0.3">
      <c r="B81">
        <v>7</v>
      </c>
      <c r="C81">
        <v>16398.5</v>
      </c>
      <c r="D81">
        <v>29337.8</v>
      </c>
      <c r="E81">
        <v>5583.1</v>
      </c>
      <c r="F81">
        <f t="shared" si="108"/>
        <v>2.9337800000000001</v>
      </c>
      <c r="G81">
        <f t="shared" si="109"/>
        <v>1.63985</v>
      </c>
      <c r="H81">
        <f t="shared" si="110"/>
        <v>1.29393</v>
      </c>
      <c r="I81">
        <f t="shared" si="112"/>
        <v>0.55831000000000008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4.7465265120145331E-2</v>
      </c>
      <c r="P81" s="4">
        <v>4</v>
      </c>
      <c r="Q81" s="5">
        <f t="shared" si="115"/>
        <v>1.29393</v>
      </c>
      <c r="R81" s="5">
        <f t="shared" si="115"/>
        <v>0.55831000000000008</v>
      </c>
      <c r="S81" s="5">
        <f t="shared" si="116"/>
        <v>1.0781671725000002</v>
      </c>
      <c r="T81" s="5">
        <f t="shared" si="117"/>
        <v>6.4690030350000011E-2</v>
      </c>
      <c r="U81" s="5">
        <f t="shared" si="118"/>
        <v>0.1476941332191781</v>
      </c>
      <c r="V81" s="5">
        <f t="shared" si="111"/>
        <v>4.7465265120145331E-2</v>
      </c>
    </row>
    <row r="82" spans="2:22" x14ac:dyDescent="0.3">
      <c r="B82">
        <v>8</v>
      </c>
      <c r="C82">
        <v>23214.3</v>
      </c>
      <c r="D82">
        <v>30895.3</v>
      </c>
      <c r="E82">
        <v>5407.2</v>
      </c>
      <c r="F82">
        <f t="shared" si="108"/>
        <v>3.0895299999999999</v>
      </c>
      <c r="G82">
        <f t="shared" si="109"/>
        <v>2.3214299999999999</v>
      </c>
      <c r="H82">
        <f t="shared" si="110"/>
        <v>0.7681</v>
      </c>
      <c r="I82">
        <f t="shared" si="112"/>
        <v>0.54071999999999998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3.9805110846973121E-2</v>
      </c>
      <c r="P82" s="4">
        <v>5</v>
      </c>
      <c r="Q82" s="5">
        <f t="shared" si="115"/>
        <v>0.7681</v>
      </c>
      <c r="R82" s="5">
        <f t="shared" si="115"/>
        <v>0.54071999999999998</v>
      </c>
      <c r="S82" s="5">
        <f t="shared" si="116"/>
        <v>0.51201545999999998</v>
      </c>
      <c r="T82" s="5">
        <f t="shared" si="117"/>
        <v>3.0720927599999996E-2</v>
      </c>
      <c r="U82" s="5">
        <f t="shared" si="118"/>
        <v>7.013910410958904E-2</v>
      </c>
      <c r="V82" s="5">
        <f t="shared" si="111"/>
        <v>3.9805110846973121E-2</v>
      </c>
    </row>
    <row r="83" spans="2:22" x14ac:dyDescent="0.3">
      <c r="B83">
        <v>9</v>
      </c>
      <c r="C83">
        <v>19972.3</v>
      </c>
      <c r="D83">
        <v>45755.3</v>
      </c>
      <c r="E83">
        <v>4015.4</v>
      </c>
      <c r="F83">
        <f t="shared" si="108"/>
        <v>4.5755300000000005</v>
      </c>
      <c r="G83">
        <f t="shared" si="109"/>
        <v>1.9972299999999998</v>
      </c>
      <c r="H83">
        <f t="shared" si="110"/>
        <v>2.5783000000000005</v>
      </c>
      <c r="I83">
        <f t="shared" si="112"/>
        <v>0.40154000000000001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3.2080088917981371E-2</v>
      </c>
      <c r="P83" s="4">
        <v>8</v>
      </c>
      <c r="Q83" s="5">
        <f t="shared" si="115"/>
        <v>2.5783000000000005</v>
      </c>
      <c r="R83" s="5">
        <f t="shared" si="115"/>
        <v>0.40154000000000001</v>
      </c>
      <c r="S83" s="5">
        <f t="shared" si="116"/>
        <v>1.0741842375000001</v>
      </c>
      <c r="T83" s="5">
        <f t="shared" si="117"/>
        <v>6.4451054250000001E-2</v>
      </c>
      <c r="U83" s="5">
        <f t="shared" si="118"/>
        <v>0.14714852568493153</v>
      </c>
      <c r="V83" s="5">
        <f t="shared" si="111"/>
        <v>3.2080088917981371E-2</v>
      </c>
    </row>
    <row r="84" spans="2:22" x14ac:dyDescent="0.3">
      <c r="B84">
        <v>10</v>
      </c>
      <c r="C84">
        <v>7372.8</v>
      </c>
      <c r="D84">
        <v>23712.5</v>
      </c>
      <c r="E84">
        <v>6994.6</v>
      </c>
      <c r="F84">
        <f t="shared" si="108"/>
        <v>2.3712499999999999</v>
      </c>
      <c r="G84">
        <f t="shared" si="109"/>
        <v>0.73728000000000005</v>
      </c>
      <c r="H84">
        <f t="shared" si="110"/>
        <v>1.6339699999999997</v>
      </c>
      <c r="I84">
        <f t="shared" si="112"/>
        <v>0.69946000000000008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2.2973139073251561E-2</v>
      </c>
      <c r="P84" s="4">
        <v>14</v>
      </c>
      <c r="Q84" s="5">
        <f t="shared" si="115"/>
        <v>1.6339699999999997</v>
      </c>
      <c r="R84" s="5">
        <f t="shared" si="115"/>
        <v>0.69946000000000008</v>
      </c>
      <c r="S84" s="5">
        <f t="shared" si="116"/>
        <v>0.38900157214285708</v>
      </c>
      <c r="T84" s="5">
        <f t="shared" si="117"/>
        <v>2.3340094328571422E-2</v>
      </c>
      <c r="U84" s="5">
        <f t="shared" si="118"/>
        <v>5.3287886594911932E-2</v>
      </c>
      <c r="V84" s="5">
        <f t="shared" si="111"/>
        <v>2.2973139073251561E-2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1.481487244051515E-2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1.481487244051515E-2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-4937</v>
      </c>
      <c r="D89">
        <v>32222.7</v>
      </c>
      <c r="E89">
        <v>10779</v>
      </c>
      <c r="F89">
        <f t="shared" ref="F89:F99" si="120">D89/10000</f>
        <v>3.22227</v>
      </c>
      <c r="G89">
        <f t="shared" ref="G89:G99" si="121">C89/10000</f>
        <v>-0.49370000000000003</v>
      </c>
      <c r="H89">
        <f t="shared" ref="H89:H99" si="122">F89-G89</f>
        <v>3.71597</v>
      </c>
      <c r="I89">
        <f>E89/10000</f>
        <v>1.0779000000000001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0.24776150317507079</v>
      </c>
      <c r="P89" s="2">
        <v>3</v>
      </c>
      <c r="Q89" s="8">
        <f>H89</f>
        <v>3.71597</v>
      </c>
      <c r="R89" s="8">
        <f>I89</f>
        <v>1.0779000000000001</v>
      </c>
      <c r="S89" s="8">
        <f>Q89/10^6*$Z$4*$Z$3/P89*10^12</f>
        <v>4.128442670000001</v>
      </c>
      <c r="T89" s="8">
        <f>S89*0.06</f>
        <v>0.24770656020000004</v>
      </c>
      <c r="U89" s="8">
        <f>S89/$Z$1</f>
        <v>0.5655400917808221</v>
      </c>
      <c r="V89" s="12">
        <f t="shared" ref="V89:V99" si="123">O89</f>
        <v>0.24776150317507079</v>
      </c>
    </row>
    <row r="90" spans="2:22" x14ac:dyDescent="0.3">
      <c r="B90">
        <v>2</v>
      </c>
      <c r="C90">
        <v>-4035</v>
      </c>
      <c r="D90">
        <v>46237.1</v>
      </c>
      <c r="E90">
        <v>9606.9</v>
      </c>
      <c r="F90">
        <f t="shared" si="120"/>
        <v>4.62371</v>
      </c>
      <c r="G90">
        <f t="shared" si="121"/>
        <v>-0.40350000000000003</v>
      </c>
      <c r="H90">
        <f t="shared" si="122"/>
        <v>5.0272100000000002</v>
      </c>
      <c r="I90">
        <f t="shared" ref="I90:I99" si="124">E90/10000</f>
        <v>0.96068999999999993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0.21977394726231828</v>
      </c>
      <c r="P90" s="4">
        <v>3</v>
      </c>
      <c r="Q90" s="5">
        <f t="shared" ref="Q90:R99" si="127">H90</f>
        <v>5.0272100000000002</v>
      </c>
      <c r="R90" s="5">
        <f t="shared" si="127"/>
        <v>0.96068999999999993</v>
      </c>
      <c r="S90" s="5">
        <f t="shared" ref="S90:S99" si="128">Q90/10^6*$Z$4*$Z$3/P90*10^12</f>
        <v>5.5852303099999991</v>
      </c>
      <c r="T90" s="5">
        <f t="shared" ref="T90:T99" si="129">S90*0.06</f>
        <v>0.33511381859999995</v>
      </c>
      <c r="U90" s="5">
        <f t="shared" ref="U90:U99" si="130">S90/$Z$1</f>
        <v>0.76510004246575336</v>
      </c>
      <c r="V90" s="5">
        <f t="shared" si="123"/>
        <v>0.21977394726231828</v>
      </c>
    </row>
    <row r="91" spans="2:22" x14ac:dyDescent="0.3">
      <c r="B91">
        <v>3</v>
      </c>
      <c r="C91">
        <v>5351.1</v>
      </c>
      <c r="D91">
        <v>53103.1</v>
      </c>
      <c r="E91">
        <v>8073.7</v>
      </c>
      <c r="F91">
        <f t="shared" si="120"/>
        <v>5.3103099999999994</v>
      </c>
      <c r="G91">
        <f t="shared" si="121"/>
        <v>0.53511000000000009</v>
      </c>
      <c r="H91">
        <f t="shared" si="122"/>
        <v>4.775199999999999</v>
      </c>
      <c r="I91">
        <f t="shared" si="124"/>
        <v>0.80737000000000003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0.18959760342683765</v>
      </c>
      <c r="P91" s="4">
        <v>3</v>
      </c>
      <c r="Q91" s="5">
        <f t="shared" si="127"/>
        <v>4.775199999999999</v>
      </c>
      <c r="R91" s="5">
        <f t="shared" si="127"/>
        <v>0.80737000000000003</v>
      </c>
      <c r="S91" s="5">
        <f t="shared" si="128"/>
        <v>5.3052471999999984</v>
      </c>
      <c r="T91" s="5">
        <f t="shared" si="129"/>
        <v>0.31831483199999988</v>
      </c>
      <c r="U91" s="5">
        <f t="shared" si="130"/>
        <v>0.72674619178082167</v>
      </c>
      <c r="V91" s="5">
        <f t="shared" si="123"/>
        <v>0.18959760342683765</v>
      </c>
    </row>
    <row r="92" spans="2:22" x14ac:dyDescent="0.3">
      <c r="B92">
        <v>4</v>
      </c>
      <c r="C92">
        <v>5541</v>
      </c>
      <c r="D92">
        <v>36174</v>
      </c>
      <c r="E92">
        <v>6047.9</v>
      </c>
      <c r="F92">
        <f t="shared" si="120"/>
        <v>3.6173999999999999</v>
      </c>
      <c r="G92">
        <f t="shared" si="121"/>
        <v>0.55410000000000004</v>
      </c>
      <c r="H92">
        <f t="shared" si="122"/>
        <v>3.0632999999999999</v>
      </c>
      <c r="I92">
        <f t="shared" si="124"/>
        <v>0.60478999999999994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0.11483466252362846</v>
      </c>
      <c r="P92" s="4">
        <v>3</v>
      </c>
      <c r="Q92" s="5">
        <f t="shared" si="127"/>
        <v>3.0632999999999999</v>
      </c>
      <c r="R92" s="5">
        <f t="shared" si="127"/>
        <v>0.60478999999999994</v>
      </c>
      <c r="S92" s="5">
        <f t="shared" si="128"/>
        <v>3.4033263000000002</v>
      </c>
      <c r="T92" s="5">
        <f t="shared" si="129"/>
        <v>0.20419957800000002</v>
      </c>
      <c r="U92" s="5">
        <f t="shared" si="130"/>
        <v>0.46620908219178087</v>
      </c>
      <c r="V92" s="5">
        <f t="shared" si="123"/>
        <v>0.11483466252362846</v>
      </c>
    </row>
    <row r="93" spans="2:22" x14ac:dyDescent="0.3">
      <c r="B93">
        <v>5</v>
      </c>
      <c r="C93">
        <v>1262.2</v>
      </c>
      <c r="D93">
        <v>27076</v>
      </c>
      <c r="E93">
        <v>6481.6</v>
      </c>
      <c r="F93">
        <f t="shared" si="120"/>
        <v>2.7075999999999998</v>
      </c>
      <c r="G93">
        <f t="shared" si="121"/>
        <v>0.12622</v>
      </c>
      <c r="H93">
        <f t="shared" si="122"/>
        <v>2.5813799999999998</v>
      </c>
      <c r="I93">
        <f t="shared" si="124"/>
        <v>0.64816000000000007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8.2998285020519133E-2</v>
      </c>
      <c r="P93" s="4">
        <v>3</v>
      </c>
      <c r="Q93" s="5">
        <f t="shared" si="127"/>
        <v>2.5813799999999998</v>
      </c>
      <c r="R93" s="5">
        <f t="shared" si="127"/>
        <v>0.64816000000000007</v>
      </c>
      <c r="S93" s="5">
        <f t="shared" si="128"/>
        <v>2.8679131799999995</v>
      </c>
      <c r="T93" s="5">
        <f t="shared" si="129"/>
        <v>0.17207479079999996</v>
      </c>
      <c r="U93" s="5">
        <f t="shared" si="130"/>
        <v>0.39286481917808214</v>
      </c>
      <c r="V93" s="5">
        <f t="shared" si="123"/>
        <v>8.2998285020519133E-2</v>
      </c>
    </row>
    <row r="94" spans="2:22" x14ac:dyDescent="0.3">
      <c r="B94">
        <v>6</v>
      </c>
      <c r="C94">
        <v>2773.9</v>
      </c>
      <c r="D94">
        <v>23491.5</v>
      </c>
      <c r="E94">
        <v>5044.1000000000004</v>
      </c>
      <c r="F94">
        <f t="shared" si="120"/>
        <v>2.3491499999999998</v>
      </c>
      <c r="G94">
        <f t="shared" si="121"/>
        <v>0.27739000000000003</v>
      </c>
      <c r="H94">
        <f t="shared" si="122"/>
        <v>2.0717599999999998</v>
      </c>
      <c r="I94">
        <f t="shared" si="124"/>
        <v>0.50441000000000003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5.7450795652469577E-2</v>
      </c>
      <c r="P94" s="4">
        <v>4</v>
      </c>
      <c r="Q94" s="5">
        <f t="shared" si="127"/>
        <v>2.0717599999999998</v>
      </c>
      <c r="R94" s="5">
        <f t="shared" si="127"/>
        <v>0.50441000000000003</v>
      </c>
      <c r="S94" s="5">
        <f t="shared" si="128"/>
        <v>1.7262940199999999</v>
      </c>
      <c r="T94" s="5">
        <f t="shared" si="129"/>
        <v>0.10357764119999999</v>
      </c>
      <c r="U94" s="5">
        <f t="shared" si="130"/>
        <v>0.23647863287671231</v>
      </c>
      <c r="V94" s="5">
        <f t="shared" si="123"/>
        <v>5.7450795652469577E-2</v>
      </c>
    </row>
    <row r="95" spans="2:22" x14ac:dyDescent="0.3">
      <c r="B95">
        <v>7</v>
      </c>
      <c r="C95">
        <v>1377.8</v>
      </c>
      <c r="D95">
        <v>20964.400000000001</v>
      </c>
      <c r="E95">
        <v>5225.3999999999996</v>
      </c>
      <c r="F95">
        <f t="shared" si="120"/>
        <v>2.0964400000000003</v>
      </c>
      <c r="G95">
        <f t="shared" si="121"/>
        <v>0.13777999999999999</v>
      </c>
      <c r="H95">
        <f t="shared" si="122"/>
        <v>1.9586600000000003</v>
      </c>
      <c r="I95">
        <f t="shared" si="124"/>
        <v>0.52254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4.1532106980127166E-2</v>
      </c>
      <c r="P95" s="4">
        <v>4</v>
      </c>
      <c r="Q95" s="5">
        <f t="shared" si="127"/>
        <v>1.9586600000000003</v>
      </c>
      <c r="R95" s="5">
        <f t="shared" si="127"/>
        <v>0.52254</v>
      </c>
      <c r="S95" s="5">
        <f t="shared" si="128"/>
        <v>1.6320534449999999</v>
      </c>
      <c r="T95" s="5">
        <f t="shared" si="129"/>
        <v>9.7923206699999987E-2</v>
      </c>
      <c r="U95" s="5">
        <f t="shared" si="130"/>
        <v>0.22356896506849314</v>
      </c>
      <c r="V95" s="5">
        <f t="shared" si="123"/>
        <v>4.1532106980127166E-2</v>
      </c>
    </row>
    <row r="96" spans="2:22" x14ac:dyDescent="0.3">
      <c r="B96">
        <v>8</v>
      </c>
      <c r="C96">
        <v>9562.4</v>
      </c>
      <c r="D96">
        <v>23551.5</v>
      </c>
      <c r="E96">
        <v>5772.6</v>
      </c>
      <c r="F96">
        <f t="shared" si="120"/>
        <v>2.3551500000000001</v>
      </c>
      <c r="G96">
        <f t="shared" si="121"/>
        <v>0.95623999999999998</v>
      </c>
      <c r="H96">
        <f t="shared" si="122"/>
        <v>1.3989100000000001</v>
      </c>
      <c r="I96">
        <f t="shared" si="124"/>
        <v>0.57726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3.4829471991101486E-2</v>
      </c>
      <c r="P96" s="4">
        <v>5</v>
      </c>
      <c r="Q96" s="5">
        <f t="shared" si="127"/>
        <v>1.3989100000000001</v>
      </c>
      <c r="R96" s="5">
        <f t="shared" si="127"/>
        <v>0.57726</v>
      </c>
      <c r="S96" s="5">
        <f t="shared" si="128"/>
        <v>0.93251340600000021</v>
      </c>
      <c r="T96" s="5">
        <f t="shared" si="129"/>
        <v>5.5950804360000009E-2</v>
      </c>
      <c r="U96" s="5">
        <f t="shared" si="130"/>
        <v>0.12774156246575347</v>
      </c>
      <c r="V96" s="5">
        <f t="shared" si="123"/>
        <v>3.4829471991101486E-2</v>
      </c>
    </row>
    <row r="97" spans="2:22" x14ac:dyDescent="0.3">
      <c r="B97">
        <v>9</v>
      </c>
      <c r="C97">
        <v>219.8</v>
      </c>
      <c r="D97">
        <v>33868.6</v>
      </c>
      <c r="E97">
        <v>4188</v>
      </c>
      <c r="F97">
        <f t="shared" si="120"/>
        <v>3.38686</v>
      </c>
      <c r="G97">
        <f t="shared" si="121"/>
        <v>2.198E-2</v>
      </c>
      <c r="H97">
        <f t="shared" si="122"/>
        <v>3.3648799999999999</v>
      </c>
      <c r="I97">
        <f t="shared" si="124"/>
        <v>0.41880000000000001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2.8070077803233701E-2</v>
      </c>
      <c r="P97" s="4">
        <v>8</v>
      </c>
      <c r="Q97" s="5">
        <f t="shared" si="127"/>
        <v>3.3648799999999999</v>
      </c>
      <c r="R97" s="5">
        <f t="shared" si="127"/>
        <v>0.41880000000000001</v>
      </c>
      <c r="S97" s="5">
        <f t="shared" si="128"/>
        <v>1.4018931299999999</v>
      </c>
      <c r="T97" s="5">
        <f t="shared" si="129"/>
        <v>8.4113587799999986E-2</v>
      </c>
      <c r="U97" s="5">
        <f t="shared" si="130"/>
        <v>0.19204015479452055</v>
      </c>
      <c r="V97" s="5">
        <f t="shared" si="123"/>
        <v>2.8070077803233701E-2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2.0101496689095118E-2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2.0101496689095118E-2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1.2963013385450755E-2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1.2963013385450755E-2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6534.8</v>
      </c>
      <c r="D103">
        <v>36540</v>
      </c>
      <c r="E103">
        <v>10298</v>
      </c>
      <c r="F103">
        <f t="shared" ref="F103:F113" si="132">D103/10000</f>
        <v>3.6539999999999999</v>
      </c>
      <c r="G103">
        <f t="shared" ref="G103:G113" si="133">C103/10000</f>
        <v>0.65348000000000006</v>
      </c>
      <c r="H103">
        <f t="shared" ref="H103:H113" si="134">F103-G103</f>
        <v>3.0005199999999999</v>
      </c>
      <c r="I103">
        <f>E103/10000</f>
        <v>1.0298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0.22023244726672958</v>
      </c>
      <c r="P103" s="2">
        <v>3</v>
      </c>
      <c r="Q103" s="8">
        <f>H103</f>
        <v>3.0005199999999999</v>
      </c>
      <c r="R103" s="8">
        <f>I103</f>
        <v>1.0298</v>
      </c>
      <c r="S103" s="8">
        <f>Q103/10^6*$Z$4*$Z$3/P103*10^12</f>
        <v>3.3335777200000001</v>
      </c>
      <c r="T103" s="8">
        <f>S103*0.06</f>
        <v>0.2000146632</v>
      </c>
      <c r="U103" s="8">
        <f>S103/$Z$1</f>
        <v>0.45665448219178084</v>
      </c>
      <c r="V103" s="12">
        <f t="shared" ref="V103:V113" si="135">O103</f>
        <v>0.22023244726672958</v>
      </c>
    </row>
    <row r="104" spans="2:22" x14ac:dyDescent="0.3">
      <c r="B104">
        <v>2</v>
      </c>
      <c r="C104">
        <v>4737.1000000000004</v>
      </c>
      <c r="D104">
        <v>46185.8</v>
      </c>
      <c r="E104">
        <v>4894.2</v>
      </c>
      <c r="F104">
        <f t="shared" si="132"/>
        <v>4.6185800000000006</v>
      </c>
      <c r="G104">
        <f t="shared" si="133"/>
        <v>0.47371000000000002</v>
      </c>
      <c r="H104">
        <f t="shared" si="134"/>
        <v>4.1448700000000009</v>
      </c>
      <c r="I104">
        <f t="shared" ref="I104:I113" si="136">E104/10000</f>
        <v>0.48941999999999997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0.19535461978872734</v>
      </c>
      <c r="P104" s="4">
        <v>3</v>
      </c>
      <c r="Q104" s="5">
        <f t="shared" ref="Q104:R113" si="139">H104</f>
        <v>4.1448700000000009</v>
      </c>
      <c r="R104" s="5">
        <f t="shared" si="139"/>
        <v>0.48941999999999997</v>
      </c>
      <c r="S104" s="5">
        <f t="shared" ref="S104:S113" si="140">Q104/10^6*$Z$4*$Z$3/P104*10^12</f>
        <v>4.6049505700000015</v>
      </c>
      <c r="T104" s="5">
        <f t="shared" ref="T104:T113" si="141">S104*0.06</f>
        <v>0.27629703420000007</v>
      </c>
      <c r="U104" s="5">
        <f t="shared" ref="U104:U113" si="142">S104/$Z$1</f>
        <v>0.63081514657534266</v>
      </c>
      <c r="V104" s="5">
        <f t="shared" si="135"/>
        <v>0.19535461978872734</v>
      </c>
    </row>
    <row r="105" spans="2:22" x14ac:dyDescent="0.3">
      <c r="B105">
        <v>3</v>
      </c>
      <c r="C105">
        <v>11581.1</v>
      </c>
      <c r="D105">
        <v>57099.6</v>
      </c>
      <c r="E105">
        <v>7436.7</v>
      </c>
      <c r="F105">
        <f t="shared" si="132"/>
        <v>5.7099599999999997</v>
      </c>
      <c r="G105">
        <f t="shared" si="133"/>
        <v>1.15811</v>
      </c>
      <c r="H105">
        <f t="shared" si="134"/>
        <v>4.55185</v>
      </c>
      <c r="I105">
        <f t="shared" si="136"/>
        <v>0.74366999999999994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0.16853120304607791</v>
      </c>
      <c r="P105" s="4">
        <v>3</v>
      </c>
      <c r="Q105" s="5">
        <f t="shared" si="139"/>
        <v>4.55185</v>
      </c>
      <c r="R105" s="5">
        <f t="shared" si="139"/>
        <v>0.74366999999999994</v>
      </c>
      <c r="S105" s="5">
        <f t="shared" si="140"/>
        <v>5.0571053500000014</v>
      </c>
      <c r="T105" s="5">
        <f t="shared" si="141"/>
        <v>0.30342632100000005</v>
      </c>
      <c r="U105" s="5">
        <f t="shared" si="142"/>
        <v>0.69275415753424674</v>
      </c>
      <c r="V105" s="5">
        <f t="shared" si="135"/>
        <v>0.16853120304607791</v>
      </c>
    </row>
    <row r="106" spans="2:22" x14ac:dyDescent="0.3">
      <c r="B106">
        <v>4</v>
      </c>
      <c r="C106">
        <v>5092.7</v>
      </c>
      <c r="D106">
        <v>32594.400000000001</v>
      </c>
      <c r="E106">
        <v>7139.1</v>
      </c>
      <c r="F106">
        <f t="shared" si="132"/>
        <v>3.2594400000000001</v>
      </c>
      <c r="G106">
        <f t="shared" si="133"/>
        <v>0.50927</v>
      </c>
      <c r="H106">
        <f t="shared" si="134"/>
        <v>2.7501700000000002</v>
      </c>
      <c r="I106">
        <f t="shared" si="136"/>
        <v>0.71391000000000004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0.10207525557655864</v>
      </c>
      <c r="P106" s="4">
        <v>3</v>
      </c>
      <c r="Q106" s="5">
        <f t="shared" si="139"/>
        <v>2.7501700000000002</v>
      </c>
      <c r="R106" s="5">
        <f t="shared" si="139"/>
        <v>0.71391000000000004</v>
      </c>
      <c r="S106" s="5">
        <f t="shared" si="140"/>
        <v>3.0554388700000006</v>
      </c>
      <c r="T106" s="5">
        <f t="shared" si="141"/>
        <v>0.18332633220000003</v>
      </c>
      <c r="U106" s="5">
        <f t="shared" si="142"/>
        <v>0.41855326986301378</v>
      </c>
      <c r="V106" s="5">
        <f t="shared" si="135"/>
        <v>0.10207525557655864</v>
      </c>
    </row>
    <row r="107" spans="2:22" x14ac:dyDescent="0.3">
      <c r="B107">
        <v>5</v>
      </c>
      <c r="C107">
        <v>7413.3</v>
      </c>
      <c r="D107">
        <v>23818</v>
      </c>
      <c r="E107">
        <v>7601</v>
      </c>
      <c r="F107">
        <f t="shared" si="132"/>
        <v>2.3818000000000001</v>
      </c>
      <c r="G107">
        <f t="shared" si="133"/>
        <v>0.74133000000000004</v>
      </c>
      <c r="H107">
        <f t="shared" si="134"/>
        <v>1.6404700000000001</v>
      </c>
      <c r="I107">
        <f t="shared" si="136"/>
        <v>0.7601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7.3776253351572563E-2</v>
      </c>
      <c r="P107" s="4">
        <v>3</v>
      </c>
      <c r="Q107" s="5">
        <f t="shared" si="139"/>
        <v>1.6404700000000001</v>
      </c>
      <c r="R107" s="5">
        <f t="shared" si="139"/>
        <v>0.7601</v>
      </c>
      <c r="S107" s="5">
        <f t="shared" si="140"/>
        <v>1.8225621700000001</v>
      </c>
      <c r="T107" s="5">
        <f t="shared" si="141"/>
        <v>0.1093537302</v>
      </c>
      <c r="U107" s="5">
        <f t="shared" si="142"/>
        <v>0.24966605068493153</v>
      </c>
      <c r="V107" s="5">
        <f t="shared" si="135"/>
        <v>7.3776253351572563E-2</v>
      </c>
    </row>
    <row r="108" spans="2:22" x14ac:dyDescent="0.3">
      <c r="B108">
        <v>6</v>
      </c>
      <c r="C108">
        <v>659.7</v>
      </c>
      <c r="D108">
        <v>22720.7</v>
      </c>
      <c r="E108">
        <v>4824</v>
      </c>
      <c r="F108">
        <f t="shared" si="132"/>
        <v>2.2720700000000003</v>
      </c>
      <c r="G108">
        <f t="shared" si="133"/>
        <v>6.5970000000000001E-2</v>
      </c>
      <c r="H108">
        <f t="shared" si="134"/>
        <v>2.2061000000000002</v>
      </c>
      <c r="I108">
        <f t="shared" si="136"/>
        <v>0.4824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5.1067373913306291E-2</v>
      </c>
      <c r="P108" s="4">
        <v>4</v>
      </c>
      <c r="Q108" s="5">
        <f t="shared" si="139"/>
        <v>2.2061000000000002</v>
      </c>
      <c r="R108" s="5">
        <f t="shared" si="139"/>
        <v>0.4824</v>
      </c>
      <c r="S108" s="5">
        <f t="shared" si="140"/>
        <v>1.8382328250000004</v>
      </c>
      <c r="T108" s="5">
        <f t="shared" si="141"/>
        <v>0.11029396950000002</v>
      </c>
      <c r="U108" s="5">
        <f t="shared" si="142"/>
        <v>0.25181271575342473</v>
      </c>
      <c r="V108" s="5">
        <f t="shared" si="135"/>
        <v>5.1067373913306291E-2</v>
      </c>
    </row>
    <row r="109" spans="2:22" x14ac:dyDescent="0.3">
      <c r="B109">
        <v>7</v>
      </c>
      <c r="C109">
        <v>190.3</v>
      </c>
      <c r="D109">
        <v>15517.1</v>
      </c>
      <c r="E109">
        <v>4513.5</v>
      </c>
      <c r="F109">
        <f t="shared" si="132"/>
        <v>1.5517100000000001</v>
      </c>
      <c r="G109">
        <f t="shared" si="133"/>
        <v>1.9030000000000002E-2</v>
      </c>
      <c r="H109">
        <f t="shared" si="134"/>
        <v>1.53268</v>
      </c>
      <c r="I109">
        <f t="shared" si="136"/>
        <v>0.45134999999999997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3.6917428426779704E-2</v>
      </c>
      <c r="P109" s="4">
        <v>4</v>
      </c>
      <c r="Q109" s="5">
        <f t="shared" si="139"/>
        <v>1.53268</v>
      </c>
      <c r="R109" s="5">
        <f t="shared" si="139"/>
        <v>0.45134999999999997</v>
      </c>
      <c r="S109" s="5">
        <f t="shared" si="140"/>
        <v>1.27710561</v>
      </c>
      <c r="T109" s="5">
        <f t="shared" si="141"/>
        <v>7.6626336599999997E-2</v>
      </c>
      <c r="U109" s="5">
        <f t="shared" si="142"/>
        <v>0.17494597397260275</v>
      </c>
      <c r="V109" s="5">
        <f t="shared" si="135"/>
        <v>3.6917428426779704E-2</v>
      </c>
    </row>
    <row r="110" spans="2:22" x14ac:dyDescent="0.3">
      <c r="B110">
        <v>8</v>
      </c>
      <c r="C110">
        <v>9007.2000000000007</v>
      </c>
      <c r="D110">
        <v>18193.400000000001</v>
      </c>
      <c r="E110">
        <v>6038.4</v>
      </c>
      <c r="F110">
        <f t="shared" si="132"/>
        <v>1.8193400000000002</v>
      </c>
      <c r="G110">
        <f t="shared" si="133"/>
        <v>0.90072000000000008</v>
      </c>
      <c r="H110">
        <f t="shared" si="134"/>
        <v>0.9186200000000001</v>
      </c>
      <c r="I110">
        <f t="shared" si="136"/>
        <v>0.60383999999999993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3.0959530658756874E-2</v>
      </c>
      <c r="P110" s="4">
        <v>5</v>
      </c>
      <c r="Q110" s="5">
        <f t="shared" si="139"/>
        <v>0.9186200000000001</v>
      </c>
      <c r="R110" s="5">
        <f t="shared" si="139"/>
        <v>0.60383999999999993</v>
      </c>
      <c r="S110" s="5">
        <f t="shared" si="140"/>
        <v>0.61235209200000007</v>
      </c>
      <c r="T110" s="5">
        <f t="shared" si="141"/>
        <v>3.6741125520000001E-2</v>
      </c>
      <c r="U110" s="5">
        <f t="shared" si="142"/>
        <v>8.3883848219178089E-2</v>
      </c>
      <c r="V110" s="5">
        <f t="shared" si="135"/>
        <v>3.0959530658756874E-2</v>
      </c>
    </row>
    <row r="111" spans="2:22" x14ac:dyDescent="0.3">
      <c r="B111">
        <v>9</v>
      </c>
      <c r="C111">
        <v>-4361.3999999999996</v>
      </c>
      <c r="D111">
        <v>27639.3</v>
      </c>
      <c r="E111">
        <v>3774</v>
      </c>
      <c r="F111">
        <f t="shared" si="132"/>
        <v>2.7639299999999998</v>
      </c>
      <c r="G111">
        <f t="shared" si="133"/>
        <v>-0.43613999999999997</v>
      </c>
      <c r="H111">
        <f t="shared" si="134"/>
        <v>3.2000699999999997</v>
      </c>
      <c r="I111">
        <f t="shared" si="136"/>
        <v>0.37740000000000001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2.4951180269541066E-2</v>
      </c>
      <c r="P111" s="4">
        <v>8</v>
      </c>
      <c r="Q111" s="5">
        <f t="shared" si="139"/>
        <v>3.2000699999999997</v>
      </c>
      <c r="R111" s="5">
        <f t="shared" si="139"/>
        <v>0.37740000000000001</v>
      </c>
      <c r="S111" s="5">
        <f t="shared" si="140"/>
        <v>1.3332291637499998</v>
      </c>
      <c r="T111" s="5">
        <f t="shared" si="141"/>
        <v>7.9993749824999988E-2</v>
      </c>
      <c r="U111" s="5">
        <f t="shared" si="142"/>
        <v>0.18263413202054793</v>
      </c>
      <c r="V111" s="5">
        <f t="shared" si="135"/>
        <v>2.4951180269541066E-2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1.7867997056973436E-2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1.7867997056973436E-2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1.1522678564845117E-2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1.1522678564845117E-2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5934.5</v>
      </c>
      <c r="D117">
        <v>31072.400000000001</v>
      </c>
      <c r="E117">
        <v>8641.5</v>
      </c>
      <c r="F117">
        <f t="shared" ref="F117:F127" si="144">D117/10000</f>
        <v>3.10724</v>
      </c>
      <c r="G117">
        <f t="shared" ref="G117:G127" si="145">C117/10000</f>
        <v>0.59345000000000003</v>
      </c>
      <c r="H117">
        <f t="shared" ref="H117:H127" si="146">F117-G117</f>
        <v>2.5137900000000002</v>
      </c>
      <c r="I117">
        <f>E117/10000</f>
        <v>0.86414999999999997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0.19820920254005664</v>
      </c>
      <c r="P117" s="2">
        <v>3</v>
      </c>
      <c r="Q117" s="8">
        <f>H117</f>
        <v>2.5137900000000002</v>
      </c>
      <c r="R117" s="8">
        <f>I117</f>
        <v>0.86414999999999997</v>
      </c>
      <c r="S117" s="8">
        <f>Q117/10^6*$Z$4*$Z$3/P117*10^12</f>
        <v>2.7928206900000005</v>
      </c>
      <c r="T117" s="8">
        <f>S117*0.06</f>
        <v>0.16756924140000001</v>
      </c>
      <c r="U117" s="8">
        <f>S117/$Z$1</f>
        <v>0.38257817671232885</v>
      </c>
      <c r="V117" s="12">
        <f t="shared" ref="V117:V127" si="147">O117</f>
        <v>0.19820920254005664</v>
      </c>
    </row>
    <row r="118" spans="2:22" x14ac:dyDescent="0.3">
      <c r="B118">
        <v>2</v>
      </c>
      <c r="C118">
        <v>3139.2</v>
      </c>
      <c r="D118">
        <v>39954.6</v>
      </c>
      <c r="E118">
        <v>6293.8</v>
      </c>
      <c r="F118">
        <f t="shared" si="144"/>
        <v>3.99546</v>
      </c>
      <c r="G118">
        <f t="shared" si="145"/>
        <v>0.31391999999999998</v>
      </c>
      <c r="H118">
        <f t="shared" si="146"/>
        <v>3.68154</v>
      </c>
      <c r="I118">
        <f t="shared" ref="I118:I127" si="148">E118/10000</f>
        <v>0.62938000000000005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0.17581915780985463</v>
      </c>
      <c r="P118" s="4">
        <v>3</v>
      </c>
      <c r="Q118" s="5">
        <f t="shared" ref="Q118:R127" si="151">H118</f>
        <v>3.68154</v>
      </c>
      <c r="R118" s="5">
        <f t="shared" si="151"/>
        <v>0.62938000000000005</v>
      </c>
      <c r="S118" s="5">
        <f t="shared" ref="S118:S127" si="152">Q118/10^6*$Z$4*$Z$3/P118*10^12</f>
        <v>4.0901909400000003</v>
      </c>
      <c r="T118" s="5">
        <f t="shared" ref="T118:T127" si="153">S118*0.06</f>
        <v>0.24541145640000001</v>
      </c>
      <c r="U118" s="5">
        <f t="shared" ref="U118:U127" si="154">S118/$Z$1</f>
        <v>0.56030012876712332</v>
      </c>
      <c r="V118" s="5">
        <f t="shared" si="147"/>
        <v>0.17581915780985463</v>
      </c>
    </row>
    <row r="119" spans="2:22" x14ac:dyDescent="0.3">
      <c r="B119">
        <v>3</v>
      </c>
      <c r="C119">
        <v>5513.6</v>
      </c>
      <c r="D119">
        <v>48136.3</v>
      </c>
      <c r="E119">
        <v>5153.5</v>
      </c>
      <c r="F119">
        <f t="shared" si="144"/>
        <v>4.8136299999999999</v>
      </c>
      <c r="G119">
        <f t="shared" si="145"/>
        <v>0.55136000000000007</v>
      </c>
      <c r="H119">
        <f t="shared" si="146"/>
        <v>4.26227</v>
      </c>
      <c r="I119">
        <f t="shared" si="148"/>
        <v>0.51534999999999997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0.15167808274147013</v>
      </c>
      <c r="P119" s="4">
        <v>3</v>
      </c>
      <c r="Q119" s="5">
        <f t="shared" si="151"/>
        <v>4.26227</v>
      </c>
      <c r="R119" s="5">
        <f t="shared" si="151"/>
        <v>0.51534999999999997</v>
      </c>
      <c r="S119" s="5">
        <f t="shared" si="152"/>
        <v>4.7353819700000006</v>
      </c>
      <c r="T119" s="5">
        <f t="shared" si="153"/>
        <v>0.28412291820000002</v>
      </c>
      <c r="U119" s="5">
        <f t="shared" si="154"/>
        <v>0.64868246164383569</v>
      </c>
      <c r="V119" s="5">
        <f t="shared" si="147"/>
        <v>0.15167808274147013</v>
      </c>
    </row>
    <row r="120" spans="2:22" x14ac:dyDescent="0.3">
      <c r="B120">
        <v>4</v>
      </c>
      <c r="C120">
        <v>6692.8</v>
      </c>
      <c r="D120">
        <v>28504.3</v>
      </c>
      <c r="E120">
        <v>9456.7999999999993</v>
      </c>
      <c r="F120">
        <f t="shared" si="144"/>
        <v>2.8504299999999998</v>
      </c>
      <c r="G120">
        <f t="shared" si="145"/>
        <v>0.66927999999999999</v>
      </c>
      <c r="H120">
        <f t="shared" si="146"/>
        <v>2.1811499999999997</v>
      </c>
      <c r="I120">
        <f t="shared" si="148"/>
        <v>0.94567999999999997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9.1867730018902777E-2</v>
      </c>
      <c r="P120" s="4">
        <v>3</v>
      </c>
      <c r="Q120" s="5">
        <f t="shared" si="151"/>
        <v>2.1811499999999997</v>
      </c>
      <c r="R120" s="5">
        <f t="shared" si="151"/>
        <v>0.94567999999999997</v>
      </c>
      <c r="S120" s="5">
        <f t="shared" si="152"/>
        <v>2.4232576499999996</v>
      </c>
      <c r="T120" s="5">
        <f t="shared" si="153"/>
        <v>0.14539545899999998</v>
      </c>
      <c r="U120" s="5">
        <f t="shared" si="154"/>
        <v>0.331953102739726</v>
      </c>
      <c r="V120" s="5">
        <f t="shared" si="147"/>
        <v>9.1867730018902777E-2</v>
      </c>
    </row>
    <row r="121" spans="2:22" x14ac:dyDescent="0.3">
      <c r="B121">
        <v>5</v>
      </c>
      <c r="C121">
        <v>3626</v>
      </c>
      <c r="D121">
        <v>10746.2</v>
      </c>
      <c r="E121">
        <v>16651.400000000001</v>
      </c>
      <c r="F121">
        <f t="shared" si="144"/>
        <v>1.0746200000000001</v>
      </c>
      <c r="G121">
        <f t="shared" si="145"/>
        <v>0.36259999999999998</v>
      </c>
      <c r="H121">
        <f t="shared" si="146"/>
        <v>0.7120200000000001</v>
      </c>
      <c r="I121">
        <f t="shared" si="148"/>
        <v>1.6651400000000001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6.6398628016415301E-2</v>
      </c>
      <c r="P121" s="4">
        <v>3</v>
      </c>
      <c r="Q121" s="5">
        <f t="shared" si="151"/>
        <v>0.7120200000000001</v>
      </c>
      <c r="R121" s="5">
        <f t="shared" si="151"/>
        <v>1.6651400000000001</v>
      </c>
      <c r="S121" s="5">
        <f t="shared" si="152"/>
        <v>0.79105422000000014</v>
      </c>
      <c r="T121" s="5">
        <f t="shared" si="153"/>
        <v>4.7463253200000007E-2</v>
      </c>
      <c r="U121" s="5">
        <f t="shared" si="154"/>
        <v>0.10836359178082194</v>
      </c>
      <c r="V121" s="5">
        <f t="shared" si="147"/>
        <v>6.6398628016415301E-2</v>
      </c>
    </row>
    <row r="122" spans="2:22" x14ac:dyDescent="0.3">
      <c r="B122">
        <v>6</v>
      </c>
      <c r="C122">
        <v>6322.2</v>
      </c>
      <c r="D122">
        <v>22010.400000000001</v>
      </c>
      <c r="E122">
        <v>5444.5</v>
      </c>
      <c r="F122">
        <f t="shared" si="144"/>
        <v>2.2010400000000003</v>
      </c>
      <c r="G122">
        <f t="shared" si="145"/>
        <v>0.63222</v>
      </c>
      <c r="H122">
        <f t="shared" si="146"/>
        <v>1.5688200000000003</v>
      </c>
      <c r="I122">
        <f t="shared" si="148"/>
        <v>0.54444999999999999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4.5960636521975663E-2</v>
      </c>
      <c r="P122" s="4">
        <v>4</v>
      </c>
      <c r="Q122" s="5">
        <f t="shared" si="151"/>
        <v>1.5688200000000003</v>
      </c>
      <c r="R122" s="5">
        <f t="shared" si="151"/>
        <v>0.54444999999999999</v>
      </c>
      <c r="S122" s="5">
        <f t="shared" si="152"/>
        <v>1.3072192650000003</v>
      </c>
      <c r="T122" s="5">
        <f t="shared" si="153"/>
        <v>7.8433155900000009E-2</v>
      </c>
      <c r="U122" s="5">
        <f t="shared" si="154"/>
        <v>0.17907113219178086</v>
      </c>
      <c r="V122" s="5">
        <f t="shared" si="147"/>
        <v>4.5960636521975663E-2</v>
      </c>
    </row>
    <row r="123" spans="2:22" x14ac:dyDescent="0.3">
      <c r="B123">
        <v>7</v>
      </c>
      <c r="C123">
        <v>4559.2</v>
      </c>
      <c r="D123">
        <v>21217</v>
      </c>
      <c r="E123">
        <v>6075.3</v>
      </c>
      <c r="F123">
        <f t="shared" si="144"/>
        <v>2.1217000000000001</v>
      </c>
      <c r="G123">
        <f t="shared" si="145"/>
        <v>0.45591999999999999</v>
      </c>
      <c r="H123">
        <f t="shared" si="146"/>
        <v>1.6657800000000003</v>
      </c>
      <c r="I123">
        <f t="shared" si="148"/>
        <v>0.60753000000000001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3.322568558410173E-2</v>
      </c>
      <c r="P123" s="4">
        <v>4</v>
      </c>
      <c r="Q123" s="5">
        <f t="shared" si="151"/>
        <v>1.6657800000000003</v>
      </c>
      <c r="R123" s="5">
        <f t="shared" si="151"/>
        <v>0.60753000000000001</v>
      </c>
      <c r="S123" s="5">
        <f t="shared" si="152"/>
        <v>1.3880111850000003</v>
      </c>
      <c r="T123" s="5">
        <f t="shared" si="153"/>
        <v>8.3280671100000009E-2</v>
      </c>
      <c r="U123" s="5">
        <f t="shared" si="154"/>
        <v>0.19013851849315072</v>
      </c>
      <c r="V123" s="5">
        <f t="shared" si="147"/>
        <v>3.322568558410173E-2</v>
      </c>
    </row>
    <row r="124" spans="2:22" x14ac:dyDescent="0.3">
      <c r="B124">
        <v>8</v>
      </c>
      <c r="C124">
        <v>4465.1000000000004</v>
      </c>
      <c r="D124">
        <v>23684.400000000001</v>
      </c>
      <c r="E124">
        <v>6304.6</v>
      </c>
      <c r="F124">
        <f t="shared" si="144"/>
        <v>2.3684400000000001</v>
      </c>
      <c r="G124">
        <f t="shared" si="145"/>
        <v>0.44651000000000002</v>
      </c>
      <c r="H124">
        <f t="shared" si="146"/>
        <v>1.9219300000000001</v>
      </c>
      <c r="I124">
        <f t="shared" si="148"/>
        <v>0.63046000000000002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2.7863577592881189E-2</v>
      </c>
      <c r="P124" s="4">
        <v>5</v>
      </c>
      <c r="Q124" s="5">
        <f t="shared" si="151"/>
        <v>1.9219300000000001</v>
      </c>
      <c r="R124" s="5">
        <f t="shared" si="151"/>
        <v>0.63046000000000002</v>
      </c>
      <c r="S124" s="5">
        <f t="shared" si="152"/>
        <v>1.2811585380000001</v>
      </c>
      <c r="T124" s="5">
        <f t="shared" si="153"/>
        <v>7.686951228000001E-2</v>
      </c>
      <c r="U124" s="5">
        <f t="shared" si="154"/>
        <v>0.17550116958904111</v>
      </c>
      <c r="V124" s="5">
        <f t="shared" si="147"/>
        <v>2.7863577592881189E-2</v>
      </c>
    </row>
    <row r="125" spans="2:22" x14ac:dyDescent="0.3">
      <c r="B125">
        <v>9</v>
      </c>
      <c r="C125">
        <v>5766</v>
      </c>
      <c r="D125">
        <v>23660.9</v>
      </c>
      <c r="E125">
        <v>3527.2</v>
      </c>
      <c r="F125">
        <f t="shared" si="144"/>
        <v>2.3660900000000002</v>
      </c>
      <c r="G125">
        <f t="shared" si="145"/>
        <v>0.5766</v>
      </c>
      <c r="H125">
        <f t="shared" si="146"/>
        <v>1.7894900000000002</v>
      </c>
      <c r="I125">
        <f t="shared" si="148"/>
        <v>0.35271999999999998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2.245606224258696E-2</v>
      </c>
      <c r="P125" s="4">
        <v>8</v>
      </c>
      <c r="Q125" s="5">
        <f t="shared" si="151"/>
        <v>1.7894900000000002</v>
      </c>
      <c r="R125" s="5">
        <f t="shared" si="151"/>
        <v>0.35271999999999998</v>
      </c>
      <c r="S125" s="5">
        <f t="shared" si="152"/>
        <v>0.74554627125000006</v>
      </c>
      <c r="T125" s="5">
        <f t="shared" si="153"/>
        <v>4.4732776275000004E-2</v>
      </c>
      <c r="U125" s="5">
        <f t="shared" si="154"/>
        <v>0.10212962619863014</v>
      </c>
      <c r="V125" s="5">
        <f t="shared" si="147"/>
        <v>2.245606224258696E-2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1.6081197351276093E-2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1.6081197351276093E-2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1.0370410708360605E-2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1.0370410708360605E-2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7192.4</v>
      </c>
      <c r="D131">
        <v>37974.1</v>
      </c>
      <c r="E131">
        <v>11523</v>
      </c>
      <c r="F131">
        <f t="shared" ref="F131:F141" si="156">D131/10000</f>
        <v>3.7974099999999997</v>
      </c>
      <c r="G131">
        <f t="shared" ref="G131:G141" si="157">C131/10000</f>
        <v>0.71923999999999999</v>
      </c>
      <c r="H131">
        <f t="shared" ref="H131:H141" si="158">F131-G131</f>
        <v>3.0781699999999996</v>
      </c>
      <c r="I131">
        <f>E131/10000</f>
        <v>1.1523000000000001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0.13213946836003776</v>
      </c>
      <c r="P131" s="2">
        <v>3</v>
      </c>
      <c r="Q131" s="8">
        <f>H131</f>
        <v>3.0781699999999996</v>
      </c>
      <c r="R131" s="8">
        <f>I131</f>
        <v>1.1523000000000001</v>
      </c>
      <c r="S131" s="8">
        <f>Q131/10^6*$Z$4*$Z$3/P131*10^12</f>
        <v>3.4198468699999998</v>
      </c>
      <c r="T131" s="8">
        <f>S131*0.06</f>
        <v>0.20519081219999999</v>
      </c>
      <c r="U131" s="8">
        <f>S131/$Z$1</f>
        <v>0.46847217397260271</v>
      </c>
      <c r="V131" s="12">
        <f t="shared" ref="V131:V141" si="159">O131</f>
        <v>0.13213946836003776</v>
      </c>
    </row>
    <row r="132" spans="2:22" x14ac:dyDescent="0.3">
      <c r="B132">
        <v>2</v>
      </c>
      <c r="C132">
        <v>1270.9000000000001</v>
      </c>
      <c r="D132">
        <v>47412.3</v>
      </c>
      <c r="E132">
        <v>13276.6</v>
      </c>
      <c r="F132">
        <f t="shared" si="156"/>
        <v>4.7412300000000007</v>
      </c>
      <c r="G132">
        <f t="shared" si="157"/>
        <v>0.12709000000000001</v>
      </c>
      <c r="H132">
        <f t="shared" si="158"/>
        <v>4.6141400000000008</v>
      </c>
      <c r="I132">
        <f t="shared" ref="I132:I141" si="160">E132/10000</f>
        <v>1.3276600000000001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0.11721277187323642</v>
      </c>
      <c r="P132" s="4">
        <v>3</v>
      </c>
      <c r="Q132" s="5">
        <f t="shared" ref="Q132:R141" si="163">H132</f>
        <v>4.6141400000000008</v>
      </c>
      <c r="R132" s="5">
        <f t="shared" si="163"/>
        <v>1.3276600000000001</v>
      </c>
      <c r="S132" s="5">
        <f t="shared" ref="S132:S141" si="164">Q132/10^6*$Z$4*$Z$3/P132*10^12</f>
        <v>5.1263095400000003</v>
      </c>
      <c r="T132" s="5">
        <f t="shared" ref="T132:T141" si="165">S132*0.06</f>
        <v>0.30757857240000003</v>
      </c>
      <c r="U132" s="5">
        <f t="shared" ref="U132:U141" si="166">S132/$Z$1</f>
        <v>0.70223418356164391</v>
      </c>
      <c r="V132" s="5">
        <f t="shared" si="159"/>
        <v>0.11721277187323642</v>
      </c>
    </row>
    <row r="133" spans="2:22" x14ac:dyDescent="0.3">
      <c r="B133">
        <v>3</v>
      </c>
      <c r="C133">
        <v>12206.8</v>
      </c>
      <c r="D133">
        <v>54107.8</v>
      </c>
      <c r="E133">
        <v>10792.4</v>
      </c>
      <c r="F133">
        <f t="shared" si="156"/>
        <v>5.4107799999999999</v>
      </c>
      <c r="G133">
        <f t="shared" si="157"/>
        <v>1.22068</v>
      </c>
      <c r="H133">
        <f t="shared" si="158"/>
        <v>4.1901000000000002</v>
      </c>
      <c r="I133">
        <f t="shared" si="160"/>
        <v>1.07924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0.10111872182764674</v>
      </c>
      <c r="P133" s="4">
        <v>3</v>
      </c>
      <c r="Q133" s="5">
        <f t="shared" si="163"/>
        <v>4.1901000000000002</v>
      </c>
      <c r="R133" s="5">
        <f t="shared" si="163"/>
        <v>1.07924</v>
      </c>
      <c r="S133" s="5">
        <f t="shared" si="164"/>
        <v>4.6552010999999993</v>
      </c>
      <c r="T133" s="5">
        <f t="shared" si="165"/>
        <v>0.27931206599999997</v>
      </c>
      <c r="U133" s="5">
        <f t="shared" si="166"/>
        <v>0.63769878082191778</v>
      </c>
      <c r="V133" s="5">
        <f t="shared" si="159"/>
        <v>0.10111872182764674</v>
      </c>
    </row>
    <row r="134" spans="2:22" x14ac:dyDescent="0.3">
      <c r="B134">
        <v>4</v>
      </c>
      <c r="C134">
        <v>13431</v>
      </c>
      <c r="D134">
        <v>39758</v>
      </c>
      <c r="E134">
        <v>18829.3</v>
      </c>
      <c r="F134">
        <f t="shared" si="156"/>
        <v>3.9758</v>
      </c>
      <c r="G134">
        <f t="shared" si="157"/>
        <v>1.3431</v>
      </c>
      <c r="H134">
        <f t="shared" si="158"/>
        <v>2.6326999999999998</v>
      </c>
      <c r="I134">
        <f t="shared" si="160"/>
        <v>1.88293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6.124515334593518E-2</v>
      </c>
      <c r="P134" s="4">
        <v>3</v>
      </c>
      <c r="Q134" s="5">
        <f t="shared" si="163"/>
        <v>2.6326999999999998</v>
      </c>
      <c r="R134" s="5">
        <f t="shared" si="163"/>
        <v>1.88293</v>
      </c>
      <c r="S134" s="5">
        <f t="shared" si="164"/>
        <v>2.9249296999999999</v>
      </c>
      <c r="T134" s="5">
        <f t="shared" si="165"/>
        <v>0.17549578199999999</v>
      </c>
      <c r="U134" s="5">
        <f t="shared" si="166"/>
        <v>0.40067530136986301</v>
      </c>
      <c r="V134" s="5">
        <f t="shared" si="159"/>
        <v>6.124515334593518E-2</v>
      </c>
    </row>
    <row r="135" spans="2:22" x14ac:dyDescent="0.3">
      <c r="B135">
        <v>5</v>
      </c>
      <c r="C135">
        <v>19059.3</v>
      </c>
      <c r="D135">
        <v>35301.300000000003</v>
      </c>
      <c r="E135">
        <v>12438.2</v>
      </c>
      <c r="F135">
        <f t="shared" si="156"/>
        <v>3.5301300000000002</v>
      </c>
      <c r="G135">
        <f t="shared" si="157"/>
        <v>1.9059299999999999</v>
      </c>
      <c r="H135">
        <f t="shared" si="158"/>
        <v>1.6242000000000003</v>
      </c>
      <c r="I135">
        <f t="shared" si="160"/>
        <v>1.2438200000000001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4.4265752010943536E-2</v>
      </c>
      <c r="P135" s="4">
        <v>3</v>
      </c>
      <c r="Q135" s="5">
        <f t="shared" si="163"/>
        <v>1.6242000000000003</v>
      </c>
      <c r="R135" s="5">
        <f t="shared" si="163"/>
        <v>1.2438200000000001</v>
      </c>
      <c r="S135" s="5">
        <f t="shared" si="164"/>
        <v>1.8044862000000004</v>
      </c>
      <c r="T135" s="5">
        <f t="shared" si="165"/>
        <v>0.10826917200000002</v>
      </c>
      <c r="U135" s="5">
        <f t="shared" si="166"/>
        <v>0.24718989041095896</v>
      </c>
      <c r="V135" s="5">
        <f t="shared" si="159"/>
        <v>4.4265752010943536E-2</v>
      </c>
    </row>
    <row r="136" spans="2:22" x14ac:dyDescent="0.3">
      <c r="B136">
        <v>6</v>
      </c>
      <c r="C136">
        <v>14089.3</v>
      </c>
      <c r="D136">
        <v>32708.2</v>
      </c>
      <c r="E136">
        <v>6148.5</v>
      </c>
      <c r="F136">
        <f t="shared" si="156"/>
        <v>3.2708200000000001</v>
      </c>
      <c r="G136">
        <f t="shared" si="157"/>
        <v>1.40893</v>
      </c>
      <c r="H136">
        <f t="shared" si="158"/>
        <v>1.86189</v>
      </c>
      <c r="I136">
        <f t="shared" si="160"/>
        <v>0.61485000000000001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3.0640424347983773E-2</v>
      </c>
      <c r="P136" s="4">
        <v>4</v>
      </c>
      <c r="Q136" s="5">
        <f t="shared" si="163"/>
        <v>1.86189</v>
      </c>
      <c r="R136" s="5">
        <f t="shared" si="163"/>
        <v>0.61485000000000001</v>
      </c>
      <c r="S136" s="5">
        <f t="shared" si="164"/>
        <v>1.5514198425000001</v>
      </c>
      <c r="T136" s="5">
        <f t="shared" si="165"/>
        <v>9.3085190550000002E-2</v>
      </c>
      <c r="U136" s="5">
        <f t="shared" si="166"/>
        <v>0.21252326609589042</v>
      </c>
      <c r="V136" s="5">
        <f t="shared" si="159"/>
        <v>3.0640424347983773E-2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2.2150457056067822E-2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2.2150457056067822E-2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1.8575718395254126E-2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1.8575718395254126E-2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1.4970708161724642E-2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1.4970708161724642E-2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1.0720798234184061E-2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1.0720798234184061E-2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6.9136071389070703E-3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6.9136071389070703E-3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7355.2</v>
      </c>
      <c r="D145">
        <v>36820.199999999997</v>
      </c>
      <c r="E145">
        <v>13899.4</v>
      </c>
      <c r="F145">
        <f t="shared" ref="F145:F155" si="168">D145/10000</f>
        <v>3.6820199999999996</v>
      </c>
      <c r="G145">
        <f t="shared" ref="G145:G155" si="169">C145/10000</f>
        <v>0.73551999999999995</v>
      </c>
      <c r="H145">
        <f t="shared" ref="H145:H155" si="170">F145-G145</f>
        <v>2.9464999999999995</v>
      </c>
      <c r="I145">
        <f>E145/10000</f>
        <v>1.38994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9.910460127002832E-2</v>
      </c>
      <c r="P145" s="2">
        <v>3</v>
      </c>
      <c r="Q145" s="8">
        <f>H145</f>
        <v>2.9464999999999995</v>
      </c>
      <c r="R145" s="8">
        <f>I145</f>
        <v>1.38994</v>
      </c>
      <c r="S145" s="8">
        <f>Q145/10^6*$Z$4*$Z$3/P145*10^12</f>
        <v>3.2735614999999996</v>
      </c>
      <c r="T145" s="8">
        <f>S145*0.06</f>
        <v>0.19641368999999997</v>
      </c>
      <c r="U145" s="8">
        <f>S145/$Z$1</f>
        <v>0.4484330821917808</v>
      </c>
      <c r="V145" s="12">
        <f t="shared" ref="V145:V155" si="171">O145</f>
        <v>9.910460127002832E-2</v>
      </c>
    </row>
    <row r="146" spans="2:22" x14ac:dyDescent="0.3">
      <c r="B146">
        <v>2</v>
      </c>
      <c r="C146">
        <v>5541.1</v>
      </c>
      <c r="D146">
        <v>40561.5</v>
      </c>
      <c r="E146">
        <v>9935.7000000000007</v>
      </c>
      <c r="F146">
        <f t="shared" si="168"/>
        <v>4.0561499999999997</v>
      </c>
      <c r="G146">
        <f t="shared" si="169"/>
        <v>0.55410999999999999</v>
      </c>
      <c r="H146">
        <f t="shared" si="170"/>
        <v>3.5020399999999996</v>
      </c>
      <c r="I146">
        <f t="shared" ref="I146:I155" si="172">E146/10000</f>
        <v>0.99357000000000006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8.7909578904927316E-2</v>
      </c>
      <c r="P146" s="4">
        <v>3</v>
      </c>
      <c r="Q146" s="5">
        <f t="shared" ref="Q146:R155" si="175">H146</f>
        <v>3.5020399999999996</v>
      </c>
      <c r="R146" s="5">
        <f t="shared" si="175"/>
        <v>0.99357000000000006</v>
      </c>
      <c r="S146" s="5">
        <f t="shared" ref="S146:S155" si="176">Q146/10^6*$Z$4*$Z$3/P146*10^12</f>
        <v>3.8907664399999997</v>
      </c>
      <c r="T146" s="5">
        <f t="shared" ref="T146:T155" si="177">S146*0.06</f>
        <v>0.23344598639999997</v>
      </c>
      <c r="U146" s="5">
        <f t="shared" ref="U146:U155" si="178">S146/$Z$1</f>
        <v>0.53298170410958901</v>
      </c>
      <c r="V146" s="5">
        <f t="shared" si="171"/>
        <v>8.7909578904927316E-2</v>
      </c>
    </row>
    <row r="147" spans="2:22" x14ac:dyDescent="0.3">
      <c r="B147">
        <v>3</v>
      </c>
      <c r="C147">
        <v>11376.2</v>
      </c>
      <c r="D147">
        <v>46705.8</v>
      </c>
      <c r="E147">
        <v>9759</v>
      </c>
      <c r="F147">
        <f t="shared" si="168"/>
        <v>4.6705800000000002</v>
      </c>
      <c r="G147">
        <f t="shared" si="169"/>
        <v>1.1376200000000001</v>
      </c>
      <c r="H147">
        <f t="shared" si="170"/>
        <v>3.5329600000000001</v>
      </c>
      <c r="I147">
        <f t="shared" si="172"/>
        <v>0.97589999999999999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7.5839041370735064E-2</v>
      </c>
      <c r="P147" s="4">
        <v>3</v>
      </c>
      <c r="Q147" s="5">
        <f t="shared" si="175"/>
        <v>3.5329600000000001</v>
      </c>
      <c r="R147" s="5">
        <f t="shared" si="175"/>
        <v>0.97589999999999999</v>
      </c>
      <c r="S147" s="5">
        <f t="shared" si="176"/>
        <v>3.9251185599999996</v>
      </c>
      <c r="T147" s="5">
        <f t="shared" si="177"/>
        <v>0.23550711359999996</v>
      </c>
      <c r="U147" s="5">
        <f t="shared" si="178"/>
        <v>0.53768747397260275</v>
      </c>
      <c r="V147" s="5">
        <f t="shared" si="171"/>
        <v>7.5839041370735064E-2</v>
      </c>
    </row>
    <row r="148" spans="2:22" x14ac:dyDescent="0.3">
      <c r="B148">
        <v>4</v>
      </c>
      <c r="C148">
        <v>6065.4</v>
      </c>
      <c r="D148">
        <v>14730.1</v>
      </c>
      <c r="E148">
        <v>22804.9</v>
      </c>
      <c r="F148">
        <f t="shared" si="168"/>
        <v>1.4730099999999999</v>
      </c>
      <c r="G148">
        <f t="shared" si="169"/>
        <v>0.60653999999999997</v>
      </c>
      <c r="H148">
        <f t="shared" si="170"/>
        <v>0.86646999999999996</v>
      </c>
      <c r="I148">
        <f t="shared" si="172"/>
        <v>2.2804900000000004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4.5933865009451388E-2</v>
      </c>
      <c r="P148" s="4">
        <v>3</v>
      </c>
      <c r="Q148" s="5">
        <f t="shared" si="175"/>
        <v>0.86646999999999996</v>
      </c>
      <c r="R148" s="5">
        <f t="shared" si="175"/>
        <v>2.2804900000000004</v>
      </c>
      <c r="S148" s="5">
        <f t="shared" si="176"/>
        <v>0.96264817000000003</v>
      </c>
      <c r="T148" s="5">
        <f t="shared" si="177"/>
        <v>5.7758890199999996E-2</v>
      </c>
      <c r="U148" s="5">
        <f t="shared" si="178"/>
        <v>0.13186961232876712</v>
      </c>
      <c r="V148" s="5">
        <f t="shared" si="171"/>
        <v>4.5933865009451388E-2</v>
      </c>
    </row>
    <row r="149" spans="2:22" x14ac:dyDescent="0.3">
      <c r="B149">
        <v>5</v>
      </c>
      <c r="C149">
        <v>4845.3</v>
      </c>
      <c r="D149">
        <v>22458.7</v>
      </c>
      <c r="E149">
        <v>13035</v>
      </c>
      <c r="F149">
        <f t="shared" si="168"/>
        <v>2.24587</v>
      </c>
      <c r="G149">
        <f t="shared" si="169"/>
        <v>0.48453000000000002</v>
      </c>
      <c r="H149">
        <f t="shared" si="170"/>
        <v>1.7613400000000001</v>
      </c>
      <c r="I149">
        <f t="shared" si="172"/>
        <v>1.3035000000000001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3.319931400820765E-2</v>
      </c>
      <c r="P149" s="4">
        <v>3</v>
      </c>
      <c r="Q149" s="5">
        <f t="shared" si="175"/>
        <v>1.7613400000000001</v>
      </c>
      <c r="R149" s="5">
        <f t="shared" si="175"/>
        <v>1.3035000000000001</v>
      </c>
      <c r="S149" s="5">
        <f t="shared" si="176"/>
        <v>1.9568487400000001</v>
      </c>
      <c r="T149" s="5">
        <f t="shared" si="177"/>
        <v>0.11741092440000001</v>
      </c>
      <c r="U149" s="5">
        <f t="shared" si="178"/>
        <v>0.26806147123287671</v>
      </c>
      <c r="V149" s="5">
        <f t="shared" si="171"/>
        <v>3.319931400820765E-2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2.2980318260987832E-2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2.2980318260987832E-2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1.6612842792050865E-2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1.6612842792050865E-2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1.3931788796440595E-2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1.3931788796440595E-2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1.122803112129348E-2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1.122803112129348E-2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8.0405986756380467E-3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8.0405986756380467E-3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5.1852053541803023E-3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5.1852053541803023E-3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5133.8999999999996</v>
      </c>
      <c r="D159">
        <v>43780.1</v>
      </c>
      <c r="E159">
        <v>14758.3</v>
      </c>
      <c r="F159">
        <f t="shared" ref="F159:F169" si="180">D159/10000</f>
        <v>4.3780099999999997</v>
      </c>
      <c r="G159">
        <f t="shared" ref="G159:G169" si="181">C159/10000</f>
        <v>0.51339000000000001</v>
      </c>
      <c r="H159">
        <f t="shared" ref="H159:H169" si="182">F159-G159</f>
        <v>3.8646199999999995</v>
      </c>
      <c r="I159">
        <f>E159/10000</f>
        <v>1.47583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7.928368101602265E-2</v>
      </c>
      <c r="P159" s="2">
        <v>3</v>
      </c>
      <c r="Q159" s="8">
        <f>H159</f>
        <v>3.8646199999999995</v>
      </c>
      <c r="R159" s="8">
        <f>I159</f>
        <v>1.47583</v>
      </c>
      <c r="S159" s="8">
        <f>Q159/10^6*$Z$4*$Z$3/P159*10^12</f>
        <v>4.2935928199999989</v>
      </c>
      <c r="T159" s="8">
        <f>S159*0.06</f>
        <v>0.25761556919999995</v>
      </c>
      <c r="U159" s="8">
        <f>S159/$Z$1</f>
        <v>0.58816339999999989</v>
      </c>
      <c r="V159" s="12">
        <f t="shared" ref="V159:V169" si="183">O159</f>
        <v>7.928368101602265E-2</v>
      </c>
    </row>
    <row r="160" spans="2:22" x14ac:dyDescent="0.3">
      <c r="B160">
        <v>2</v>
      </c>
      <c r="C160">
        <v>653</v>
      </c>
      <c r="D160">
        <v>41788.6</v>
      </c>
      <c r="E160">
        <v>11983</v>
      </c>
      <c r="F160">
        <f t="shared" si="180"/>
        <v>4.1788600000000002</v>
      </c>
      <c r="G160">
        <f t="shared" si="181"/>
        <v>6.5299999999999997E-2</v>
      </c>
      <c r="H160">
        <f t="shared" si="182"/>
        <v>4.1135600000000005</v>
      </c>
      <c r="I160">
        <f t="shared" ref="I160:I169" si="184">E160/10000</f>
        <v>1.1982999999999999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7.0327663123941841E-2</v>
      </c>
      <c r="P160" s="4">
        <v>3</v>
      </c>
      <c r="Q160" s="5">
        <f t="shared" ref="Q160:R169" si="187">H160</f>
        <v>4.1135600000000005</v>
      </c>
      <c r="R160" s="5">
        <f t="shared" si="187"/>
        <v>1.1982999999999999</v>
      </c>
      <c r="S160" s="5">
        <f t="shared" ref="S160:S169" si="188">Q160/10^6*$Z$4*$Z$3/P160*10^12</f>
        <v>4.5701651600000011</v>
      </c>
      <c r="T160" s="5">
        <f t="shared" ref="T160:T169" si="189">S160*0.06</f>
        <v>0.27420990960000008</v>
      </c>
      <c r="U160" s="5">
        <f t="shared" ref="U160:U169" si="190">S160/$Z$1</f>
        <v>0.62605002191780834</v>
      </c>
      <c r="V160" s="5">
        <f t="shared" si="183"/>
        <v>7.0327663123941841E-2</v>
      </c>
    </row>
    <row r="161" spans="2:22" x14ac:dyDescent="0.3">
      <c r="B161">
        <v>3</v>
      </c>
      <c r="C161">
        <v>-2141</v>
      </c>
      <c r="D161">
        <v>47662.7</v>
      </c>
      <c r="E161">
        <v>15733.9</v>
      </c>
      <c r="F161">
        <f t="shared" si="180"/>
        <v>4.7662699999999996</v>
      </c>
      <c r="G161">
        <f t="shared" si="181"/>
        <v>-0.21410000000000001</v>
      </c>
      <c r="H161">
        <f t="shared" si="182"/>
        <v>4.9803699999999997</v>
      </c>
      <c r="I161">
        <f t="shared" si="184"/>
        <v>1.5733900000000001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6.0671233096588048E-2</v>
      </c>
      <c r="P161" s="4">
        <v>3</v>
      </c>
      <c r="Q161" s="5">
        <f t="shared" si="187"/>
        <v>4.9803699999999997</v>
      </c>
      <c r="R161" s="5">
        <f t="shared" si="187"/>
        <v>1.5733900000000001</v>
      </c>
      <c r="S161" s="5">
        <f t="shared" si="188"/>
        <v>5.53319107</v>
      </c>
      <c r="T161" s="5">
        <f t="shared" si="189"/>
        <v>0.33199146419999997</v>
      </c>
      <c r="U161" s="5">
        <f t="shared" si="190"/>
        <v>0.75797137945205484</v>
      </c>
      <c r="V161" s="5">
        <f t="shared" si="183"/>
        <v>6.0671233096588048E-2</v>
      </c>
    </row>
    <row r="162" spans="2:22" x14ac:dyDescent="0.3">
      <c r="B162">
        <v>4</v>
      </c>
      <c r="C162">
        <v>3239.8</v>
      </c>
      <c r="D162">
        <v>1438.3</v>
      </c>
      <c r="E162">
        <v>26526.400000000001</v>
      </c>
      <c r="F162">
        <f t="shared" si="180"/>
        <v>0.14382999999999999</v>
      </c>
      <c r="G162">
        <f t="shared" si="181"/>
        <v>0.32398000000000005</v>
      </c>
      <c r="H162">
        <f t="shared" si="182"/>
        <v>-0.18015000000000006</v>
      </c>
      <c r="I162">
        <f t="shared" si="184"/>
        <v>2.6526400000000003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3.6747092007561107E-2</v>
      </c>
      <c r="P162" s="4">
        <v>3</v>
      </c>
      <c r="Q162" s="5">
        <f t="shared" si="187"/>
        <v>-0.18015000000000006</v>
      </c>
      <c r="R162" s="5">
        <f t="shared" si="187"/>
        <v>2.6526400000000003</v>
      </c>
      <c r="S162" s="5">
        <f t="shared" si="188"/>
        <v>-0.20014665000000006</v>
      </c>
      <c r="T162" s="5">
        <f t="shared" si="189"/>
        <v>-1.2008799000000004E-2</v>
      </c>
      <c r="U162" s="5">
        <f t="shared" si="190"/>
        <v>-2.7417349315068503E-2</v>
      </c>
      <c r="V162" s="5">
        <f t="shared" si="183"/>
        <v>3.6747092007561107E-2</v>
      </c>
    </row>
    <row r="163" spans="2:22" x14ac:dyDescent="0.3">
      <c r="B163">
        <v>5</v>
      </c>
      <c r="C163">
        <v>6074.9</v>
      </c>
      <c r="D163">
        <v>19335.5</v>
      </c>
      <c r="E163">
        <v>8739.2000000000007</v>
      </c>
      <c r="F163">
        <f t="shared" si="180"/>
        <v>1.9335500000000001</v>
      </c>
      <c r="G163">
        <f t="shared" si="181"/>
        <v>0.60748999999999997</v>
      </c>
      <c r="H163">
        <f t="shared" si="182"/>
        <v>1.32606</v>
      </c>
      <c r="I163">
        <f t="shared" si="184"/>
        <v>0.87392000000000003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2.6559451206566127E-2</v>
      </c>
      <c r="P163" s="4">
        <v>3</v>
      </c>
      <c r="Q163" s="5">
        <f t="shared" si="187"/>
        <v>1.32606</v>
      </c>
      <c r="R163" s="5">
        <f t="shared" si="187"/>
        <v>0.87392000000000003</v>
      </c>
      <c r="S163" s="5">
        <f t="shared" si="188"/>
        <v>1.47325266</v>
      </c>
      <c r="T163" s="5">
        <f t="shared" si="189"/>
        <v>8.8395159599999995E-2</v>
      </c>
      <c r="U163" s="5">
        <f t="shared" si="190"/>
        <v>0.20181543287671233</v>
      </c>
      <c r="V163" s="5">
        <f t="shared" si="183"/>
        <v>2.6559451206566127E-2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1.8384254608790264E-2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1.8384254608790264E-2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1.3290274233640691E-2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1.3290274233640691E-2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1.1145431037152476E-2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1.1145431037152476E-2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8.9824248970347843E-3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8.9824248970347843E-3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6.432478940510437E-3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6.432478940510437E-3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4.1481642833442415E-3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4.1481642833442415E-3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CQ170"/>
  <sheetViews>
    <sheetView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-5519.8</v>
      </c>
      <c r="D5">
        <v>98956</v>
      </c>
      <c r="E5">
        <v>6010.7</v>
      </c>
      <c r="F5">
        <f t="shared" ref="F5:F15" si="0">D5/10000</f>
        <v>9.8956</v>
      </c>
      <c r="G5">
        <f t="shared" ref="G5:G15" si="1">C5/10000</f>
        <v>-0.55198000000000003</v>
      </c>
      <c r="H5">
        <f t="shared" ref="H5:H15" si="2">F5-G5</f>
        <v>10.44758</v>
      </c>
      <c r="I5">
        <f>E5/10000</f>
        <v>0.60106999999999999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0.82587167725023602</v>
      </c>
      <c r="P5" s="2">
        <v>3</v>
      </c>
      <c r="Q5" s="8">
        <f>H5</f>
        <v>10.44758</v>
      </c>
      <c r="R5" s="8">
        <f>I5</f>
        <v>0.60106999999999999</v>
      </c>
      <c r="S5" s="8">
        <f>Q5/10^6*$Z$4*$Z$3/P5*10^12</f>
        <v>11.607261380000001</v>
      </c>
      <c r="T5" s="8">
        <f>S5*0.06</f>
        <v>0.69643568280000001</v>
      </c>
      <c r="U5" s="8">
        <f>S5/$Z$1</f>
        <v>1.5900358054794521</v>
      </c>
      <c r="V5" s="12">
        <f t="shared" ref="V5:V15" si="4">O5</f>
        <v>0.82587167725023602</v>
      </c>
    </row>
    <row r="6" spans="2:95" x14ac:dyDescent="0.3">
      <c r="B6">
        <v>2</v>
      </c>
      <c r="C6">
        <v>9129.2000000000007</v>
      </c>
      <c r="D6">
        <v>115410.7</v>
      </c>
      <c r="E6">
        <v>3836.7</v>
      </c>
      <c r="F6">
        <f t="shared" si="0"/>
        <v>11.541069999999999</v>
      </c>
      <c r="G6">
        <f t="shared" si="1"/>
        <v>0.91292000000000006</v>
      </c>
      <c r="H6">
        <f t="shared" si="2"/>
        <v>10.62815</v>
      </c>
      <c r="I6">
        <f t="shared" ref="I6:I15" si="5">E6/10000</f>
        <v>0.38366999999999996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0.7325798242077276</v>
      </c>
      <c r="P6" s="4">
        <v>3</v>
      </c>
      <c r="Q6" s="5">
        <f t="shared" ref="Q6:R15" si="7">H6</f>
        <v>10.62815</v>
      </c>
      <c r="R6" s="5">
        <f t="shared" si="7"/>
        <v>0.38366999999999996</v>
      </c>
      <c r="S6" s="5">
        <f t="shared" ref="S6:S15" si="8">Q6/10^6*$Z$4*$Z$3/P6*10^12</f>
        <v>11.80787465</v>
      </c>
      <c r="T6" s="5">
        <f t="shared" ref="T6:T15" si="9">S6*0.06</f>
        <v>0.70847247899999999</v>
      </c>
      <c r="U6" s="5">
        <f t="shared" ref="U6:U15" si="10">S6/$Z$1</f>
        <v>1.6175170753424659</v>
      </c>
      <c r="V6" s="5">
        <f t="shared" si="4"/>
        <v>0.7325798242077276</v>
      </c>
    </row>
    <row r="7" spans="2:95" x14ac:dyDescent="0.3">
      <c r="B7">
        <v>3</v>
      </c>
      <c r="C7">
        <v>16838.099999999999</v>
      </c>
      <c r="D7">
        <v>114883.2</v>
      </c>
      <c r="E7">
        <v>3926.3</v>
      </c>
      <c r="F7">
        <f t="shared" si="0"/>
        <v>11.48832</v>
      </c>
      <c r="G7">
        <f t="shared" si="1"/>
        <v>1.6838099999999998</v>
      </c>
      <c r="H7">
        <f t="shared" si="2"/>
        <v>9.8045100000000005</v>
      </c>
      <c r="I7">
        <f t="shared" si="5"/>
        <v>0.39263000000000003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0.63199201142279215</v>
      </c>
      <c r="P7" s="4">
        <v>3</v>
      </c>
      <c r="Q7" s="5">
        <f t="shared" si="7"/>
        <v>9.8045100000000005</v>
      </c>
      <c r="R7" s="5">
        <f t="shared" si="7"/>
        <v>0.39263000000000003</v>
      </c>
      <c r="S7" s="5">
        <f t="shared" si="8"/>
        <v>10.892810610000002</v>
      </c>
      <c r="T7" s="5">
        <f t="shared" si="9"/>
        <v>0.65356863660000009</v>
      </c>
      <c r="U7" s="5">
        <f t="shared" si="10"/>
        <v>1.4921658369863016</v>
      </c>
      <c r="V7" s="5">
        <f t="shared" si="4"/>
        <v>0.63199201142279215</v>
      </c>
      <c r="Y7" t="s">
        <v>41</v>
      </c>
      <c r="Z7">
        <v>6</v>
      </c>
    </row>
    <row r="8" spans="2:95" x14ac:dyDescent="0.3">
      <c r="B8">
        <v>4</v>
      </c>
      <c r="C8">
        <v>10474.9</v>
      </c>
      <c r="D8">
        <v>99061.3</v>
      </c>
      <c r="E8">
        <v>5414.3</v>
      </c>
      <c r="F8">
        <f t="shared" si="0"/>
        <v>9.906130000000001</v>
      </c>
      <c r="G8">
        <f t="shared" si="1"/>
        <v>1.04749</v>
      </c>
      <c r="H8">
        <f t="shared" si="2"/>
        <v>8.8586400000000012</v>
      </c>
      <c r="I8">
        <f t="shared" si="5"/>
        <v>0.54142999999999997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0.38278220841209487</v>
      </c>
      <c r="P8" s="4">
        <v>3</v>
      </c>
      <c r="Q8" s="5">
        <f t="shared" si="7"/>
        <v>8.8586400000000012</v>
      </c>
      <c r="R8" s="5">
        <f t="shared" si="7"/>
        <v>0.54142999999999997</v>
      </c>
      <c r="S8" s="5">
        <f t="shared" si="8"/>
        <v>9.8419490400000011</v>
      </c>
      <c r="T8" s="5">
        <f t="shared" si="9"/>
        <v>0.59051694240000008</v>
      </c>
      <c r="U8" s="5">
        <f t="shared" si="10"/>
        <v>1.3482121972602741</v>
      </c>
      <c r="V8" s="5">
        <f t="shared" si="4"/>
        <v>0.38278220841209487</v>
      </c>
    </row>
    <row r="9" spans="2:95" x14ac:dyDescent="0.3">
      <c r="B9">
        <v>5</v>
      </c>
      <c r="C9">
        <v>11389.4</v>
      </c>
      <c r="D9">
        <v>84135</v>
      </c>
      <c r="E9">
        <v>4168.3999999999996</v>
      </c>
      <c r="F9">
        <f t="shared" si="0"/>
        <v>8.4135000000000009</v>
      </c>
      <c r="G9">
        <f t="shared" si="1"/>
        <v>1.1389400000000001</v>
      </c>
      <c r="H9">
        <f t="shared" si="2"/>
        <v>7.274560000000001</v>
      </c>
      <c r="I9">
        <f t="shared" si="5"/>
        <v>0.41683999999999999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0.27666095006839714</v>
      </c>
      <c r="P9" s="4">
        <v>3</v>
      </c>
      <c r="Q9" s="5">
        <f t="shared" si="7"/>
        <v>7.274560000000001</v>
      </c>
      <c r="R9" s="5">
        <f t="shared" si="7"/>
        <v>0.41683999999999999</v>
      </c>
      <c r="S9" s="5">
        <f t="shared" si="8"/>
        <v>8.0820361600000012</v>
      </c>
      <c r="T9" s="5">
        <f t="shared" si="9"/>
        <v>0.48492216960000006</v>
      </c>
      <c r="U9" s="5">
        <f t="shared" si="10"/>
        <v>1.1071282410958907</v>
      </c>
      <c r="V9" s="5">
        <f t="shared" si="4"/>
        <v>0.27666095006839714</v>
      </c>
    </row>
    <row r="10" spans="2:95" ht="15" thickBot="1" x14ac:dyDescent="0.35">
      <c r="B10">
        <v>6</v>
      </c>
      <c r="C10">
        <v>13646.9</v>
      </c>
      <c r="D10">
        <v>86852.9</v>
      </c>
      <c r="E10">
        <v>4015</v>
      </c>
      <c r="F10">
        <f t="shared" si="0"/>
        <v>8.6852900000000002</v>
      </c>
      <c r="G10">
        <f t="shared" si="1"/>
        <v>1.36469</v>
      </c>
      <c r="H10">
        <f t="shared" si="2"/>
        <v>7.3206000000000007</v>
      </c>
      <c r="I10">
        <f t="shared" si="5"/>
        <v>0.40150000000000002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0.19150265217489859</v>
      </c>
      <c r="P10" s="4">
        <v>4</v>
      </c>
      <c r="Q10" s="5">
        <f t="shared" si="7"/>
        <v>7.3206000000000007</v>
      </c>
      <c r="R10" s="5">
        <f t="shared" si="7"/>
        <v>0.40150000000000002</v>
      </c>
      <c r="S10" s="5">
        <f t="shared" si="8"/>
        <v>6.0998899500000014</v>
      </c>
      <c r="T10" s="5">
        <f t="shared" si="9"/>
        <v>0.36599339700000005</v>
      </c>
      <c r="U10" s="5">
        <f t="shared" si="10"/>
        <v>0.83560136301369881</v>
      </c>
      <c r="V10" s="5">
        <f t="shared" si="4"/>
        <v>0.19150265217489859</v>
      </c>
    </row>
    <row r="11" spans="2:95" ht="15.6" thickTop="1" thickBot="1" x14ac:dyDescent="0.35">
      <c r="B11">
        <v>7</v>
      </c>
      <c r="C11">
        <v>12113.3</v>
      </c>
      <c r="D11">
        <v>66876.100000000006</v>
      </c>
      <c r="E11">
        <v>3779.5</v>
      </c>
      <c r="F11">
        <f t="shared" si="0"/>
        <v>6.6876100000000003</v>
      </c>
      <c r="G11">
        <f t="shared" si="1"/>
        <v>1.21133</v>
      </c>
      <c r="H11">
        <f t="shared" si="2"/>
        <v>5.47628</v>
      </c>
      <c r="I11">
        <f t="shared" si="5"/>
        <v>0.37795000000000001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0.13844035660042389</v>
      </c>
      <c r="P11" s="4">
        <v>4</v>
      </c>
      <c r="Q11" s="5">
        <f t="shared" si="7"/>
        <v>5.47628</v>
      </c>
      <c r="R11" s="5">
        <f t="shared" si="7"/>
        <v>0.37795000000000001</v>
      </c>
      <c r="S11" s="5">
        <f t="shared" si="8"/>
        <v>4.5631103099999999</v>
      </c>
      <c r="T11" s="5">
        <f t="shared" si="9"/>
        <v>0.27378661859999998</v>
      </c>
      <c r="U11" s="5">
        <f t="shared" si="10"/>
        <v>0.62508360410958907</v>
      </c>
      <c r="V11" s="5">
        <f t="shared" si="4"/>
        <v>0.13844035660042389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18777.5</v>
      </c>
      <c r="D12">
        <v>66937.5</v>
      </c>
      <c r="E12">
        <v>7343.8</v>
      </c>
      <c r="F12">
        <f t="shared" si="0"/>
        <v>6.6937499999999996</v>
      </c>
      <c r="G12">
        <f t="shared" si="1"/>
        <v>1.87775</v>
      </c>
      <c r="H12">
        <f t="shared" si="2"/>
        <v>4.8159999999999998</v>
      </c>
      <c r="I12">
        <f t="shared" si="5"/>
        <v>0.73438000000000003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0.11609823997033829</v>
      </c>
      <c r="P12" s="4">
        <v>5</v>
      </c>
      <c r="Q12" s="5">
        <f t="shared" si="7"/>
        <v>4.8159999999999998</v>
      </c>
      <c r="R12" s="5">
        <f t="shared" si="7"/>
        <v>0.73438000000000003</v>
      </c>
      <c r="S12" s="5">
        <f t="shared" si="8"/>
        <v>3.2103456000000001</v>
      </c>
      <c r="T12" s="5">
        <f t="shared" si="9"/>
        <v>0.19262073600000001</v>
      </c>
      <c r="U12" s="5">
        <f t="shared" si="10"/>
        <v>0.43977336986301374</v>
      </c>
      <c r="V12" s="5">
        <f t="shared" si="4"/>
        <v>0.11609823997033829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16010.3</v>
      </c>
      <c r="D13">
        <v>72474.600000000006</v>
      </c>
      <c r="E13">
        <v>9341.6</v>
      </c>
      <c r="F13">
        <f t="shared" si="0"/>
        <v>7.2474600000000002</v>
      </c>
      <c r="G13">
        <f t="shared" si="1"/>
        <v>1.60103</v>
      </c>
      <c r="H13">
        <f t="shared" si="2"/>
        <v>5.6464300000000005</v>
      </c>
      <c r="I13">
        <f t="shared" si="5"/>
        <v>0.93415999999999999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9.3566926010778997E-2</v>
      </c>
      <c r="P13" s="4">
        <v>8</v>
      </c>
      <c r="Q13" s="5">
        <f t="shared" si="7"/>
        <v>5.6464300000000005</v>
      </c>
      <c r="R13" s="5">
        <f t="shared" si="7"/>
        <v>0.93415999999999999</v>
      </c>
      <c r="S13" s="5">
        <f t="shared" si="8"/>
        <v>2.3524438987500003</v>
      </c>
      <c r="T13" s="5">
        <f t="shared" si="9"/>
        <v>0.14114663392500001</v>
      </c>
      <c r="U13" s="5">
        <f t="shared" si="10"/>
        <v>0.32225258886986308</v>
      </c>
      <c r="V13" s="5">
        <f t="shared" si="4"/>
        <v>9.3566926010778997E-2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1436.2</v>
      </c>
      <c r="D14">
        <v>77866.600000000006</v>
      </c>
      <c r="E14">
        <v>10634.6</v>
      </c>
      <c r="F14">
        <f t="shared" si="0"/>
        <v>7.7866600000000004</v>
      </c>
      <c r="G14">
        <f t="shared" si="1"/>
        <v>0.14362</v>
      </c>
      <c r="H14">
        <f t="shared" si="2"/>
        <v>7.6430400000000001</v>
      </c>
      <c r="I14">
        <f t="shared" si="5"/>
        <v>1.0634600000000001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6.7004988963650383E-2</v>
      </c>
      <c r="P14" s="4">
        <v>14</v>
      </c>
      <c r="Q14" s="5">
        <f t="shared" si="7"/>
        <v>7.6430400000000001</v>
      </c>
      <c r="R14" s="5">
        <f t="shared" si="7"/>
        <v>1.0634600000000001</v>
      </c>
      <c r="S14" s="5">
        <f t="shared" si="8"/>
        <v>1.8195894514285715</v>
      </c>
      <c r="T14" s="5">
        <f t="shared" si="9"/>
        <v>0.10917536708571429</v>
      </c>
      <c r="U14" s="5">
        <f t="shared" si="10"/>
        <v>0.24925882896281804</v>
      </c>
      <c r="V14" s="5">
        <f t="shared" si="4"/>
        <v>6.7004988963650383E-2</v>
      </c>
      <c r="X14" s="31">
        <f t="shared" ref="X14:X24" si="12">O5</f>
        <v>0.82587167725023602</v>
      </c>
      <c r="Y14" s="32">
        <f t="shared" ref="Y14:AA24" si="13">S5</f>
        <v>11.607261380000001</v>
      </c>
      <c r="Z14" s="32">
        <f t="shared" si="13"/>
        <v>0.69643568280000001</v>
      </c>
      <c r="AA14" s="32">
        <f t="shared" si="13"/>
        <v>1.5900358054794521</v>
      </c>
      <c r="AB14" s="41">
        <f>I5/H5</f>
        <v>5.7531983483256409E-2</v>
      </c>
      <c r="AC14" s="33">
        <f t="shared" ref="AC14:AC24" si="14">R5</f>
        <v>0.60106999999999999</v>
      </c>
      <c r="AD14" s="31">
        <f t="shared" ref="AD14:AD23" si="15">O19</f>
        <v>0.55058111816682398</v>
      </c>
      <c r="AE14" s="32">
        <f t="shared" ref="AE14:AG23" si="16">S19</f>
        <v>5.5886855200000012</v>
      </c>
      <c r="AF14" s="32">
        <f t="shared" si="16"/>
        <v>0.33532113120000007</v>
      </c>
      <c r="AG14" s="32">
        <f t="shared" si="16"/>
        <v>0.76557335890410982</v>
      </c>
      <c r="AH14" s="41">
        <f>I19/H19</f>
        <v>0.11626496922660982</v>
      </c>
      <c r="AI14" s="33">
        <f>R19</f>
        <v>0.58484999999999998</v>
      </c>
      <c r="AJ14" s="31">
        <f t="shared" ref="AJ14:AJ23" si="17">O33</f>
        <v>0.41293583862511801</v>
      </c>
      <c r="AK14" s="32">
        <f t="shared" ref="AK14:AM23" si="18">S33</f>
        <v>4.9332955099999989</v>
      </c>
      <c r="AL14" s="32">
        <f t="shared" si="18"/>
        <v>0.2959977305999999</v>
      </c>
      <c r="AM14" s="32">
        <f t="shared" si="18"/>
        <v>0.67579390547945195</v>
      </c>
      <c r="AN14" s="41">
        <f>I33/H33</f>
        <v>0.21081161424282893</v>
      </c>
      <c r="AO14" s="33">
        <f>R33</f>
        <v>0.93608999999999998</v>
      </c>
      <c r="AP14" s="31">
        <f t="shared" ref="AP14:AP22" si="19">O47</f>
        <v>0.3303486709000944</v>
      </c>
      <c r="AQ14" s="32">
        <f t="shared" ref="AQ14:AS22" si="20">S47</f>
        <v>4.1813929299999995</v>
      </c>
      <c r="AR14" s="32">
        <f t="shared" si="20"/>
        <v>0.25088357579999998</v>
      </c>
      <c r="AS14" s="32">
        <f t="shared" si="20"/>
        <v>0.57279355205479443</v>
      </c>
      <c r="AT14" s="41">
        <f>I47/H47</f>
        <v>0.22124916636332476</v>
      </c>
      <c r="AU14" s="33">
        <f>R47</f>
        <v>0.8327</v>
      </c>
      <c r="AV14" s="31">
        <f t="shared" ref="AV14:AV22" si="21">O61</f>
        <v>0.27529055908341199</v>
      </c>
      <c r="AW14" s="32">
        <f t="shared" ref="AW14:AY22" si="22">S61</f>
        <v>4.4116254599999998</v>
      </c>
      <c r="AX14" s="32">
        <f t="shared" si="22"/>
        <v>0.26469752759999998</v>
      </c>
      <c r="AY14" s="32">
        <f t="shared" si="22"/>
        <v>0.60433225479452057</v>
      </c>
      <c r="AZ14" s="41">
        <f>I61/H61</f>
        <v>0.18297547634517458</v>
      </c>
      <c r="BA14" s="33">
        <f>R61</f>
        <v>0.72656999999999994</v>
      </c>
      <c r="BB14" s="31">
        <f t="shared" ref="BB14:BB22" si="23">O75</f>
        <v>0.23596333635721026</v>
      </c>
      <c r="BC14" s="32">
        <f t="shared" ref="BC14:BE22" si="24">S75</f>
        <v>3.4927395800000007</v>
      </c>
      <c r="BD14" s="32">
        <f t="shared" si="24"/>
        <v>0.20956437480000004</v>
      </c>
      <c r="BE14" s="32">
        <f t="shared" si="24"/>
        <v>0.47845747671232886</v>
      </c>
      <c r="BF14" s="41">
        <f>I75/H75</f>
        <v>0.27210873534407626</v>
      </c>
      <c r="BG14" s="33">
        <f>R75</f>
        <v>0.85545000000000004</v>
      </c>
      <c r="BH14" s="31">
        <f t="shared" ref="BH14:BH22" si="25">O89</f>
        <v>0.20646791931255901</v>
      </c>
      <c r="BI14" s="32">
        <f t="shared" ref="BI14:BK22" si="26">S89</f>
        <v>4.0926351400000005</v>
      </c>
      <c r="BJ14" s="32">
        <f t="shared" si="26"/>
        <v>0.24555810840000003</v>
      </c>
      <c r="BK14" s="32">
        <f t="shared" si="26"/>
        <v>0.56063495068493163</v>
      </c>
      <c r="BL14" s="41">
        <f>I89/H89</f>
        <v>0.15229359292458208</v>
      </c>
      <c r="BM14" s="33">
        <f>R89</f>
        <v>0.56101000000000001</v>
      </c>
      <c r="BN14" s="31">
        <f t="shared" ref="BN14:BN22" si="27">O103</f>
        <v>0.18352703938894133</v>
      </c>
      <c r="BO14" s="32">
        <f t="shared" ref="BO14:BQ22" si="28">S103</f>
        <v>3.9900565099999996</v>
      </c>
      <c r="BP14" s="32">
        <f t="shared" si="28"/>
        <v>0.23940339059999996</v>
      </c>
      <c r="BQ14" s="32">
        <f t="shared" si="28"/>
        <v>0.54658308356164376</v>
      </c>
      <c r="BR14" s="41">
        <f>I103/H103</f>
        <v>0.15794910633984982</v>
      </c>
      <c r="BS14" s="33">
        <f>R103</f>
        <v>0.56725999999999999</v>
      </c>
      <c r="BT14" s="31">
        <f t="shared" ref="BT14:BT17" si="29">O117</f>
        <v>0.1651743354500472</v>
      </c>
      <c r="BU14" s="32">
        <f t="shared" ref="BU14:BW17" si="30">S117</f>
        <v>4.2678953899999996</v>
      </c>
      <c r="BV14" s="32">
        <f t="shared" si="30"/>
        <v>0.25607372339999995</v>
      </c>
      <c r="BW14" s="32">
        <f t="shared" si="30"/>
        <v>0.58464320410958903</v>
      </c>
      <c r="BX14" s="41">
        <f>I117/H117</f>
        <v>0.15594730169803905</v>
      </c>
      <c r="BY14" s="33">
        <f>R117</f>
        <v>0.59906999999999999</v>
      </c>
      <c r="BZ14" s="31">
        <f t="shared" ref="BZ14:BZ19" si="31">O131</f>
        <v>0.1101162236333648</v>
      </c>
      <c r="CA14" s="32">
        <f t="shared" ref="CA14:CC19" si="32">S131</f>
        <v>2.8427490299999993</v>
      </c>
      <c r="CB14" s="32">
        <f t="shared" si="32"/>
        <v>0.17056494179999995</v>
      </c>
      <c r="CC14" s="32">
        <f t="shared" si="32"/>
        <v>0.38941767534246569</v>
      </c>
      <c r="CD14" s="41">
        <f>I131/H131</f>
        <v>0.36246106466880057</v>
      </c>
      <c r="CE14" s="33">
        <f>R131</f>
        <v>0.92743999999999993</v>
      </c>
      <c r="CF14" s="31">
        <f t="shared" ref="CF14:CF17" si="33">O145</f>
        <v>8.25871677250236E-2</v>
      </c>
      <c r="CG14" s="32">
        <f t="shared" ref="CG14:CI17" si="34">S145</f>
        <v>3.3738292500000004</v>
      </c>
      <c r="CH14" s="32">
        <f t="shared" si="34"/>
        <v>0.20242975500000002</v>
      </c>
      <c r="CI14" s="32">
        <f t="shared" si="34"/>
        <v>0.46216839041095897</v>
      </c>
      <c r="CJ14" s="41">
        <f>I145/H145</f>
        <v>0.3336955626903762</v>
      </c>
      <c r="CK14" s="33">
        <f>R145</f>
        <v>1.01335</v>
      </c>
      <c r="CL14" s="31">
        <f t="shared" ref="CL14:CL17" si="35">O159</f>
        <v>6.606973418001888E-2</v>
      </c>
      <c r="CM14" s="32">
        <f t="shared" ref="CM14:CO17" si="36">S159</f>
        <v>3.6174160000000009</v>
      </c>
      <c r="CN14" s="32">
        <f t="shared" si="36"/>
        <v>0.21704496000000004</v>
      </c>
      <c r="CO14" s="32">
        <f t="shared" si="36"/>
        <v>0.49553643835616451</v>
      </c>
      <c r="CP14" s="41">
        <f>I159/H159</f>
        <v>0.58233108108108111</v>
      </c>
      <c r="CQ14" s="33">
        <f>R159</f>
        <v>1.8960700000000001</v>
      </c>
    </row>
    <row r="15" spans="2:95" ht="15" thickBot="1" x14ac:dyDescent="0.35">
      <c r="B15">
        <v>11</v>
      </c>
      <c r="C15">
        <v>7280.8</v>
      </c>
      <c r="D15">
        <v>48886.9</v>
      </c>
      <c r="E15">
        <v>20387.5</v>
      </c>
      <c r="F15">
        <f t="shared" si="0"/>
        <v>4.8886900000000004</v>
      </c>
      <c r="G15">
        <f t="shared" si="1"/>
        <v>0.72808000000000006</v>
      </c>
      <c r="H15">
        <f t="shared" si="2"/>
        <v>4.1606100000000001</v>
      </c>
      <c r="I15">
        <f t="shared" si="5"/>
        <v>2.0387499999999998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4.3210044618169186E-2</v>
      </c>
      <c r="P15" s="7">
        <v>21</v>
      </c>
      <c r="Q15" s="6">
        <f t="shared" si="7"/>
        <v>4.1606100000000001</v>
      </c>
      <c r="R15" s="6">
        <f t="shared" si="7"/>
        <v>2.0387499999999998</v>
      </c>
      <c r="S15" s="6">
        <f t="shared" si="8"/>
        <v>0.66034824428571437</v>
      </c>
      <c r="T15" s="6">
        <f t="shared" si="9"/>
        <v>3.9620894657142858E-2</v>
      </c>
      <c r="U15" s="6">
        <f t="shared" si="10"/>
        <v>9.0458663600782793E-2</v>
      </c>
      <c r="V15" s="6">
        <f t="shared" si="4"/>
        <v>4.3210044618169186E-2</v>
      </c>
      <c r="X15" s="34">
        <f t="shared" si="12"/>
        <v>0.7325798242077276</v>
      </c>
      <c r="Y15" s="35">
        <f t="shared" si="13"/>
        <v>11.80787465</v>
      </c>
      <c r="Z15" s="35">
        <f t="shared" si="13"/>
        <v>0.70847247899999999</v>
      </c>
      <c r="AA15" s="35">
        <f t="shared" si="13"/>
        <v>1.6175170753424659</v>
      </c>
      <c r="AB15" s="42">
        <f t="shared" ref="AB15:AB24" si="37">I6/H6</f>
        <v>3.6099415232189985E-2</v>
      </c>
      <c r="AC15" s="36">
        <f t="shared" si="14"/>
        <v>0.38366999999999996</v>
      </c>
      <c r="AD15" s="34">
        <f t="shared" si="15"/>
        <v>0.48838654947181842</v>
      </c>
      <c r="AE15" s="35">
        <f t="shared" si="16"/>
        <v>7.318356979999999</v>
      </c>
      <c r="AF15" s="35">
        <f t="shared" si="16"/>
        <v>0.43910141879999992</v>
      </c>
      <c r="AG15" s="35">
        <f t="shared" si="16"/>
        <v>1.0025146547945205</v>
      </c>
      <c r="AH15" s="42">
        <f t="shared" ref="AH15:AH23" si="38">I20/H20</f>
        <v>5.717773007569249E-2</v>
      </c>
      <c r="AI15" s="36">
        <f t="shared" ref="AI15:AI23" si="39">R20</f>
        <v>0.37664000000000003</v>
      </c>
      <c r="AJ15" s="34">
        <f t="shared" si="17"/>
        <v>0.3662899121038638</v>
      </c>
      <c r="AK15" s="35">
        <f t="shared" si="18"/>
        <v>3.9130419900000004</v>
      </c>
      <c r="AL15" s="35">
        <f t="shared" si="18"/>
        <v>0.23478251940000003</v>
      </c>
      <c r="AM15" s="35">
        <f t="shared" si="18"/>
        <v>0.53603314931506851</v>
      </c>
      <c r="AN15" s="42">
        <f t="shared" ref="AN15:AN23" si="40">I34/H34</f>
        <v>0.20804408745943459</v>
      </c>
      <c r="AO15" s="36">
        <f t="shared" ref="AO15:AO23" si="41">R34</f>
        <v>0.73275000000000001</v>
      </c>
      <c r="AP15" s="34">
        <f t="shared" si="19"/>
        <v>0.29303192968309105</v>
      </c>
      <c r="AQ15" s="35">
        <f t="shared" si="20"/>
        <v>5.4820961800000001</v>
      </c>
      <c r="AR15" s="35">
        <f t="shared" si="20"/>
        <v>0.32892577080000002</v>
      </c>
      <c r="AS15" s="35">
        <f t="shared" si="20"/>
        <v>0.7509720794520548</v>
      </c>
      <c r="AT15" s="42">
        <f t="shared" ref="AT15:AT22" si="42">I48/H48</f>
        <v>9.5110226614083235E-2</v>
      </c>
      <c r="AU15" s="36">
        <f t="shared" ref="AU15:AU22" si="43">R48</f>
        <v>0.46931000000000006</v>
      </c>
      <c r="AV15" s="34">
        <f t="shared" si="21"/>
        <v>0.24419327473590921</v>
      </c>
      <c r="AW15" s="35">
        <f t="shared" si="22"/>
        <v>3.0310413099999995</v>
      </c>
      <c r="AX15" s="35">
        <f t="shared" si="22"/>
        <v>0.18186247859999996</v>
      </c>
      <c r="AY15" s="35">
        <f t="shared" si="22"/>
        <v>0.41521113835616436</v>
      </c>
      <c r="AZ15" s="42">
        <f t="shared" ref="AZ15:AZ22" si="44">I62/H62</f>
        <v>0.25063319905725734</v>
      </c>
      <c r="BA15" s="36">
        <f t="shared" ref="BA15:BA22" si="45">R62</f>
        <v>0.68378000000000005</v>
      </c>
      <c r="BB15" s="34">
        <f t="shared" si="23"/>
        <v>0.20930852120220789</v>
      </c>
      <c r="BC15" s="35">
        <f t="shared" si="24"/>
        <v>4.6711328400000003</v>
      </c>
      <c r="BD15" s="35">
        <f t="shared" si="24"/>
        <v>0.28026797040000001</v>
      </c>
      <c r="BE15" s="35">
        <f t="shared" si="24"/>
        <v>0.63988121095890416</v>
      </c>
      <c r="BF15" s="42">
        <f t="shared" ref="BF15:BF22" si="46">I76/H76</f>
        <v>0.16316560588330431</v>
      </c>
      <c r="BG15" s="36">
        <f t="shared" ref="BG15:BG22" si="47">R76</f>
        <v>0.68601999999999996</v>
      </c>
      <c r="BH15" s="34">
        <f t="shared" si="25"/>
        <v>0.1831449560519319</v>
      </c>
      <c r="BI15" s="35">
        <f t="shared" si="26"/>
        <v>4.3095912199999988</v>
      </c>
      <c r="BJ15" s="35">
        <f t="shared" si="26"/>
        <v>0.25857547319999991</v>
      </c>
      <c r="BK15" s="35">
        <f t="shared" si="26"/>
        <v>0.5903549616438355</v>
      </c>
      <c r="BL15" s="42">
        <f t="shared" ref="BL15:BL22" si="48">I90/H90</f>
        <v>0.20245835288294467</v>
      </c>
      <c r="BM15" s="36">
        <f t="shared" ref="BM15:BM22" si="49">R90</f>
        <v>0.78533999999999993</v>
      </c>
      <c r="BN15" s="34">
        <f t="shared" si="27"/>
        <v>0.16279551649060611</v>
      </c>
      <c r="BO15" s="35">
        <f t="shared" si="28"/>
        <v>5.4005043400000012</v>
      </c>
      <c r="BP15" s="35">
        <f t="shared" si="28"/>
        <v>0.32403026040000005</v>
      </c>
      <c r="BQ15" s="35">
        <f t="shared" si="28"/>
        <v>0.73979511506849338</v>
      </c>
      <c r="BR15" s="42">
        <f t="shared" ref="BR15:BR22" si="50">I104/H104</f>
        <v>0.10367130637284144</v>
      </c>
      <c r="BS15" s="36">
        <f t="shared" ref="BS15:BS22" si="51">R104</f>
        <v>0.50393999999999994</v>
      </c>
      <c r="BT15" s="34">
        <f t="shared" si="29"/>
        <v>0.14651596484154553</v>
      </c>
      <c r="BU15" s="35">
        <f t="shared" si="30"/>
        <v>4.7908542000000018</v>
      </c>
      <c r="BV15" s="35">
        <f t="shared" si="30"/>
        <v>0.2874512520000001</v>
      </c>
      <c r="BW15" s="35">
        <f t="shared" si="30"/>
        <v>0.65628139726027424</v>
      </c>
      <c r="BX15" s="42">
        <f t="shared" ref="BX15:BX17" si="52">I118/H118</f>
        <v>0.12238068735216362</v>
      </c>
      <c r="BY15" s="36">
        <f t="shared" ref="BY15:BY17" si="53">R118</f>
        <v>0.52773000000000003</v>
      </c>
      <c r="BZ15" s="34">
        <f t="shared" si="31"/>
        <v>9.7677309894363684E-2</v>
      </c>
      <c r="CA15" s="35">
        <f t="shared" si="32"/>
        <v>3.8946771600000005</v>
      </c>
      <c r="CB15" s="35">
        <f t="shared" si="32"/>
        <v>0.23368062960000002</v>
      </c>
      <c r="CC15" s="35">
        <f t="shared" si="32"/>
        <v>0.53351741917808226</v>
      </c>
      <c r="CD15" s="42">
        <f t="shared" ref="CD15:CD19" si="54">I132/H132</f>
        <v>0.32356884492064036</v>
      </c>
      <c r="CE15" s="36">
        <f t="shared" ref="CE15:CE19" si="55">R132</f>
        <v>1.13429</v>
      </c>
      <c r="CF15" s="34">
        <f t="shared" si="33"/>
        <v>7.3257982420772763E-2</v>
      </c>
      <c r="CG15" s="35">
        <f t="shared" si="34"/>
        <v>2.6679887299999998</v>
      </c>
      <c r="CH15" s="35">
        <f t="shared" si="34"/>
        <v>0.16007932379999998</v>
      </c>
      <c r="CI15" s="35">
        <f t="shared" si="34"/>
        <v>0.36547790821917808</v>
      </c>
      <c r="CJ15" s="42">
        <f t="shared" ref="CJ15:CJ17" si="56">I146/H146</f>
        <v>0.38731089392570267</v>
      </c>
      <c r="CK15" s="36">
        <f t="shared" ref="CK15:CK17" si="57">R146</f>
        <v>0.93010000000000004</v>
      </c>
      <c r="CL15" s="34">
        <f t="shared" si="35"/>
        <v>5.8606385936618204E-2</v>
      </c>
      <c r="CM15" s="35">
        <f t="shared" si="36"/>
        <v>5.1026119099999994</v>
      </c>
      <c r="CN15" s="35">
        <f t="shared" si="36"/>
        <v>0.30615671459999994</v>
      </c>
      <c r="CO15" s="35">
        <f t="shared" si="36"/>
        <v>0.69898793287671224</v>
      </c>
      <c r="CP15" s="42">
        <f t="shared" ref="CP15:CP17" si="58">I160/H160</f>
        <v>0.23787398128814388</v>
      </c>
      <c r="CQ15" s="36">
        <f t="shared" ref="CQ15:CQ17" si="59">R160</f>
        <v>1.0925100000000001</v>
      </c>
    </row>
    <row r="16" spans="2:95" ht="15" thickTop="1" x14ac:dyDescent="0.3">
      <c r="X16" s="34">
        <f t="shared" si="12"/>
        <v>0.63199201142279215</v>
      </c>
      <c r="Y16" s="35">
        <f t="shared" si="13"/>
        <v>10.892810610000002</v>
      </c>
      <c r="Z16" s="35">
        <f t="shared" si="13"/>
        <v>0.65356863660000009</v>
      </c>
      <c r="AA16" s="35">
        <f t="shared" si="13"/>
        <v>1.4921658369863016</v>
      </c>
      <c r="AB16" s="42">
        <f t="shared" si="37"/>
        <v>4.004585644769601E-2</v>
      </c>
      <c r="AC16" s="36">
        <f t="shared" si="14"/>
        <v>0.39263000000000003</v>
      </c>
      <c r="AD16" s="34">
        <f t="shared" si="15"/>
        <v>0.42132800761519479</v>
      </c>
      <c r="AE16" s="35">
        <f t="shared" si="16"/>
        <v>6.1473407600000005</v>
      </c>
      <c r="AF16" s="35">
        <f t="shared" si="16"/>
        <v>0.36884044560000001</v>
      </c>
      <c r="AG16" s="35">
        <f t="shared" si="16"/>
        <v>0.84210147397260282</v>
      </c>
      <c r="AH16" s="42">
        <f t="shared" si="38"/>
        <v>6.529903346369885E-2</v>
      </c>
      <c r="AI16" s="36">
        <f t="shared" si="39"/>
        <v>0.36130999999999996</v>
      </c>
      <c r="AJ16" s="34">
        <f t="shared" si="17"/>
        <v>0.31599600571139608</v>
      </c>
      <c r="AK16" s="35">
        <f t="shared" si="18"/>
        <v>6.6393582199999992</v>
      </c>
      <c r="AL16" s="35">
        <f t="shared" si="18"/>
        <v>0.39836149319999992</v>
      </c>
      <c r="AM16" s="35">
        <f t="shared" si="18"/>
        <v>0.90950112602739719</v>
      </c>
      <c r="AN16" s="42">
        <f t="shared" si="40"/>
        <v>7.4226659214661275E-2</v>
      </c>
      <c r="AO16" s="36">
        <f t="shared" si="41"/>
        <v>0.44358000000000003</v>
      </c>
      <c r="AP16" s="34">
        <f t="shared" si="19"/>
        <v>0.25279680456911685</v>
      </c>
      <c r="AQ16" s="35">
        <f t="shared" si="20"/>
        <v>0.98126853000000036</v>
      </c>
      <c r="AR16" s="35">
        <f t="shared" si="20"/>
        <v>5.8876111800000019E-2</v>
      </c>
      <c r="AS16" s="35">
        <f t="shared" si="20"/>
        <v>0.13442034657534252</v>
      </c>
      <c r="AT16" s="42">
        <f t="shared" si="42"/>
        <v>0.54773954689039084</v>
      </c>
      <c r="AU16" s="36">
        <f t="shared" si="43"/>
        <v>0.48378000000000004</v>
      </c>
      <c r="AV16" s="34">
        <f t="shared" si="21"/>
        <v>0.21066400380759739</v>
      </c>
      <c r="AW16" s="35">
        <f t="shared" si="22"/>
        <v>5.9736692399999995</v>
      </c>
      <c r="AX16" s="35">
        <f t="shared" si="22"/>
        <v>0.35842015439999997</v>
      </c>
      <c r="AY16" s="35">
        <f t="shared" si="22"/>
        <v>0.81831085479452048</v>
      </c>
      <c r="AZ16" s="42">
        <f t="shared" si="44"/>
        <v>8.3725757136161774E-2</v>
      </c>
      <c r="BA16" s="36">
        <f t="shared" si="45"/>
        <v>0.45018000000000002</v>
      </c>
      <c r="BB16" s="34">
        <f t="shared" si="23"/>
        <v>0.18056914612079777</v>
      </c>
      <c r="BC16" s="35">
        <f t="shared" si="24"/>
        <v>5.1858702499999989</v>
      </c>
      <c r="BD16" s="35">
        <f t="shared" si="24"/>
        <v>0.3111522149999999</v>
      </c>
      <c r="BE16" s="35">
        <f t="shared" si="24"/>
        <v>0.71039318493150672</v>
      </c>
      <c r="BF16" s="42">
        <f t="shared" si="46"/>
        <v>0.11596165175941299</v>
      </c>
      <c r="BG16" s="36">
        <f t="shared" si="47"/>
        <v>0.54127999999999998</v>
      </c>
      <c r="BH16" s="34">
        <f t="shared" si="25"/>
        <v>0.15799800285569804</v>
      </c>
      <c r="BI16" s="35">
        <f t="shared" si="26"/>
        <v>6.0459509000000002</v>
      </c>
      <c r="BJ16" s="35">
        <f t="shared" si="26"/>
        <v>0.36275705400000002</v>
      </c>
      <c r="BK16" s="35">
        <f t="shared" si="26"/>
        <v>0.82821245205479455</v>
      </c>
      <c r="BL16" s="42">
        <f t="shared" si="48"/>
        <v>9.5205718590933325E-2</v>
      </c>
      <c r="BM16" s="36">
        <f t="shared" si="49"/>
        <v>0.5181</v>
      </c>
      <c r="BN16" s="34">
        <f t="shared" si="27"/>
        <v>0.14044266920506493</v>
      </c>
      <c r="BO16" s="35">
        <f t="shared" si="28"/>
        <v>3.9188858500000001</v>
      </c>
      <c r="BP16" s="35">
        <f t="shared" si="28"/>
        <v>0.23513315099999998</v>
      </c>
      <c r="BQ16" s="35">
        <f t="shared" si="28"/>
        <v>0.53683367808219185</v>
      </c>
      <c r="BR16" s="42">
        <f t="shared" si="50"/>
        <v>0.18523537499822809</v>
      </c>
      <c r="BS16" s="36">
        <f t="shared" si="51"/>
        <v>0.65338999999999992</v>
      </c>
      <c r="BT16" s="34">
        <f t="shared" si="29"/>
        <v>0.12639840228455843</v>
      </c>
      <c r="BU16" s="35">
        <f t="shared" si="30"/>
        <v>6.0617937600000014</v>
      </c>
      <c r="BV16" s="35">
        <f t="shared" si="30"/>
        <v>0.36370762560000008</v>
      </c>
      <c r="BW16" s="35">
        <f t="shared" si="30"/>
        <v>0.83038270684931526</v>
      </c>
      <c r="BX16" s="42">
        <f t="shared" si="52"/>
        <v>0.12289229054866425</v>
      </c>
      <c r="BY16" s="36">
        <f t="shared" si="53"/>
        <v>0.67052</v>
      </c>
      <c r="BZ16" s="34">
        <f t="shared" si="31"/>
        <v>8.4265601523038955E-2</v>
      </c>
      <c r="CA16" s="35">
        <f t="shared" si="32"/>
        <v>3.4770078199999999</v>
      </c>
      <c r="CB16" s="35">
        <f t="shared" si="32"/>
        <v>0.20862046919999999</v>
      </c>
      <c r="CC16" s="35">
        <f t="shared" si="32"/>
        <v>0.47630244109589043</v>
      </c>
      <c r="CD16" s="42">
        <f t="shared" si="54"/>
        <v>0.22295039014321227</v>
      </c>
      <c r="CE16" s="36">
        <f t="shared" si="55"/>
        <v>0.69774999999999998</v>
      </c>
      <c r="CF16" s="34">
        <f t="shared" si="33"/>
        <v>6.3199201142279213E-2</v>
      </c>
      <c r="CG16" s="35">
        <f t="shared" si="34"/>
        <v>3.8391271600000003</v>
      </c>
      <c r="CH16" s="35">
        <f t="shared" si="34"/>
        <v>0.23034762960000002</v>
      </c>
      <c r="CI16" s="35">
        <f t="shared" si="34"/>
        <v>0.52590783013698639</v>
      </c>
      <c r="CJ16" s="42">
        <f t="shared" si="56"/>
        <v>0.2689954739608052</v>
      </c>
      <c r="CK16" s="36">
        <f t="shared" si="57"/>
        <v>0.92952999999999997</v>
      </c>
      <c r="CL16" s="34">
        <f t="shared" si="35"/>
        <v>5.0559360913823376E-2</v>
      </c>
      <c r="CM16" s="35">
        <f t="shared" si="36"/>
        <v>3.9776355299999988</v>
      </c>
      <c r="CN16" s="35">
        <f t="shared" si="36"/>
        <v>0.23865813179999992</v>
      </c>
      <c r="CO16" s="35">
        <f t="shared" si="36"/>
        <v>0.54488157945205462</v>
      </c>
      <c r="CP16" s="42">
        <f t="shared" si="58"/>
        <v>0.29056513129044786</v>
      </c>
      <c r="CQ16" s="36">
        <f t="shared" si="59"/>
        <v>1.0402899999999999</v>
      </c>
    </row>
    <row r="17" spans="2:95" ht="15" thickBot="1" x14ac:dyDescent="0.35">
      <c r="X17" s="34">
        <f t="shared" si="12"/>
        <v>0.38278220841209487</v>
      </c>
      <c r="Y17" s="35">
        <f t="shared" si="13"/>
        <v>9.8419490400000011</v>
      </c>
      <c r="Z17" s="35">
        <f t="shared" si="13"/>
        <v>0.59051694240000008</v>
      </c>
      <c r="AA17" s="35">
        <f t="shared" si="13"/>
        <v>1.3482121972602741</v>
      </c>
      <c r="AB17" s="42">
        <f t="shared" si="37"/>
        <v>6.1118862489050227E-2</v>
      </c>
      <c r="AC17" s="36">
        <f t="shared" si="14"/>
        <v>0.54142999999999997</v>
      </c>
      <c r="AD17" s="34">
        <f t="shared" si="15"/>
        <v>0.25518813894139658</v>
      </c>
      <c r="AE17" s="35">
        <f t="shared" si="16"/>
        <v>6.6545678100000005</v>
      </c>
      <c r="AF17" s="35">
        <f t="shared" si="16"/>
        <v>0.39927406860000003</v>
      </c>
      <c r="AG17" s="35">
        <f t="shared" si="16"/>
        <v>0.91158463150684943</v>
      </c>
      <c r="AH17" s="42">
        <f t="shared" si="38"/>
        <v>7.9317696516191916E-2</v>
      </c>
      <c r="AI17" s="36">
        <f t="shared" si="39"/>
        <v>0.47508999999999996</v>
      </c>
      <c r="AJ17" s="34">
        <f t="shared" si="17"/>
        <v>0.19139110420604744</v>
      </c>
      <c r="AK17" s="35">
        <f t="shared" si="18"/>
        <v>4.6101500500000006</v>
      </c>
      <c r="AL17" s="35">
        <f t="shared" si="18"/>
        <v>0.27660900300000002</v>
      </c>
      <c r="AM17" s="35">
        <f t="shared" si="18"/>
        <v>0.63152740410958919</v>
      </c>
      <c r="AN17" s="42">
        <f t="shared" si="40"/>
        <v>0.10712727886156333</v>
      </c>
      <c r="AO17" s="36">
        <f t="shared" si="41"/>
        <v>0.44453000000000004</v>
      </c>
      <c r="AP17" s="34">
        <f t="shared" si="19"/>
        <v>0.15311288336483794</v>
      </c>
      <c r="AQ17" s="35">
        <f t="shared" si="20"/>
        <v>4.2395315599999996</v>
      </c>
      <c r="AR17" s="35">
        <f t="shared" si="20"/>
        <v>0.25437189359999995</v>
      </c>
      <c r="AS17" s="35">
        <f t="shared" si="20"/>
        <v>0.5807577479452054</v>
      </c>
      <c r="AT17" s="42">
        <f t="shared" si="42"/>
        <v>0.14684902357467058</v>
      </c>
      <c r="AU17" s="36">
        <f t="shared" si="43"/>
        <v>0.56037000000000003</v>
      </c>
      <c r="AV17" s="34">
        <f t="shared" si="21"/>
        <v>0.12759406947069829</v>
      </c>
      <c r="AW17" s="35">
        <f t="shared" si="22"/>
        <v>2.2295547999999994</v>
      </c>
      <c r="AX17" s="35">
        <f t="shared" si="22"/>
        <v>0.13377328799999996</v>
      </c>
      <c r="AY17" s="35">
        <f t="shared" si="22"/>
        <v>0.30541846575342457</v>
      </c>
      <c r="AZ17" s="42">
        <f t="shared" si="44"/>
        <v>0.29783735299980074</v>
      </c>
      <c r="BA17" s="36">
        <f t="shared" si="45"/>
        <v>0.59770000000000001</v>
      </c>
      <c r="BB17" s="34">
        <f t="shared" si="23"/>
        <v>0.10936634526059853</v>
      </c>
      <c r="BC17" s="35">
        <f t="shared" si="24"/>
        <v>3.67669896</v>
      </c>
      <c r="BD17" s="35">
        <f t="shared" si="24"/>
        <v>0.22060193759999999</v>
      </c>
      <c r="BE17" s="35">
        <f t="shared" si="24"/>
        <v>0.50365739178082192</v>
      </c>
      <c r="BF17" s="42">
        <f t="shared" si="46"/>
        <v>0.23891930766069572</v>
      </c>
      <c r="BG17" s="36">
        <f t="shared" si="47"/>
        <v>0.79066999999999998</v>
      </c>
      <c r="BH17" s="34">
        <f t="shared" si="25"/>
        <v>9.5695552103023718E-2</v>
      </c>
      <c r="BI17" s="35">
        <f t="shared" si="26"/>
        <v>2.2956037500000002</v>
      </c>
      <c r="BJ17" s="35">
        <f t="shared" si="26"/>
        <v>0.13773622500000002</v>
      </c>
      <c r="BK17" s="35">
        <f t="shared" si="26"/>
        <v>0.31446626712328768</v>
      </c>
      <c r="BL17" s="42">
        <f t="shared" si="48"/>
        <v>0.62069933454325465</v>
      </c>
      <c r="BM17" s="36">
        <f t="shared" si="49"/>
        <v>1.2825200000000001</v>
      </c>
      <c r="BN17" s="34">
        <f t="shared" si="27"/>
        <v>8.5062712980465527E-2</v>
      </c>
      <c r="BO17" s="35">
        <f t="shared" si="28"/>
        <v>2.00262194</v>
      </c>
      <c r="BP17" s="35">
        <f t="shared" si="28"/>
        <v>0.12015731639999999</v>
      </c>
      <c r="BQ17" s="35">
        <f t="shared" si="28"/>
        <v>0.27433177260273972</v>
      </c>
      <c r="BR17" s="42">
        <f t="shared" si="50"/>
        <v>0.96892718053413507</v>
      </c>
      <c r="BS17" s="36">
        <f t="shared" si="51"/>
        <v>1.7465299999999999</v>
      </c>
      <c r="BT17" s="34">
        <f t="shared" si="29"/>
        <v>7.6556441682418971E-2</v>
      </c>
      <c r="BU17" s="35">
        <f t="shared" si="30"/>
        <v>-1.9540712400000007</v>
      </c>
      <c r="BV17" s="35">
        <f t="shared" si="30"/>
        <v>-0.11724427440000003</v>
      </c>
      <c r="BW17" s="35">
        <f t="shared" si="30"/>
        <v>-0.267680991780822</v>
      </c>
      <c r="BX17" s="42">
        <f t="shared" si="52"/>
        <v>-1.3649450774374019</v>
      </c>
      <c r="BY17" s="36">
        <f t="shared" si="53"/>
        <v>2.4007200000000002</v>
      </c>
      <c r="BZ17" s="34">
        <f t="shared" si="31"/>
        <v>5.1037627788279312E-2</v>
      </c>
      <c r="CA17" s="35">
        <f t="shared" si="32"/>
        <v>4.2943594100000002</v>
      </c>
      <c r="CB17" s="35">
        <f t="shared" si="32"/>
        <v>0.2576615646</v>
      </c>
      <c r="CC17" s="35">
        <f t="shared" si="32"/>
        <v>0.58826841232876714</v>
      </c>
      <c r="CD17" s="42">
        <f t="shared" si="54"/>
        <v>0.23577669061472431</v>
      </c>
      <c r="CE17" s="36">
        <f t="shared" si="55"/>
        <v>0.91134999999999999</v>
      </c>
      <c r="CF17" s="34">
        <f t="shared" si="33"/>
        <v>3.8278220841209486E-2</v>
      </c>
      <c r="CG17" s="35">
        <f t="shared" si="34"/>
        <v>2.0933239800000001</v>
      </c>
      <c r="CH17" s="35">
        <f t="shared" si="34"/>
        <v>0.12559943879999999</v>
      </c>
      <c r="CI17" s="35">
        <f t="shared" si="34"/>
        <v>0.28675670958904109</v>
      </c>
      <c r="CJ17" s="42">
        <f t="shared" si="56"/>
        <v>0.36199301552930185</v>
      </c>
      <c r="CK17" s="36">
        <f t="shared" si="57"/>
        <v>0.68206</v>
      </c>
      <c r="CL17" s="34">
        <f t="shared" si="35"/>
        <v>3.0622576672967586E-2</v>
      </c>
      <c r="CM17" s="35">
        <f t="shared" si="36"/>
        <v>2.9283960200000001</v>
      </c>
      <c r="CN17" s="35">
        <f t="shared" si="36"/>
        <v>0.1757037612</v>
      </c>
      <c r="CO17" s="35">
        <f t="shared" si="36"/>
        <v>0.40115013972602742</v>
      </c>
      <c r="CP17" s="42">
        <f t="shared" si="58"/>
        <v>0.27720026405444986</v>
      </c>
      <c r="CQ17" s="36">
        <f t="shared" si="59"/>
        <v>0.73065000000000002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0.27666095006839714</v>
      </c>
      <c r="Y18" s="35">
        <f t="shared" si="13"/>
        <v>8.0820361600000012</v>
      </c>
      <c r="Z18" s="35">
        <f t="shared" si="13"/>
        <v>0.48492216960000006</v>
      </c>
      <c r="AA18" s="35">
        <f t="shared" si="13"/>
        <v>1.1071282410958907</v>
      </c>
      <c r="AB18" s="42">
        <f t="shared" si="37"/>
        <v>5.7301060132846512E-2</v>
      </c>
      <c r="AC18" s="36">
        <f t="shared" si="14"/>
        <v>0.41683999999999999</v>
      </c>
      <c r="AD18" s="34">
        <f t="shared" si="15"/>
        <v>0.18444063337893143</v>
      </c>
      <c r="AE18" s="35">
        <f t="shared" si="16"/>
        <v>5.6659555700000004</v>
      </c>
      <c r="AF18" s="35">
        <f t="shared" si="16"/>
        <v>0.33995733420000002</v>
      </c>
      <c r="AG18" s="35">
        <f t="shared" si="16"/>
        <v>0.77615829726027408</v>
      </c>
      <c r="AH18" s="42">
        <f t="shared" si="38"/>
        <v>6.2240802216527086E-2</v>
      </c>
      <c r="AI18" s="36">
        <f t="shared" si="39"/>
        <v>0.31741999999999998</v>
      </c>
      <c r="AJ18" s="34">
        <f t="shared" si="17"/>
        <v>0.13833047503419857</v>
      </c>
      <c r="AK18" s="35">
        <f t="shared" si="18"/>
        <v>3.1216544700000006</v>
      </c>
      <c r="AL18" s="35">
        <f t="shared" si="18"/>
        <v>0.18729926820000004</v>
      </c>
      <c r="AM18" s="35">
        <f t="shared" si="18"/>
        <v>0.42762390000000011</v>
      </c>
      <c r="AN18" s="42">
        <f t="shared" si="40"/>
        <v>0.12912444790854766</v>
      </c>
      <c r="AO18" s="36">
        <f t="shared" si="41"/>
        <v>0.36280999999999997</v>
      </c>
      <c r="AP18" s="34">
        <f t="shared" si="19"/>
        <v>0.11066438002735884</v>
      </c>
      <c r="AQ18" s="35">
        <f t="shared" si="20"/>
        <v>3.33514423</v>
      </c>
      <c r="AR18" s="35">
        <f t="shared" si="20"/>
        <v>0.20010865380000001</v>
      </c>
      <c r="AS18" s="35">
        <f t="shared" si="20"/>
        <v>0.45686907260273973</v>
      </c>
      <c r="AT18" s="42">
        <f t="shared" si="42"/>
        <v>0.14460696951627786</v>
      </c>
      <c r="AU18" s="36">
        <f t="shared" si="43"/>
        <v>0.43409999999999999</v>
      </c>
      <c r="AV18" s="34">
        <f t="shared" si="21"/>
        <v>9.2220316689465717E-2</v>
      </c>
      <c r="AW18" s="35">
        <f t="shared" si="22"/>
        <v>0.9040762499999998</v>
      </c>
      <c r="AX18" s="35">
        <f t="shared" si="22"/>
        <v>5.4244574999999989E-2</v>
      </c>
      <c r="AY18" s="35">
        <f t="shared" si="22"/>
        <v>0.12384606164383559</v>
      </c>
      <c r="AZ18" s="42">
        <f t="shared" si="44"/>
        <v>0.57729032258064517</v>
      </c>
      <c r="BA18" s="36">
        <f t="shared" si="45"/>
        <v>0.46976999999999997</v>
      </c>
      <c r="BB18" s="34">
        <f t="shared" si="23"/>
        <v>7.9045985733827748E-2</v>
      </c>
      <c r="BC18" s="35">
        <f t="shared" si="24"/>
        <v>1.6940528000000001</v>
      </c>
      <c r="BD18" s="35">
        <f t="shared" si="24"/>
        <v>0.10164316800000001</v>
      </c>
      <c r="BE18" s="35">
        <f t="shared" si="24"/>
        <v>0.23206202739726031</v>
      </c>
      <c r="BF18" s="42">
        <f t="shared" si="46"/>
        <v>0.64139559286463799</v>
      </c>
      <c r="BG18" s="36">
        <f t="shared" si="47"/>
        <v>0.97799999999999998</v>
      </c>
      <c r="BH18" s="34">
        <f t="shared" si="25"/>
        <v>6.9165237517099284E-2</v>
      </c>
      <c r="BI18" s="35">
        <f t="shared" si="26"/>
        <v>1.9184081400000002</v>
      </c>
      <c r="BJ18" s="35">
        <f t="shared" si="26"/>
        <v>0.11510448840000001</v>
      </c>
      <c r="BK18" s="35">
        <f t="shared" si="26"/>
        <v>0.26279563561643837</v>
      </c>
      <c r="BL18" s="42">
        <f t="shared" si="48"/>
        <v>0.16805077776619526</v>
      </c>
      <c r="BM18" s="36">
        <f t="shared" si="49"/>
        <v>0.29017999999999999</v>
      </c>
      <c r="BN18" s="34">
        <f t="shared" si="27"/>
        <v>6.1480211126310469E-2</v>
      </c>
      <c r="BO18" s="35">
        <f t="shared" si="28"/>
        <v>2.52640289</v>
      </c>
      <c r="BP18" s="35">
        <f t="shared" si="28"/>
        <v>0.15158417339999999</v>
      </c>
      <c r="BQ18" s="35">
        <f t="shared" si="28"/>
        <v>0.3460825876712329</v>
      </c>
      <c r="BR18" s="42">
        <f t="shared" si="50"/>
        <v>0.20663239504131506</v>
      </c>
      <c r="BS18" s="36">
        <f t="shared" si="51"/>
        <v>0.46988000000000002</v>
      </c>
      <c r="BT18" s="34"/>
      <c r="BU18" s="35"/>
      <c r="BV18" s="35"/>
      <c r="BW18" s="35"/>
      <c r="BX18" s="42"/>
      <c r="BY18" s="36"/>
      <c r="BZ18" s="34">
        <f t="shared" si="31"/>
        <v>3.6888126675786281E-2</v>
      </c>
      <c r="CA18" s="35">
        <f t="shared" si="32"/>
        <v>2.863035889999999</v>
      </c>
      <c r="CB18" s="35">
        <f t="shared" si="32"/>
        <v>0.17178215339999994</v>
      </c>
      <c r="CC18" s="35">
        <f t="shared" si="32"/>
        <v>0.39219669726027384</v>
      </c>
      <c r="CD18" s="42">
        <f t="shared" si="54"/>
        <v>0.26264362686700382</v>
      </c>
      <c r="CE18" s="36">
        <f t="shared" si="55"/>
        <v>0.67683000000000004</v>
      </c>
      <c r="CF18" s="34"/>
      <c r="CG18" s="35"/>
      <c r="CH18" s="35"/>
      <c r="CI18" s="35"/>
      <c r="CJ18" s="42"/>
      <c r="CK18" s="36"/>
      <c r="CL18" s="34"/>
      <c r="CM18" s="35"/>
      <c r="CN18" s="35"/>
      <c r="CO18" s="35"/>
      <c r="CP18" s="42"/>
      <c r="CQ18" s="36"/>
    </row>
    <row r="19" spans="2:95" ht="15" thickTop="1" x14ac:dyDescent="0.3">
      <c r="B19">
        <v>1</v>
      </c>
      <c r="C19">
        <v>1614.6</v>
      </c>
      <c r="D19">
        <v>51917.8</v>
      </c>
      <c r="E19">
        <v>5848.5</v>
      </c>
      <c r="F19">
        <f t="shared" ref="F19:F29" si="60">D19/10000</f>
        <v>5.1917800000000005</v>
      </c>
      <c r="G19">
        <f t="shared" ref="G19:G29" si="61">C19/10000</f>
        <v>0.16145999999999999</v>
      </c>
      <c r="H19">
        <f t="shared" ref="H19:H29" si="62">F19-G19</f>
        <v>5.0303200000000006</v>
      </c>
      <c r="I19">
        <f>E19/10000</f>
        <v>0.58484999999999998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0.55058111816682398</v>
      </c>
      <c r="P19" s="2">
        <v>3</v>
      </c>
      <c r="Q19" s="8">
        <f>H19</f>
        <v>5.0303200000000006</v>
      </c>
      <c r="R19" s="8">
        <f>I19</f>
        <v>0.58484999999999998</v>
      </c>
      <c r="S19" s="8">
        <f>Q19/10^6*$Z$4*$Z$3/P19*10^12</f>
        <v>5.5886855200000012</v>
      </c>
      <c r="T19" s="8">
        <f>S19*0.06</f>
        <v>0.33532113120000007</v>
      </c>
      <c r="U19" s="8">
        <f>S19/$Z$1</f>
        <v>0.76557335890410982</v>
      </c>
      <c r="V19" s="12">
        <f t="shared" ref="V19:V29" si="63">O19</f>
        <v>0.55058111816682398</v>
      </c>
      <c r="W19" s="19"/>
      <c r="X19" s="34">
        <f t="shared" si="12"/>
        <v>0.19150265217489859</v>
      </c>
      <c r="Y19" s="35">
        <f t="shared" si="13"/>
        <v>6.0998899500000014</v>
      </c>
      <c r="Z19" s="35">
        <f t="shared" si="13"/>
        <v>0.36599339700000005</v>
      </c>
      <c r="AA19" s="35">
        <f t="shared" si="13"/>
        <v>0.83560136301369881</v>
      </c>
      <c r="AB19" s="42">
        <f t="shared" si="37"/>
        <v>5.4845231265196838E-2</v>
      </c>
      <c r="AC19" s="36">
        <f t="shared" si="14"/>
        <v>0.40150000000000002</v>
      </c>
      <c r="AD19" s="34">
        <f t="shared" si="15"/>
        <v>0.12766843478326573</v>
      </c>
      <c r="AE19" s="35">
        <f t="shared" si="16"/>
        <v>3.1389444075000004</v>
      </c>
      <c r="AF19" s="35">
        <f t="shared" si="16"/>
        <v>0.18833666445000002</v>
      </c>
      <c r="AG19" s="35">
        <f t="shared" si="16"/>
        <v>0.42999238458904115</v>
      </c>
      <c r="AH19" s="42">
        <f t="shared" si="38"/>
        <v>9.8308783125525934E-2</v>
      </c>
      <c r="AI19" s="36">
        <f t="shared" si="39"/>
        <v>0.37034</v>
      </c>
      <c r="AJ19" s="34">
        <f t="shared" si="17"/>
        <v>9.5751326087449296E-2</v>
      </c>
      <c r="AK19" s="35">
        <f t="shared" si="18"/>
        <v>2.2251357975000006</v>
      </c>
      <c r="AL19" s="35">
        <f t="shared" si="18"/>
        <v>0.13350814785000004</v>
      </c>
      <c r="AM19" s="35">
        <f t="shared" si="18"/>
        <v>0.30481312294520557</v>
      </c>
      <c r="AN19" s="42">
        <f t="shared" si="40"/>
        <v>0.24077021303685175</v>
      </c>
      <c r="AO19" s="36">
        <f t="shared" si="41"/>
        <v>0.64296000000000009</v>
      </c>
      <c r="AP19" s="34">
        <f t="shared" si="19"/>
        <v>7.6601060869959436E-2</v>
      </c>
      <c r="AQ19" s="35">
        <f t="shared" si="20"/>
        <v>1.6333866450000003</v>
      </c>
      <c r="AR19" s="35">
        <f t="shared" si="20"/>
        <v>9.8003198700000016E-2</v>
      </c>
      <c r="AS19" s="35">
        <f t="shared" si="20"/>
        <v>0.22375159520547949</v>
      </c>
      <c r="AT19" s="42">
        <f t="shared" si="42"/>
        <v>0.22327140277310151</v>
      </c>
      <c r="AU19" s="36">
        <f t="shared" si="43"/>
        <v>0.43767</v>
      </c>
      <c r="AV19" s="34">
        <f t="shared" si="21"/>
        <v>6.3834217391632864E-2</v>
      </c>
      <c r="AW19" s="35">
        <f t="shared" si="22"/>
        <v>1.3640719124999998</v>
      </c>
      <c r="AX19" s="35">
        <f t="shared" si="22"/>
        <v>8.184431474999998E-2</v>
      </c>
      <c r="AY19" s="35">
        <f t="shared" si="22"/>
        <v>0.1868591660958904</v>
      </c>
      <c r="AZ19" s="42">
        <f t="shared" si="44"/>
        <v>0.26654042332243977</v>
      </c>
      <c r="BA19" s="36">
        <f t="shared" si="45"/>
        <v>0.43633999999999995</v>
      </c>
      <c r="BB19" s="34">
        <f t="shared" si="23"/>
        <v>5.4715043478542454E-2</v>
      </c>
      <c r="BC19" s="35">
        <f t="shared" si="24"/>
        <v>1.9859930475000003</v>
      </c>
      <c r="BD19" s="35">
        <f t="shared" si="24"/>
        <v>0.11915958285000001</v>
      </c>
      <c r="BE19" s="35">
        <f t="shared" si="24"/>
        <v>0.2720538421232877</v>
      </c>
      <c r="BF19" s="42">
        <f t="shared" si="46"/>
        <v>0.214040269695355</v>
      </c>
      <c r="BG19" s="36">
        <f t="shared" si="47"/>
        <v>0.51014999999999999</v>
      </c>
      <c r="BH19" s="34">
        <f t="shared" si="25"/>
        <v>4.7875663043724648E-2</v>
      </c>
      <c r="BI19" s="35">
        <f t="shared" si="26"/>
        <v>1.7502082950000004</v>
      </c>
      <c r="BJ19" s="35">
        <f t="shared" si="26"/>
        <v>0.10501249770000003</v>
      </c>
      <c r="BK19" s="35">
        <f t="shared" si="26"/>
        <v>0.23975456095890418</v>
      </c>
      <c r="BL19" s="42">
        <f t="shared" si="48"/>
        <v>0.30186721003970557</v>
      </c>
      <c r="BM19" s="36">
        <f t="shared" si="49"/>
        <v>0.63406000000000007</v>
      </c>
      <c r="BN19" s="34">
        <f t="shared" si="27"/>
        <v>4.2556144927755245E-2</v>
      </c>
      <c r="BO19" s="35">
        <f t="shared" si="28"/>
        <v>1.6689497550000001</v>
      </c>
      <c r="BP19" s="35">
        <f t="shared" si="28"/>
        <v>0.10013698529999999</v>
      </c>
      <c r="BQ19" s="35">
        <f t="shared" si="28"/>
        <v>0.22862325410958906</v>
      </c>
      <c r="BR19" s="42">
        <f t="shared" si="50"/>
        <v>0.14945530070795929</v>
      </c>
      <c r="BS19" s="36">
        <f t="shared" si="51"/>
        <v>0.29935</v>
      </c>
      <c r="BT19" s="34"/>
      <c r="BU19" s="35"/>
      <c r="BV19" s="35"/>
      <c r="BW19" s="35"/>
      <c r="BX19" s="42"/>
      <c r="BY19" s="36"/>
      <c r="BZ19" s="34">
        <f t="shared" si="31"/>
        <v>2.5533686956653145E-2</v>
      </c>
      <c r="CA19" s="35">
        <f t="shared" si="32"/>
        <v>2.1889144200000006</v>
      </c>
      <c r="CB19" s="35">
        <f t="shared" si="32"/>
        <v>0.13133486520000004</v>
      </c>
      <c r="CC19" s="35">
        <f t="shared" si="32"/>
        <v>0.29985129041095898</v>
      </c>
      <c r="CD19" s="42">
        <f t="shared" si="54"/>
        <v>0.19389712823948593</v>
      </c>
      <c r="CE19" s="36">
        <f t="shared" si="55"/>
        <v>0.50936000000000003</v>
      </c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5497.1</v>
      </c>
      <c r="D20">
        <v>71368.899999999994</v>
      </c>
      <c r="E20">
        <v>3766.4</v>
      </c>
      <c r="F20">
        <f t="shared" si="60"/>
        <v>7.1368899999999993</v>
      </c>
      <c r="G20">
        <f t="shared" si="61"/>
        <v>0.54971000000000003</v>
      </c>
      <c r="H20">
        <f t="shared" si="62"/>
        <v>6.5871799999999991</v>
      </c>
      <c r="I20">
        <f t="shared" ref="I20:I29" si="64">E20/10000</f>
        <v>0.37664000000000003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0.48838654947181842</v>
      </c>
      <c r="P20" s="4">
        <v>3</v>
      </c>
      <c r="Q20" s="5">
        <f t="shared" ref="Q20:R29" si="67">H20</f>
        <v>6.5871799999999991</v>
      </c>
      <c r="R20" s="5">
        <f t="shared" si="67"/>
        <v>0.37664000000000003</v>
      </c>
      <c r="S20" s="5">
        <f t="shared" ref="S20:S29" si="68">Q20/10^6*$Z$4*$Z$3/P20*10^12</f>
        <v>7.318356979999999</v>
      </c>
      <c r="T20" s="5">
        <f t="shared" ref="T20:T29" si="69">S20*0.06</f>
        <v>0.43910141879999992</v>
      </c>
      <c r="U20" s="5">
        <f t="shared" ref="U20:U29" si="70">S20/$Z$1</f>
        <v>1.0025146547945205</v>
      </c>
      <c r="V20" s="5">
        <f t="shared" si="63"/>
        <v>0.48838654947181842</v>
      </c>
      <c r="W20" s="19"/>
      <c r="X20" s="34">
        <f t="shared" si="12"/>
        <v>0.13844035660042389</v>
      </c>
      <c r="Y20" s="35">
        <f t="shared" si="13"/>
        <v>4.5631103099999999</v>
      </c>
      <c r="Z20" s="35">
        <f t="shared" si="13"/>
        <v>0.27378661859999998</v>
      </c>
      <c r="AA20" s="35">
        <f t="shared" si="13"/>
        <v>0.62508360410958907</v>
      </c>
      <c r="AB20" s="42">
        <f t="shared" si="37"/>
        <v>6.9015828262981443E-2</v>
      </c>
      <c r="AC20" s="36">
        <f t="shared" si="14"/>
        <v>0.37795000000000001</v>
      </c>
      <c r="AD20" s="34">
        <f t="shared" si="15"/>
        <v>9.2293571066949256E-2</v>
      </c>
      <c r="AE20" s="35">
        <f t="shared" si="16"/>
        <v>1.793370645</v>
      </c>
      <c r="AF20" s="35">
        <f t="shared" si="16"/>
        <v>0.10760223869999999</v>
      </c>
      <c r="AG20" s="35">
        <f t="shared" si="16"/>
        <v>0.24566721164383562</v>
      </c>
      <c r="AH20" s="42">
        <f t="shared" si="38"/>
        <v>0.23091076356945722</v>
      </c>
      <c r="AI20" s="36">
        <f t="shared" si="39"/>
        <v>0.49698000000000003</v>
      </c>
      <c r="AJ20" s="34">
        <f t="shared" si="17"/>
        <v>6.9220178300211946E-2</v>
      </c>
      <c r="AK20" s="35">
        <f t="shared" si="18"/>
        <v>1.8910692075</v>
      </c>
      <c r="AL20" s="35">
        <f t="shared" si="18"/>
        <v>0.11346415244999999</v>
      </c>
      <c r="AM20" s="35">
        <f t="shared" si="18"/>
        <v>0.25905057636986301</v>
      </c>
      <c r="AN20" s="42">
        <f t="shared" si="40"/>
        <v>0.25777811069349776</v>
      </c>
      <c r="AO20" s="36">
        <f t="shared" si="41"/>
        <v>0.58503000000000005</v>
      </c>
      <c r="AP20" s="34">
        <f t="shared" si="19"/>
        <v>5.5376142640169553E-2</v>
      </c>
      <c r="AQ20" s="35">
        <f t="shared" si="20"/>
        <v>0.82490916750000032</v>
      </c>
      <c r="AR20" s="35">
        <f t="shared" si="20"/>
        <v>4.9494550050000016E-2</v>
      </c>
      <c r="AS20" s="35">
        <f t="shared" si="20"/>
        <v>0.11300125582191785</v>
      </c>
      <c r="AT20" s="42">
        <f t="shared" si="42"/>
        <v>0.49013626400266652</v>
      </c>
      <c r="AU20" s="36">
        <f t="shared" si="43"/>
        <v>0.48522999999999999</v>
      </c>
      <c r="AV20" s="34">
        <f t="shared" si="21"/>
        <v>4.6146785533474628E-2</v>
      </c>
      <c r="AW20" s="35">
        <f t="shared" si="22"/>
        <v>1.1806819199999998</v>
      </c>
      <c r="AX20" s="35">
        <f t="shared" si="22"/>
        <v>7.0840915199999993E-2</v>
      </c>
      <c r="AY20" s="35">
        <f t="shared" si="22"/>
        <v>0.16173724931506847</v>
      </c>
      <c r="AZ20" s="42">
        <f t="shared" si="44"/>
        <v>0.38070940605239384</v>
      </c>
      <c r="BA20" s="36">
        <f t="shared" si="45"/>
        <v>0.53944999999999999</v>
      </c>
      <c r="BB20" s="34">
        <f t="shared" si="23"/>
        <v>3.9554387600121109E-2</v>
      </c>
      <c r="BC20" s="35">
        <f t="shared" si="24"/>
        <v>0.89891843250000014</v>
      </c>
      <c r="BD20" s="35">
        <f t="shared" si="24"/>
        <v>5.3935105950000006E-2</v>
      </c>
      <c r="BE20" s="35">
        <f t="shared" si="24"/>
        <v>0.12313951130136988</v>
      </c>
      <c r="BF20" s="42">
        <f t="shared" si="46"/>
        <v>0.52158396751976699</v>
      </c>
      <c r="BG20" s="36">
        <f t="shared" si="47"/>
        <v>0.56268999999999991</v>
      </c>
      <c r="BH20" s="34">
        <f t="shared" si="25"/>
        <v>3.4610089150105973E-2</v>
      </c>
      <c r="BI20" s="35">
        <f t="shared" si="26"/>
        <v>1.1230626824999999</v>
      </c>
      <c r="BJ20" s="35">
        <f t="shared" si="26"/>
        <v>6.7383760949999982E-2</v>
      </c>
      <c r="BK20" s="35">
        <f t="shared" si="26"/>
        <v>0.15384420308219177</v>
      </c>
      <c r="BL20" s="42">
        <f t="shared" si="48"/>
        <v>0.4460124201482405</v>
      </c>
      <c r="BM20" s="36">
        <f t="shared" si="49"/>
        <v>0.60114000000000001</v>
      </c>
      <c r="BN20" s="34">
        <f t="shared" si="27"/>
        <v>3.0764523688983084E-2</v>
      </c>
      <c r="BO20" s="35">
        <f t="shared" si="28"/>
        <v>0.24006765749999986</v>
      </c>
      <c r="BP20" s="35">
        <f t="shared" si="28"/>
        <v>1.4404059449999991E-2</v>
      </c>
      <c r="BQ20" s="35">
        <f t="shared" si="28"/>
        <v>3.2885980479452036E-2</v>
      </c>
      <c r="BR20" s="42">
        <f t="shared" si="50"/>
        <v>0.9945854014091845</v>
      </c>
      <c r="BS20" s="36">
        <f t="shared" si="51"/>
        <v>0.28655000000000003</v>
      </c>
      <c r="BT20" s="34"/>
      <c r="BU20" s="35"/>
      <c r="BV20" s="35"/>
      <c r="BW20" s="35"/>
      <c r="BX20" s="42"/>
      <c r="BY20" s="36"/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12513.9</v>
      </c>
      <c r="D21">
        <v>67845.5</v>
      </c>
      <c r="E21">
        <v>3613.1</v>
      </c>
      <c r="F21">
        <f t="shared" si="60"/>
        <v>6.7845500000000003</v>
      </c>
      <c r="G21">
        <f t="shared" si="61"/>
        <v>1.25139</v>
      </c>
      <c r="H21">
        <f t="shared" si="62"/>
        <v>5.5331600000000005</v>
      </c>
      <c r="I21">
        <f t="shared" si="64"/>
        <v>0.36130999999999996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0.42132800761519479</v>
      </c>
      <c r="P21" s="4">
        <v>3</v>
      </c>
      <c r="Q21" s="5">
        <f t="shared" si="67"/>
        <v>5.5331600000000005</v>
      </c>
      <c r="R21" s="5">
        <f t="shared" si="67"/>
        <v>0.36130999999999996</v>
      </c>
      <c r="S21" s="5">
        <f t="shared" si="68"/>
        <v>6.1473407600000005</v>
      </c>
      <c r="T21" s="5">
        <f t="shared" si="69"/>
        <v>0.36884044560000001</v>
      </c>
      <c r="U21" s="5">
        <f t="shared" si="70"/>
        <v>0.84210147397260282</v>
      </c>
      <c r="V21" s="5">
        <f t="shared" si="63"/>
        <v>0.42132800761519479</v>
      </c>
      <c r="W21" s="19"/>
      <c r="X21" s="34">
        <f t="shared" si="12"/>
        <v>0.11609823997033829</v>
      </c>
      <c r="Y21" s="35">
        <f t="shared" si="13"/>
        <v>3.2103456000000001</v>
      </c>
      <c r="Z21" s="35">
        <f t="shared" si="13"/>
        <v>0.19262073600000001</v>
      </c>
      <c r="AA21" s="35">
        <f t="shared" si="13"/>
        <v>0.43977336986301374</v>
      </c>
      <c r="AB21" s="42">
        <f t="shared" si="37"/>
        <v>0.15248754152823921</v>
      </c>
      <c r="AC21" s="36">
        <f t="shared" si="14"/>
        <v>0.73438000000000003</v>
      </c>
      <c r="AD21" s="34">
        <f t="shared" si="15"/>
        <v>7.7398826646892196E-2</v>
      </c>
      <c r="AE21" s="35">
        <f t="shared" si="16"/>
        <v>1.5056027580000002</v>
      </c>
      <c r="AF21" s="35">
        <f t="shared" si="16"/>
        <v>9.0336165480000008E-2</v>
      </c>
      <c r="AG21" s="35">
        <f t="shared" si="16"/>
        <v>0.20624695315068498</v>
      </c>
      <c r="AH21" s="42">
        <f t="shared" si="38"/>
        <v>0.22956393920208265</v>
      </c>
      <c r="AI21" s="36">
        <f t="shared" si="39"/>
        <v>0.51849999999999996</v>
      </c>
      <c r="AJ21" s="34">
        <f t="shared" si="17"/>
        <v>5.8049119985169144E-2</v>
      </c>
      <c r="AK21" s="35">
        <f t="shared" si="18"/>
        <v>1.2397160159999998</v>
      </c>
      <c r="AL21" s="35">
        <f t="shared" si="18"/>
        <v>7.438296095999998E-2</v>
      </c>
      <c r="AM21" s="35">
        <f t="shared" si="18"/>
        <v>0.16982411178082191</v>
      </c>
      <c r="AN21" s="42">
        <f t="shared" si="40"/>
        <v>0.26042069944508972</v>
      </c>
      <c r="AO21" s="36">
        <f t="shared" si="41"/>
        <v>0.48431999999999997</v>
      </c>
      <c r="AP21" s="34">
        <f t="shared" si="19"/>
        <v>4.6439295988135315E-2</v>
      </c>
      <c r="AQ21" s="35">
        <f t="shared" si="20"/>
        <v>0.69147084600000019</v>
      </c>
      <c r="AR21" s="35">
        <f t="shared" si="20"/>
        <v>4.1488250760000012E-2</v>
      </c>
      <c r="AS21" s="35">
        <f t="shared" si="20"/>
        <v>9.4722033698630165E-2</v>
      </c>
      <c r="AT21" s="42">
        <f t="shared" si="42"/>
        <v>0.50223173400429943</v>
      </c>
      <c r="AU21" s="36">
        <f t="shared" si="43"/>
        <v>0.52096999999999993</v>
      </c>
      <c r="AV21" s="34">
        <f t="shared" si="21"/>
        <v>3.8699413323446098E-2</v>
      </c>
      <c r="AW21" s="35">
        <f t="shared" si="22"/>
        <v>0.65323467000000002</v>
      </c>
      <c r="AX21" s="35">
        <f t="shared" si="22"/>
        <v>3.9194080200000002E-2</v>
      </c>
      <c r="AY21" s="35">
        <f t="shared" si="22"/>
        <v>8.9484201369863015E-2</v>
      </c>
      <c r="AZ21" s="42">
        <f t="shared" si="44"/>
        <v>0.43206286035001779</v>
      </c>
      <c r="BA21" s="36">
        <f t="shared" si="45"/>
        <v>0.4234</v>
      </c>
      <c r="BB21" s="34">
        <f t="shared" si="23"/>
        <v>3.3170925705810934E-2</v>
      </c>
      <c r="BC21" s="35">
        <f t="shared" si="24"/>
        <v>1.3605505980000001</v>
      </c>
      <c r="BD21" s="35">
        <f t="shared" si="24"/>
        <v>8.163303588000001E-2</v>
      </c>
      <c r="BE21" s="35">
        <f t="shared" si="24"/>
        <v>0.18637679424657536</v>
      </c>
      <c r="BF21" s="42">
        <f t="shared" si="46"/>
        <v>0.30261681601936274</v>
      </c>
      <c r="BG21" s="36">
        <f t="shared" si="47"/>
        <v>0.61765000000000003</v>
      </c>
      <c r="BH21" s="34">
        <f t="shared" si="25"/>
        <v>2.9024559992584572E-2</v>
      </c>
      <c r="BI21" s="35">
        <f t="shared" si="26"/>
        <v>1.3735826280000001</v>
      </c>
      <c r="BJ21" s="35">
        <f t="shared" si="26"/>
        <v>8.2414957679999998E-2</v>
      </c>
      <c r="BK21" s="35">
        <f t="shared" si="26"/>
        <v>0.18816200383561646</v>
      </c>
      <c r="BL21" s="42">
        <f t="shared" si="48"/>
        <v>0.27770336507197002</v>
      </c>
      <c r="BM21" s="36">
        <f t="shared" si="49"/>
        <v>0.57223000000000002</v>
      </c>
      <c r="BN21" s="34">
        <f t="shared" si="27"/>
        <v>2.5799608882297393E-2</v>
      </c>
      <c r="BO21" s="35">
        <f t="shared" si="28"/>
        <v>1.2923307539999997</v>
      </c>
      <c r="BP21" s="35">
        <f t="shared" si="28"/>
        <v>7.7539845239999988E-2</v>
      </c>
      <c r="BQ21" s="35">
        <f t="shared" si="28"/>
        <v>0.17703161013698626</v>
      </c>
      <c r="BR21" s="42">
        <f t="shared" si="50"/>
        <v>0.25956186909717394</v>
      </c>
      <c r="BS21" s="36">
        <f t="shared" si="51"/>
        <v>0.50321000000000005</v>
      </c>
      <c r="BT21" s="34"/>
      <c r="BU21" s="35"/>
      <c r="BV21" s="35"/>
      <c r="BW21" s="35"/>
      <c r="BX21" s="42"/>
      <c r="BY21" s="36"/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1671.4</v>
      </c>
      <c r="D22">
        <v>61568.5</v>
      </c>
      <c r="E22">
        <v>4750.8999999999996</v>
      </c>
      <c r="F22">
        <f t="shared" si="60"/>
        <v>6.1568500000000004</v>
      </c>
      <c r="G22">
        <f t="shared" si="61"/>
        <v>0.16714000000000001</v>
      </c>
      <c r="H22">
        <f t="shared" si="62"/>
        <v>5.9897100000000005</v>
      </c>
      <c r="I22">
        <f t="shared" si="64"/>
        <v>0.47508999999999996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0.25518813894139658</v>
      </c>
      <c r="P22" s="4">
        <v>3</v>
      </c>
      <c r="Q22" s="5">
        <f t="shared" si="67"/>
        <v>5.9897100000000005</v>
      </c>
      <c r="R22" s="5">
        <f t="shared" si="67"/>
        <v>0.47508999999999996</v>
      </c>
      <c r="S22" s="5">
        <f t="shared" si="68"/>
        <v>6.6545678100000005</v>
      </c>
      <c r="T22" s="5">
        <f t="shared" si="69"/>
        <v>0.39927406860000003</v>
      </c>
      <c r="U22" s="5">
        <f t="shared" si="70"/>
        <v>0.91158463150684943</v>
      </c>
      <c r="V22" s="5">
        <f t="shared" si="63"/>
        <v>0.25518813894139658</v>
      </c>
      <c r="W22" s="19"/>
      <c r="X22" s="34">
        <f t="shared" si="12"/>
        <v>9.3566926010778997E-2</v>
      </c>
      <c r="Y22" s="35">
        <f t="shared" si="13"/>
        <v>2.3524438987500003</v>
      </c>
      <c r="Z22" s="35">
        <f t="shared" si="13"/>
        <v>0.14114663392500001</v>
      </c>
      <c r="AA22" s="35">
        <f t="shared" si="13"/>
        <v>0.32225258886986308</v>
      </c>
      <c r="AB22" s="42">
        <f t="shared" si="37"/>
        <v>0.16544258938833917</v>
      </c>
      <c r="AC22" s="36">
        <f t="shared" si="14"/>
        <v>0.93415999999999999</v>
      </c>
      <c r="AD22" s="34">
        <f t="shared" si="15"/>
        <v>6.2377950673852663E-2</v>
      </c>
      <c r="AE22" s="35">
        <f t="shared" si="16"/>
        <v>1.0060077225000001</v>
      </c>
      <c r="AF22" s="35">
        <f t="shared" si="16"/>
        <v>6.0360463350000004E-2</v>
      </c>
      <c r="AG22" s="35">
        <f t="shared" si="16"/>
        <v>0.13780927705479454</v>
      </c>
      <c r="AH22" s="42">
        <f t="shared" si="38"/>
        <v>0.25267739557536051</v>
      </c>
      <c r="AI22" s="36">
        <f t="shared" si="39"/>
        <v>0.61013000000000006</v>
      </c>
      <c r="AJ22" s="34">
        <f t="shared" si="17"/>
        <v>4.6783463005389499E-2</v>
      </c>
      <c r="AK22" s="35">
        <f t="shared" si="18"/>
        <v>0.56463103125000003</v>
      </c>
      <c r="AL22" s="35">
        <f t="shared" si="18"/>
        <v>3.3877861874999998E-2</v>
      </c>
      <c r="AM22" s="35">
        <f t="shared" si="18"/>
        <v>7.7346716609589042E-2</v>
      </c>
      <c r="AN22" s="42">
        <f t="shared" si="40"/>
        <v>0.44732706142778084</v>
      </c>
      <c r="AO22" s="36">
        <f t="shared" si="41"/>
        <v>0.60624</v>
      </c>
      <c r="AP22" s="34">
        <f t="shared" si="19"/>
        <v>3.7426770404311603E-2</v>
      </c>
      <c r="AQ22" s="35">
        <f t="shared" si="20"/>
        <v>0.53550894374999991</v>
      </c>
      <c r="AR22" s="35">
        <f t="shared" si="20"/>
        <v>3.213053662499999E-2</v>
      </c>
      <c r="AS22" s="35">
        <f t="shared" si="20"/>
        <v>7.3357389554794511E-2</v>
      </c>
      <c r="AT22" s="42">
        <f t="shared" si="42"/>
        <v>0.43709495468160431</v>
      </c>
      <c r="AU22" s="36">
        <f t="shared" si="43"/>
        <v>0.56181999999999999</v>
      </c>
      <c r="AV22" s="34">
        <f t="shared" si="21"/>
        <v>3.1188975336926331E-2</v>
      </c>
      <c r="AW22" s="35">
        <f t="shared" si="22"/>
        <v>0.95247557625000001</v>
      </c>
      <c r="AX22" s="35">
        <f t="shared" si="22"/>
        <v>5.7148534575E-2</v>
      </c>
      <c r="AY22" s="35">
        <f t="shared" si="22"/>
        <v>0.13047610633561643</v>
      </c>
      <c r="AZ22" s="42">
        <f t="shared" si="44"/>
        <v>0.21389048058543328</v>
      </c>
      <c r="BA22" s="36">
        <f t="shared" si="45"/>
        <v>0.48898999999999998</v>
      </c>
      <c r="BB22" s="34">
        <f t="shared" si="23"/>
        <v>2.6733407431651143E-2</v>
      </c>
      <c r="BC22" s="35">
        <f t="shared" si="24"/>
        <v>1.3050653137499999</v>
      </c>
      <c r="BD22" s="35">
        <f t="shared" si="24"/>
        <v>7.8303918824999985E-2</v>
      </c>
      <c r="BE22" s="35">
        <f t="shared" si="24"/>
        <v>0.17877607037671231</v>
      </c>
      <c r="BF22" s="42">
        <f t="shared" si="46"/>
        <v>0.1821821118797626</v>
      </c>
      <c r="BG22" s="36">
        <f t="shared" si="47"/>
        <v>0.57067999999999997</v>
      </c>
      <c r="BH22" s="34">
        <f t="shared" si="25"/>
        <v>2.3391731502694749E-2</v>
      </c>
      <c r="BI22" s="35">
        <f t="shared" si="26"/>
        <v>0.86507598375000005</v>
      </c>
      <c r="BJ22" s="35">
        <f t="shared" si="26"/>
        <v>5.1904559024999998E-2</v>
      </c>
      <c r="BK22" s="35">
        <f t="shared" si="26"/>
        <v>0.11850355941780823</v>
      </c>
      <c r="BL22" s="42">
        <f t="shared" si="48"/>
        <v>0.3449592802893483</v>
      </c>
      <c r="BM22" s="36">
        <f t="shared" si="49"/>
        <v>0.71626999999999996</v>
      </c>
      <c r="BN22" s="34">
        <f t="shared" si="27"/>
        <v>2.0792650224617557E-2</v>
      </c>
      <c r="BO22" s="35">
        <f t="shared" si="28"/>
        <v>1.0222435987500003</v>
      </c>
      <c r="BP22" s="35">
        <f t="shared" si="28"/>
        <v>6.1334615925000016E-2</v>
      </c>
      <c r="BQ22" s="35">
        <f t="shared" si="28"/>
        <v>0.14003336969178087</v>
      </c>
      <c r="BR22" s="42">
        <f t="shared" si="50"/>
        <v>0.21061447732543206</v>
      </c>
      <c r="BS22" s="36">
        <f t="shared" si="51"/>
        <v>0.51676999999999995</v>
      </c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-1313.1</v>
      </c>
      <c r="D23">
        <v>49685.599999999999</v>
      </c>
      <c r="E23">
        <v>3174.2</v>
      </c>
      <c r="F23">
        <f t="shared" si="60"/>
        <v>4.9685600000000001</v>
      </c>
      <c r="G23">
        <f t="shared" si="61"/>
        <v>-0.13130999999999998</v>
      </c>
      <c r="H23">
        <f t="shared" si="62"/>
        <v>5.0998700000000001</v>
      </c>
      <c r="I23">
        <f t="shared" si="64"/>
        <v>0.31741999999999998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0.18444063337893143</v>
      </c>
      <c r="P23" s="4">
        <v>3</v>
      </c>
      <c r="Q23" s="5">
        <f t="shared" si="67"/>
        <v>5.0998700000000001</v>
      </c>
      <c r="R23" s="5">
        <f t="shared" si="67"/>
        <v>0.31741999999999998</v>
      </c>
      <c r="S23" s="5">
        <f t="shared" si="68"/>
        <v>5.6659555700000004</v>
      </c>
      <c r="T23" s="5">
        <f t="shared" si="69"/>
        <v>0.33995733420000002</v>
      </c>
      <c r="U23" s="5">
        <f t="shared" si="70"/>
        <v>0.77615829726027408</v>
      </c>
      <c r="V23" s="5">
        <f t="shared" si="63"/>
        <v>0.18444063337893143</v>
      </c>
      <c r="W23" s="19"/>
      <c r="X23" s="34">
        <f t="shared" si="12"/>
        <v>6.7004988963650383E-2</v>
      </c>
      <c r="Y23" s="35">
        <f t="shared" si="13"/>
        <v>1.8195894514285715</v>
      </c>
      <c r="Z23" s="35">
        <f t="shared" si="13"/>
        <v>0.10917536708571429</v>
      </c>
      <c r="AA23" s="35">
        <f t="shared" si="13"/>
        <v>0.24925882896281804</v>
      </c>
      <c r="AB23" s="42">
        <f t="shared" si="37"/>
        <v>0.13914097008520171</v>
      </c>
      <c r="AC23" s="36">
        <f t="shared" si="14"/>
        <v>1.0634600000000001</v>
      </c>
      <c r="AD23" s="34">
        <f t="shared" si="15"/>
        <v>4.4669992642433591E-2</v>
      </c>
      <c r="AE23" s="35">
        <f t="shared" si="16"/>
        <v>0.51375100071428581</v>
      </c>
      <c r="AF23" s="35">
        <f t="shared" si="16"/>
        <v>3.0825060042857146E-2</v>
      </c>
      <c r="AG23" s="35">
        <f t="shared" si="16"/>
        <v>7.0376849412915859E-2</v>
      </c>
      <c r="AH23" s="42">
        <f t="shared" si="38"/>
        <v>0.28436447216597077</v>
      </c>
      <c r="AI23" s="36">
        <f t="shared" si="39"/>
        <v>0.61365000000000003</v>
      </c>
      <c r="AJ23" s="34">
        <f t="shared" si="17"/>
        <v>3.3502494481825192E-2</v>
      </c>
      <c r="AK23" s="35">
        <f t="shared" si="18"/>
        <v>0.64896366857142862</v>
      </c>
      <c r="AL23" s="35">
        <f t="shared" si="18"/>
        <v>3.8937820114285718E-2</v>
      </c>
      <c r="AM23" s="35">
        <f t="shared" si="18"/>
        <v>8.8899132681017623E-2</v>
      </c>
      <c r="AN23" s="42">
        <f t="shared" si="40"/>
        <v>0.21951854786640837</v>
      </c>
      <c r="AO23" s="36">
        <f t="shared" si="41"/>
        <v>0.59838999999999998</v>
      </c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4407.3</v>
      </c>
      <c r="D24">
        <v>42078.400000000001</v>
      </c>
      <c r="E24">
        <v>3703.4</v>
      </c>
      <c r="F24">
        <f t="shared" si="60"/>
        <v>4.20784</v>
      </c>
      <c r="G24">
        <f t="shared" si="61"/>
        <v>0.44073000000000001</v>
      </c>
      <c r="H24">
        <f t="shared" si="62"/>
        <v>3.7671100000000002</v>
      </c>
      <c r="I24">
        <f t="shared" si="64"/>
        <v>0.37034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0.12766843478326573</v>
      </c>
      <c r="P24" s="4">
        <v>4</v>
      </c>
      <c r="Q24" s="5">
        <f t="shared" si="67"/>
        <v>3.7671100000000002</v>
      </c>
      <c r="R24" s="5">
        <f t="shared" si="67"/>
        <v>0.37034</v>
      </c>
      <c r="S24" s="5">
        <f t="shared" si="68"/>
        <v>3.1389444075000004</v>
      </c>
      <c r="T24" s="5">
        <f t="shared" si="69"/>
        <v>0.18833666445000002</v>
      </c>
      <c r="U24" s="5">
        <f t="shared" si="70"/>
        <v>0.42999238458904115</v>
      </c>
      <c r="V24" s="5">
        <f t="shared" si="63"/>
        <v>0.12766843478326573</v>
      </c>
      <c r="W24" s="19"/>
      <c r="X24" s="37">
        <f t="shared" si="12"/>
        <v>4.3210044618169186E-2</v>
      </c>
      <c r="Y24" s="38">
        <f t="shared" si="13"/>
        <v>0.66034824428571437</v>
      </c>
      <c r="Z24" s="38">
        <f t="shared" si="13"/>
        <v>3.9620894657142858E-2</v>
      </c>
      <c r="AA24" s="38">
        <f t="shared" si="13"/>
        <v>9.0458663600782793E-2</v>
      </c>
      <c r="AB24" s="43">
        <f t="shared" si="37"/>
        <v>0.4900122818529013</v>
      </c>
      <c r="AC24" s="39">
        <f t="shared" si="14"/>
        <v>2.0387499999999998</v>
      </c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7397.2</v>
      </c>
      <c r="D25">
        <v>28919.8</v>
      </c>
      <c r="E25">
        <v>4969.8</v>
      </c>
      <c r="F25">
        <f t="shared" si="60"/>
        <v>2.8919799999999998</v>
      </c>
      <c r="G25">
        <f t="shared" si="61"/>
        <v>0.73971999999999993</v>
      </c>
      <c r="H25">
        <f t="shared" si="62"/>
        <v>2.1522600000000001</v>
      </c>
      <c r="I25">
        <f t="shared" si="64"/>
        <v>0.49698000000000003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9.2293571066949256E-2</v>
      </c>
      <c r="P25" s="4">
        <v>4</v>
      </c>
      <c r="Q25" s="5">
        <f t="shared" si="67"/>
        <v>2.1522600000000001</v>
      </c>
      <c r="R25" s="5">
        <f t="shared" si="67"/>
        <v>0.49698000000000003</v>
      </c>
      <c r="S25" s="5">
        <f t="shared" si="68"/>
        <v>1.793370645</v>
      </c>
      <c r="T25" s="5">
        <f t="shared" si="69"/>
        <v>0.10760223869999999</v>
      </c>
      <c r="U25" s="5">
        <f t="shared" si="70"/>
        <v>0.24566721164383562</v>
      </c>
      <c r="V25" s="5">
        <f t="shared" si="63"/>
        <v>9.2293571066949256E-2</v>
      </c>
      <c r="W25" s="19"/>
      <c r="X25" s="20"/>
      <c r="Y25" s="21"/>
      <c r="Z25" s="18"/>
      <c r="AA25" s="22">
        <f>MAX(AA14:AA24)</f>
        <v>1.6175170753424659</v>
      </c>
      <c r="AB25" s="17"/>
      <c r="AC25" s="26">
        <f>MIN(AC14:AC24)</f>
        <v>0.37795000000000001</v>
      </c>
      <c r="AG25" s="22">
        <f>MAX(AG14:AG24)</f>
        <v>1.0025146547945205</v>
      </c>
      <c r="AI25" s="26">
        <f>MIN(AI14:AI24)</f>
        <v>0.31741999999999998</v>
      </c>
      <c r="AM25" s="22">
        <f>MAX(AM14:AM24)</f>
        <v>0.90950112602739719</v>
      </c>
      <c r="AO25" s="26">
        <f>MIN(AO14:AO24)</f>
        <v>0.36280999999999997</v>
      </c>
      <c r="AS25" s="22">
        <f>MAX(AS14:AS24)</f>
        <v>0.7509720794520548</v>
      </c>
      <c r="AU25" s="26">
        <f>MIN(AU14:AU24)</f>
        <v>0.43409999999999999</v>
      </c>
      <c r="AY25" s="22">
        <f>MAX(AY14:AY24)</f>
        <v>0.81831085479452048</v>
      </c>
      <c r="BA25" s="26">
        <f>MIN(BA14:BA24)</f>
        <v>0.4234</v>
      </c>
      <c r="BE25" s="22">
        <f>MAX(BE14:BE24)</f>
        <v>0.71039318493150672</v>
      </c>
      <c r="BG25" s="26">
        <f>MIN(BG14:BG24)</f>
        <v>0.51014999999999999</v>
      </c>
      <c r="BK25" s="22">
        <f>MAX(BK14:BK24)</f>
        <v>0.82821245205479455</v>
      </c>
      <c r="BM25" s="26">
        <f>MIN(BM14:BM24)</f>
        <v>0.29017999999999999</v>
      </c>
      <c r="BQ25" s="22">
        <f>MAX(BQ14:BQ24)</f>
        <v>0.73979511506849338</v>
      </c>
      <c r="BS25" s="26">
        <f>MIN(BS14:BS24)</f>
        <v>0.28655000000000003</v>
      </c>
      <c r="BW25" s="22">
        <f>MAX(BW14:BW24)</f>
        <v>0.83038270684931526</v>
      </c>
      <c r="BY25" s="26">
        <f>MIN(BY14:BY24)</f>
        <v>0.52773000000000003</v>
      </c>
      <c r="CC25" s="22">
        <f>MAX(CC14:CC24)</f>
        <v>0.58826841232876714</v>
      </c>
      <c r="CE25" s="26">
        <f>MIN(CE14:CE24)</f>
        <v>0.50936000000000003</v>
      </c>
      <c r="CI25" s="22">
        <f>MAX(CI14:CI24)</f>
        <v>0.52590783013698639</v>
      </c>
      <c r="CK25" s="26">
        <f>MIN(CK14:CK24)</f>
        <v>0.68206</v>
      </c>
      <c r="CO25" s="22">
        <f>MAX(CO14:CO24)</f>
        <v>0.69898793287671224</v>
      </c>
      <c r="CQ25" s="26">
        <f>MIN(CQ14:CQ24)</f>
        <v>0.73065000000000002</v>
      </c>
    </row>
    <row r="26" spans="2:95" x14ac:dyDescent="0.3">
      <c r="B26">
        <v>8</v>
      </c>
      <c r="C26">
        <v>1135.8</v>
      </c>
      <c r="D26">
        <v>23722.1</v>
      </c>
      <c r="E26">
        <v>5185</v>
      </c>
      <c r="F26">
        <f t="shared" si="60"/>
        <v>2.3722099999999999</v>
      </c>
      <c r="G26">
        <f t="shared" si="61"/>
        <v>0.11358</v>
      </c>
      <c r="H26">
        <f t="shared" si="62"/>
        <v>2.2586300000000001</v>
      </c>
      <c r="I26">
        <f t="shared" si="64"/>
        <v>0.51849999999999996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7.7398826646892196E-2</v>
      </c>
      <c r="P26" s="4">
        <v>5</v>
      </c>
      <c r="Q26" s="5">
        <f t="shared" si="67"/>
        <v>2.2586300000000001</v>
      </c>
      <c r="R26" s="5">
        <f t="shared" si="67"/>
        <v>0.51849999999999996</v>
      </c>
      <c r="S26" s="5">
        <f t="shared" si="68"/>
        <v>1.5056027580000002</v>
      </c>
      <c r="T26" s="5">
        <f t="shared" si="69"/>
        <v>9.0336165480000008E-2</v>
      </c>
      <c r="U26" s="5">
        <f t="shared" si="70"/>
        <v>0.20624695315068498</v>
      </c>
      <c r="V26" s="5">
        <f t="shared" si="63"/>
        <v>7.7398826646892196E-2</v>
      </c>
      <c r="W26" s="19"/>
      <c r="X26" s="20"/>
      <c r="Y26" s="21"/>
      <c r="Z26" s="18"/>
    </row>
    <row r="27" spans="2:95" x14ac:dyDescent="0.3">
      <c r="B27">
        <v>9</v>
      </c>
      <c r="C27">
        <v>-4229.3</v>
      </c>
      <c r="D27">
        <v>19917.3</v>
      </c>
      <c r="E27">
        <v>6101.3</v>
      </c>
      <c r="F27">
        <f t="shared" si="60"/>
        <v>1.99173</v>
      </c>
      <c r="G27">
        <f t="shared" si="61"/>
        <v>-0.42293000000000003</v>
      </c>
      <c r="H27">
        <f t="shared" si="62"/>
        <v>2.41466</v>
      </c>
      <c r="I27">
        <f t="shared" si="64"/>
        <v>0.61013000000000006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6.2377950673852663E-2</v>
      </c>
      <c r="P27" s="4">
        <v>8</v>
      </c>
      <c r="Q27" s="5">
        <f t="shared" si="67"/>
        <v>2.41466</v>
      </c>
      <c r="R27" s="5">
        <f t="shared" si="67"/>
        <v>0.61013000000000006</v>
      </c>
      <c r="S27" s="5">
        <f t="shared" si="68"/>
        <v>1.0060077225000001</v>
      </c>
      <c r="T27" s="5">
        <f t="shared" si="69"/>
        <v>6.0360463350000004E-2</v>
      </c>
      <c r="U27" s="5">
        <f t="shared" si="70"/>
        <v>0.13780927705479454</v>
      </c>
      <c r="V27" s="5">
        <f t="shared" si="63"/>
        <v>6.2377950673852663E-2</v>
      </c>
      <c r="W27" s="19"/>
      <c r="X27" s="20"/>
      <c r="Y27" s="21"/>
      <c r="Z27" s="17"/>
    </row>
    <row r="28" spans="2:95" x14ac:dyDescent="0.3">
      <c r="B28">
        <v>10</v>
      </c>
      <c r="C28">
        <v>-4696.5</v>
      </c>
      <c r="D28">
        <v>16883.2</v>
      </c>
      <c r="E28">
        <v>6136.5</v>
      </c>
      <c r="F28">
        <f t="shared" si="60"/>
        <v>1.68832</v>
      </c>
      <c r="G28">
        <f t="shared" si="61"/>
        <v>-0.46965000000000001</v>
      </c>
      <c r="H28">
        <f t="shared" si="62"/>
        <v>2.1579700000000002</v>
      </c>
      <c r="I28">
        <f t="shared" si="64"/>
        <v>0.61365000000000003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4.4669992642433591E-2</v>
      </c>
      <c r="P28" s="4">
        <v>14</v>
      </c>
      <c r="Q28" s="5">
        <f t="shared" si="67"/>
        <v>2.1579700000000002</v>
      </c>
      <c r="R28" s="5">
        <f t="shared" si="67"/>
        <v>0.61365000000000003</v>
      </c>
      <c r="S28" s="5">
        <f t="shared" si="68"/>
        <v>0.51375100071428581</v>
      </c>
      <c r="T28" s="5">
        <f t="shared" si="69"/>
        <v>3.0825060042857146E-2</v>
      </c>
      <c r="U28" s="5">
        <f t="shared" si="70"/>
        <v>7.0376849412915859E-2</v>
      </c>
      <c r="V28" s="5">
        <f t="shared" si="63"/>
        <v>4.4669992642433591E-2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2.8806696412112791E-2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2.8806696412112791E-2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-3308.1</v>
      </c>
      <c r="D33">
        <v>41096</v>
      </c>
      <c r="E33">
        <v>9360.9</v>
      </c>
      <c r="F33">
        <f t="shared" ref="F33:F43" si="72">D33/10000</f>
        <v>4.1096000000000004</v>
      </c>
      <c r="G33">
        <f t="shared" ref="G33:G43" si="73">C33/10000</f>
        <v>-0.33080999999999999</v>
      </c>
      <c r="H33">
        <f t="shared" ref="H33:H43" si="74">F33-G33</f>
        <v>4.44041</v>
      </c>
      <c r="I33">
        <f>E33/10000</f>
        <v>0.93608999999999998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0.41293583862511801</v>
      </c>
      <c r="P33" s="2">
        <v>3</v>
      </c>
      <c r="Q33" s="8">
        <f>H33</f>
        <v>4.44041</v>
      </c>
      <c r="R33" s="8">
        <f>I33</f>
        <v>0.93608999999999998</v>
      </c>
      <c r="S33" s="8">
        <f>Q33/10^6*$Z$4*$Z$3/P33*10^12</f>
        <v>4.9332955099999989</v>
      </c>
      <c r="T33" s="8">
        <f>S33*0.06</f>
        <v>0.2959977305999999</v>
      </c>
      <c r="U33" s="8">
        <f>S33/$Z$1</f>
        <v>0.67579390547945195</v>
      </c>
      <c r="V33" s="12">
        <f t="shared" ref="V33:V43" si="75">O33</f>
        <v>0.41293583862511801</v>
      </c>
    </row>
    <row r="34" spans="2:22" x14ac:dyDescent="0.3">
      <c r="B34">
        <v>2</v>
      </c>
      <c r="C34">
        <v>2992.9</v>
      </c>
      <c r="D34">
        <v>38213.800000000003</v>
      </c>
      <c r="E34">
        <v>7327.5</v>
      </c>
      <c r="F34">
        <f t="shared" si="72"/>
        <v>3.8213800000000004</v>
      </c>
      <c r="G34">
        <f t="shared" si="73"/>
        <v>0.29929</v>
      </c>
      <c r="H34">
        <f t="shared" si="74"/>
        <v>3.5220900000000004</v>
      </c>
      <c r="I34">
        <f t="shared" ref="I34:I43" si="76">E34/10000</f>
        <v>0.73275000000000001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0.3662899121038638</v>
      </c>
      <c r="P34" s="4">
        <v>3</v>
      </c>
      <c r="Q34" s="5">
        <f t="shared" ref="Q34:R43" si="79">H34</f>
        <v>3.5220900000000004</v>
      </c>
      <c r="R34" s="5">
        <f t="shared" si="79"/>
        <v>0.73275000000000001</v>
      </c>
      <c r="S34" s="5">
        <f t="shared" ref="S34:S43" si="80">Q34/10^6*$Z$4*$Z$3/P34*10^12</f>
        <v>3.9130419900000004</v>
      </c>
      <c r="T34" s="5">
        <f t="shared" ref="T34:T43" si="81">S34*0.06</f>
        <v>0.23478251940000003</v>
      </c>
      <c r="U34" s="5">
        <f t="shared" ref="U34:U43" si="82">S34/$Z$1</f>
        <v>0.53603314931506851</v>
      </c>
      <c r="V34" s="5">
        <f t="shared" si="75"/>
        <v>0.3662899121038638</v>
      </c>
    </row>
    <row r="35" spans="2:22" x14ac:dyDescent="0.3">
      <c r="B35">
        <v>3</v>
      </c>
      <c r="C35">
        <v>-4843.1000000000004</v>
      </c>
      <c r="D35">
        <v>54917.1</v>
      </c>
      <c r="E35">
        <v>4435.8</v>
      </c>
      <c r="F35">
        <f t="shared" si="72"/>
        <v>5.4917099999999994</v>
      </c>
      <c r="G35">
        <f t="shared" si="73"/>
        <v>-0.48431000000000002</v>
      </c>
      <c r="H35">
        <f t="shared" si="74"/>
        <v>5.9760199999999992</v>
      </c>
      <c r="I35">
        <f t="shared" si="76"/>
        <v>0.44358000000000003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0.31599600571139608</v>
      </c>
      <c r="P35" s="4">
        <v>3</v>
      </c>
      <c r="Q35" s="5">
        <f t="shared" si="79"/>
        <v>5.9760199999999992</v>
      </c>
      <c r="R35" s="5">
        <f t="shared" si="79"/>
        <v>0.44358000000000003</v>
      </c>
      <c r="S35" s="5">
        <f t="shared" si="80"/>
        <v>6.6393582199999992</v>
      </c>
      <c r="T35" s="5">
        <f t="shared" si="81"/>
        <v>0.39836149319999992</v>
      </c>
      <c r="U35" s="5">
        <f t="shared" si="82"/>
        <v>0.90950112602739719</v>
      </c>
      <c r="V35" s="5">
        <f t="shared" si="75"/>
        <v>0.31599600571139608</v>
      </c>
    </row>
    <row r="36" spans="2:22" x14ac:dyDescent="0.3">
      <c r="B36">
        <v>4</v>
      </c>
      <c r="C36">
        <v>-280.39999999999998</v>
      </c>
      <c r="D36">
        <v>41215.1</v>
      </c>
      <c r="E36">
        <v>4445.3</v>
      </c>
      <c r="F36">
        <f t="shared" si="72"/>
        <v>4.1215099999999998</v>
      </c>
      <c r="G36">
        <f t="shared" si="73"/>
        <v>-2.8039999999999999E-2</v>
      </c>
      <c r="H36">
        <f t="shared" si="74"/>
        <v>4.1495499999999996</v>
      </c>
      <c r="I36">
        <f t="shared" si="76"/>
        <v>0.44453000000000004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0.19139110420604744</v>
      </c>
      <c r="P36" s="4">
        <v>3</v>
      </c>
      <c r="Q36" s="5">
        <f t="shared" si="79"/>
        <v>4.1495499999999996</v>
      </c>
      <c r="R36" s="5">
        <f t="shared" si="79"/>
        <v>0.44453000000000004</v>
      </c>
      <c r="S36" s="5">
        <f t="shared" si="80"/>
        <v>4.6101500500000006</v>
      </c>
      <c r="T36" s="5">
        <f t="shared" si="81"/>
        <v>0.27660900300000002</v>
      </c>
      <c r="U36" s="5">
        <f t="shared" si="82"/>
        <v>0.63152740410958919</v>
      </c>
      <c r="V36" s="5">
        <f t="shared" si="75"/>
        <v>0.19139110420604744</v>
      </c>
    </row>
    <row r="37" spans="2:22" x14ac:dyDescent="0.3">
      <c r="B37">
        <v>5</v>
      </c>
      <c r="C37">
        <v>9749.4</v>
      </c>
      <c r="D37">
        <v>37847.1</v>
      </c>
      <c r="E37">
        <v>3628.1</v>
      </c>
      <c r="F37">
        <f t="shared" si="72"/>
        <v>3.78471</v>
      </c>
      <c r="G37">
        <f t="shared" si="73"/>
        <v>0.97493999999999992</v>
      </c>
      <c r="H37">
        <f t="shared" si="74"/>
        <v>2.8097700000000003</v>
      </c>
      <c r="I37">
        <f t="shared" si="76"/>
        <v>0.36280999999999997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0.13833047503419857</v>
      </c>
      <c r="P37" s="4">
        <v>3</v>
      </c>
      <c r="Q37" s="5">
        <f t="shared" si="79"/>
        <v>2.8097700000000003</v>
      </c>
      <c r="R37" s="5">
        <f t="shared" si="79"/>
        <v>0.36280999999999997</v>
      </c>
      <c r="S37" s="5">
        <f t="shared" si="80"/>
        <v>3.1216544700000006</v>
      </c>
      <c r="T37" s="5">
        <f t="shared" si="81"/>
        <v>0.18729926820000004</v>
      </c>
      <c r="U37" s="5">
        <f t="shared" si="82"/>
        <v>0.42762390000000011</v>
      </c>
      <c r="V37" s="5">
        <f t="shared" si="75"/>
        <v>0.13833047503419857</v>
      </c>
    </row>
    <row r="38" spans="2:22" x14ac:dyDescent="0.3">
      <c r="B38">
        <v>6</v>
      </c>
      <c r="C38">
        <v>3778.3</v>
      </c>
      <c r="D38">
        <v>30482.6</v>
      </c>
      <c r="E38">
        <v>6429.6</v>
      </c>
      <c r="F38">
        <f t="shared" si="72"/>
        <v>3.04826</v>
      </c>
      <c r="G38">
        <f t="shared" si="73"/>
        <v>0.37783</v>
      </c>
      <c r="H38">
        <f t="shared" si="74"/>
        <v>2.6704300000000001</v>
      </c>
      <c r="I38">
        <f t="shared" si="76"/>
        <v>0.64296000000000009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9.5751326087449296E-2</v>
      </c>
      <c r="P38" s="4">
        <v>4</v>
      </c>
      <c r="Q38" s="5">
        <f t="shared" si="79"/>
        <v>2.6704300000000001</v>
      </c>
      <c r="R38" s="5">
        <f t="shared" si="79"/>
        <v>0.64296000000000009</v>
      </c>
      <c r="S38" s="5">
        <f t="shared" si="80"/>
        <v>2.2251357975000006</v>
      </c>
      <c r="T38" s="5">
        <f t="shared" si="81"/>
        <v>0.13350814785000004</v>
      </c>
      <c r="U38" s="5">
        <f t="shared" si="82"/>
        <v>0.30481312294520557</v>
      </c>
      <c r="V38" s="5">
        <f t="shared" si="75"/>
        <v>9.5751326087449296E-2</v>
      </c>
    </row>
    <row r="39" spans="2:22" x14ac:dyDescent="0.3">
      <c r="B39">
        <v>7</v>
      </c>
      <c r="C39">
        <v>5162</v>
      </c>
      <c r="D39">
        <v>27857.1</v>
      </c>
      <c r="E39">
        <v>5850.3</v>
      </c>
      <c r="F39">
        <f t="shared" si="72"/>
        <v>2.7857099999999999</v>
      </c>
      <c r="G39">
        <f t="shared" si="73"/>
        <v>0.51619999999999999</v>
      </c>
      <c r="H39">
        <f t="shared" si="74"/>
        <v>2.2695099999999999</v>
      </c>
      <c r="I39">
        <f t="shared" si="76"/>
        <v>0.58503000000000005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6.9220178300211946E-2</v>
      </c>
      <c r="P39" s="4">
        <v>4</v>
      </c>
      <c r="Q39" s="5">
        <f t="shared" si="79"/>
        <v>2.2695099999999999</v>
      </c>
      <c r="R39" s="5">
        <f t="shared" si="79"/>
        <v>0.58503000000000005</v>
      </c>
      <c r="S39" s="5">
        <f t="shared" si="80"/>
        <v>1.8910692075</v>
      </c>
      <c r="T39" s="5">
        <f t="shared" si="81"/>
        <v>0.11346415244999999</v>
      </c>
      <c r="U39" s="5">
        <f t="shared" si="82"/>
        <v>0.25905057636986301</v>
      </c>
      <c r="V39" s="5">
        <f t="shared" si="75"/>
        <v>6.9220178300211946E-2</v>
      </c>
    </row>
    <row r="40" spans="2:22" x14ac:dyDescent="0.3">
      <c r="B40">
        <v>8</v>
      </c>
      <c r="C40">
        <v>7400.8</v>
      </c>
      <c r="D40">
        <v>25998.400000000001</v>
      </c>
      <c r="E40">
        <v>4843.2</v>
      </c>
      <c r="F40">
        <f t="shared" si="72"/>
        <v>2.5998399999999999</v>
      </c>
      <c r="G40">
        <f t="shared" si="73"/>
        <v>0.74008000000000007</v>
      </c>
      <c r="H40">
        <f t="shared" si="74"/>
        <v>1.8597599999999999</v>
      </c>
      <c r="I40">
        <f t="shared" si="76"/>
        <v>0.48431999999999997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5.8049119985169144E-2</v>
      </c>
      <c r="P40" s="4">
        <v>5</v>
      </c>
      <c r="Q40" s="5">
        <f t="shared" si="79"/>
        <v>1.8597599999999999</v>
      </c>
      <c r="R40" s="5">
        <f t="shared" si="79"/>
        <v>0.48431999999999997</v>
      </c>
      <c r="S40" s="5">
        <f t="shared" si="80"/>
        <v>1.2397160159999998</v>
      </c>
      <c r="T40" s="5">
        <f t="shared" si="81"/>
        <v>7.438296095999998E-2</v>
      </c>
      <c r="U40" s="5">
        <f t="shared" si="82"/>
        <v>0.16982411178082191</v>
      </c>
      <c r="V40" s="5">
        <f t="shared" si="75"/>
        <v>5.8049119985169144E-2</v>
      </c>
    </row>
    <row r="41" spans="2:22" x14ac:dyDescent="0.3">
      <c r="B41">
        <v>9</v>
      </c>
      <c r="C41">
        <v>10376</v>
      </c>
      <c r="D41">
        <v>23928.5</v>
      </c>
      <c r="E41">
        <v>6062.4</v>
      </c>
      <c r="F41">
        <f t="shared" si="72"/>
        <v>2.3928500000000001</v>
      </c>
      <c r="G41">
        <f t="shared" si="73"/>
        <v>1.0376000000000001</v>
      </c>
      <c r="H41">
        <f t="shared" si="74"/>
        <v>1.3552500000000001</v>
      </c>
      <c r="I41">
        <f t="shared" si="76"/>
        <v>0.60624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4.6783463005389499E-2</v>
      </c>
      <c r="P41" s="4">
        <v>8</v>
      </c>
      <c r="Q41" s="5">
        <f t="shared" si="79"/>
        <v>1.3552500000000001</v>
      </c>
      <c r="R41" s="5">
        <f t="shared" si="79"/>
        <v>0.60624</v>
      </c>
      <c r="S41" s="5">
        <f t="shared" si="80"/>
        <v>0.56463103125000003</v>
      </c>
      <c r="T41" s="5">
        <f t="shared" si="81"/>
        <v>3.3877861874999998E-2</v>
      </c>
      <c r="U41" s="5">
        <f t="shared" si="82"/>
        <v>7.7346716609589042E-2</v>
      </c>
      <c r="V41" s="5">
        <f t="shared" si="75"/>
        <v>4.6783463005389499E-2</v>
      </c>
    </row>
    <row r="42" spans="2:22" x14ac:dyDescent="0.3">
      <c r="B42">
        <v>10</v>
      </c>
      <c r="C42">
        <v>7049.7</v>
      </c>
      <c r="D42">
        <v>34308.9</v>
      </c>
      <c r="E42">
        <v>5983.9</v>
      </c>
      <c r="F42">
        <f t="shared" si="72"/>
        <v>3.4308900000000002</v>
      </c>
      <c r="G42">
        <f t="shared" si="73"/>
        <v>0.70496999999999999</v>
      </c>
      <c r="H42">
        <f t="shared" si="74"/>
        <v>2.7259200000000003</v>
      </c>
      <c r="I42">
        <f t="shared" si="76"/>
        <v>0.59838999999999998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3.3502494481825192E-2</v>
      </c>
      <c r="P42" s="4">
        <v>14</v>
      </c>
      <c r="Q42" s="5">
        <f t="shared" si="79"/>
        <v>2.7259200000000003</v>
      </c>
      <c r="R42" s="5">
        <f t="shared" si="79"/>
        <v>0.59838999999999998</v>
      </c>
      <c r="S42" s="5">
        <f t="shared" si="80"/>
        <v>0.64896366857142862</v>
      </c>
      <c r="T42" s="5">
        <f t="shared" si="81"/>
        <v>3.8937820114285718E-2</v>
      </c>
      <c r="U42" s="5">
        <f t="shared" si="82"/>
        <v>8.8899132681017623E-2</v>
      </c>
      <c r="V42" s="5">
        <f t="shared" si="75"/>
        <v>3.3502494481825192E-2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2.1605022309084593E-2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2.1605022309084593E-2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6866.3</v>
      </c>
      <c r="D47">
        <v>44502.6</v>
      </c>
      <c r="E47">
        <v>8327</v>
      </c>
      <c r="F47">
        <f t="shared" ref="F47:F57" si="84">D47/10000</f>
        <v>4.4502600000000001</v>
      </c>
      <c r="G47">
        <f t="shared" ref="G47:G57" si="85">C47/10000</f>
        <v>0.68663000000000007</v>
      </c>
      <c r="H47">
        <f t="shared" ref="H47:H57" si="86">F47-G47</f>
        <v>3.76363</v>
      </c>
      <c r="I47">
        <f>E47/10000</f>
        <v>0.8327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0.3303486709000944</v>
      </c>
      <c r="P47" s="2">
        <v>3</v>
      </c>
      <c r="Q47" s="8">
        <f>H47</f>
        <v>3.76363</v>
      </c>
      <c r="R47" s="8">
        <f>I47</f>
        <v>0.8327</v>
      </c>
      <c r="S47" s="8">
        <f>Q47/10^6*$Z$4*$Z$3/P47*10^12</f>
        <v>4.1813929299999995</v>
      </c>
      <c r="T47" s="8">
        <f>S47*0.06</f>
        <v>0.25088357579999998</v>
      </c>
      <c r="U47" s="8">
        <f>S47/$Z$1</f>
        <v>0.57279355205479443</v>
      </c>
      <c r="V47" s="12">
        <f t="shared" ref="V47:V57" si="87">O47</f>
        <v>0.3303486709000944</v>
      </c>
    </row>
    <row r="48" spans="2:22" x14ac:dyDescent="0.3">
      <c r="B48">
        <v>2</v>
      </c>
      <c r="C48">
        <v>8876</v>
      </c>
      <c r="D48">
        <v>58219.8</v>
      </c>
      <c r="E48">
        <v>4693.1000000000004</v>
      </c>
      <c r="F48">
        <f t="shared" si="84"/>
        <v>5.8219799999999999</v>
      </c>
      <c r="G48">
        <f t="shared" si="85"/>
        <v>0.88759999999999994</v>
      </c>
      <c r="H48">
        <f t="shared" si="86"/>
        <v>4.93438</v>
      </c>
      <c r="I48">
        <f t="shared" ref="I48:I57" si="88">E48/10000</f>
        <v>0.46931000000000006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0.29303192968309105</v>
      </c>
      <c r="P48" s="4">
        <v>3</v>
      </c>
      <c r="Q48" s="5">
        <f t="shared" ref="Q48:R57" si="91">H48</f>
        <v>4.93438</v>
      </c>
      <c r="R48" s="5">
        <f t="shared" si="91"/>
        <v>0.46931000000000006</v>
      </c>
      <c r="S48" s="5">
        <f t="shared" ref="S48:S57" si="92">Q48/10^6*$Z$4*$Z$3/P48*10^12</f>
        <v>5.4820961800000001</v>
      </c>
      <c r="T48" s="5">
        <f t="shared" ref="T48:T57" si="93">S48*0.06</f>
        <v>0.32892577080000002</v>
      </c>
      <c r="U48" s="5">
        <f t="shared" ref="U48:U57" si="94">S48/$Z$1</f>
        <v>0.7509720794520548</v>
      </c>
      <c r="V48" s="5">
        <f t="shared" si="87"/>
        <v>0.29303192968309105</v>
      </c>
    </row>
    <row r="49" spans="2:22" x14ac:dyDescent="0.3">
      <c r="B49">
        <v>3</v>
      </c>
      <c r="C49">
        <v>47268</v>
      </c>
      <c r="D49">
        <v>56100.3</v>
      </c>
      <c r="E49">
        <v>4837.8</v>
      </c>
      <c r="F49">
        <f t="shared" si="84"/>
        <v>5.6100300000000001</v>
      </c>
      <c r="G49">
        <f t="shared" si="85"/>
        <v>4.7267999999999999</v>
      </c>
      <c r="H49">
        <f t="shared" si="86"/>
        <v>0.88323000000000018</v>
      </c>
      <c r="I49">
        <f t="shared" si="88"/>
        <v>0.48378000000000004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0.25279680456911685</v>
      </c>
      <c r="P49" s="4">
        <v>3</v>
      </c>
      <c r="Q49" s="5">
        <f t="shared" si="91"/>
        <v>0.88323000000000018</v>
      </c>
      <c r="R49" s="5">
        <f t="shared" si="91"/>
        <v>0.48378000000000004</v>
      </c>
      <c r="S49" s="5">
        <f t="shared" si="92"/>
        <v>0.98126853000000036</v>
      </c>
      <c r="T49" s="5">
        <f t="shared" si="93"/>
        <v>5.8876111800000019E-2</v>
      </c>
      <c r="U49" s="5">
        <f t="shared" si="94"/>
        <v>0.13442034657534252</v>
      </c>
      <c r="V49" s="5">
        <f t="shared" si="87"/>
        <v>0.25279680456911685</v>
      </c>
    </row>
    <row r="50" spans="2:22" x14ac:dyDescent="0.3">
      <c r="B50">
        <v>4</v>
      </c>
      <c r="C50">
        <v>7326.9</v>
      </c>
      <c r="D50">
        <v>45486.5</v>
      </c>
      <c r="E50">
        <v>5603.7</v>
      </c>
      <c r="F50">
        <f t="shared" si="84"/>
        <v>4.5486500000000003</v>
      </c>
      <c r="G50">
        <f t="shared" si="85"/>
        <v>0.73268999999999995</v>
      </c>
      <c r="H50">
        <f t="shared" si="86"/>
        <v>3.8159600000000005</v>
      </c>
      <c r="I50">
        <f t="shared" si="88"/>
        <v>0.56037000000000003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0.15311288336483794</v>
      </c>
      <c r="P50" s="4">
        <v>3</v>
      </c>
      <c r="Q50" s="5">
        <f t="shared" si="91"/>
        <v>3.8159600000000005</v>
      </c>
      <c r="R50" s="5">
        <f t="shared" si="91"/>
        <v>0.56037000000000003</v>
      </c>
      <c r="S50" s="5">
        <f t="shared" si="92"/>
        <v>4.2395315599999996</v>
      </c>
      <c r="T50" s="5">
        <f t="shared" si="93"/>
        <v>0.25437189359999995</v>
      </c>
      <c r="U50" s="5">
        <f t="shared" si="94"/>
        <v>0.5807577479452054</v>
      </c>
      <c r="V50" s="5">
        <f t="shared" si="87"/>
        <v>0.15311288336483794</v>
      </c>
    </row>
    <row r="51" spans="2:22" x14ac:dyDescent="0.3">
      <c r="B51">
        <v>5</v>
      </c>
      <c r="C51">
        <v>6773.9</v>
      </c>
      <c r="D51">
        <v>36793.199999999997</v>
      </c>
      <c r="E51">
        <v>4341</v>
      </c>
      <c r="F51">
        <f t="shared" si="84"/>
        <v>3.6793199999999997</v>
      </c>
      <c r="G51">
        <f t="shared" si="85"/>
        <v>0.67738999999999994</v>
      </c>
      <c r="H51">
        <f t="shared" si="86"/>
        <v>3.0019299999999998</v>
      </c>
      <c r="I51">
        <f t="shared" si="88"/>
        <v>0.43409999999999999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0.11066438002735884</v>
      </c>
      <c r="P51" s="4">
        <v>3</v>
      </c>
      <c r="Q51" s="5">
        <f t="shared" si="91"/>
        <v>3.0019299999999998</v>
      </c>
      <c r="R51" s="5">
        <f t="shared" si="91"/>
        <v>0.43409999999999999</v>
      </c>
      <c r="S51" s="5">
        <f t="shared" si="92"/>
        <v>3.33514423</v>
      </c>
      <c r="T51" s="5">
        <f t="shared" si="93"/>
        <v>0.20010865380000001</v>
      </c>
      <c r="U51" s="5">
        <f t="shared" si="94"/>
        <v>0.45686907260273973</v>
      </c>
      <c r="V51" s="5">
        <f t="shared" si="87"/>
        <v>0.11066438002735884</v>
      </c>
    </row>
    <row r="52" spans="2:22" x14ac:dyDescent="0.3">
      <c r="B52">
        <v>6</v>
      </c>
      <c r="C52">
        <v>10631.9</v>
      </c>
      <c r="D52">
        <v>30234.5</v>
      </c>
      <c r="E52">
        <v>4376.7</v>
      </c>
      <c r="F52">
        <f t="shared" si="84"/>
        <v>3.02345</v>
      </c>
      <c r="G52">
        <f t="shared" si="85"/>
        <v>1.0631899999999999</v>
      </c>
      <c r="H52">
        <f t="shared" si="86"/>
        <v>1.9602600000000001</v>
      </c>
      <c r="I52">
        <f t="shared" si="88"/>
        <v>0.43767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7.6601060869959436E-2</v>
      </c>
      <c r="P52" s="4">
        <v>4</v>
      </c>
      <c r="Q52" s="5">
        <f t="shared" si="91"/>
        <v>1.9602600000000001</v>
      </c>
      <c r="R52" s="5">
        <f t="shared" si="91"/>
        <v>0.43767</v>
      </c>
      <c r="S52" s="5">
        <f t="shared" si="92"/>
        <v>1.6333866450000003</v>
      </c>
      <c r="T52" s="5">
        <f t="shared" si="93"/>
        <v>9.8003198700000016E-2</v>
      </c>
      <c r="U52" s="5">
        <f t="shared" si="94"/>
        <v>0.22375159520547949</v>
      </c>
      <c r="V52" s="5">
        <f t="shared" si="87"/>
        <v>7.6601060869959436E-2</v>
      </c>
    </row>
    <row r="53" spans="2:22" x14ac:dyDescent="0.3">
      <c r="B53">
        <v>7</v>
      </c>
      <c r="C53">
        <v>16389.8</v>
      </c>
      <c r="D53">
        <v>26289.7</v>
      </c>
      <c r="E53">
        <v>4852.3</v>
      </c>
      <c r="F53">
        <f t="shared" si="84"/>
        <v>2.6289700000000003</v>
      </c>
      <c r="G53">
        <f t="shared" si="85"/>
        <v>1.6389799999999999</v>
      </c>
      <c r="H53">
        <f t="shared" si="86"/>
        <v>0.98999000000000037</v>
      </c>
      <c r="I53">
        <f t="shared" si="88"/>
        <v>0.48522999999999999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5.5376142640169553E-2</v>
      </c>
      <c r="P53" s="4">
        <v>4</v>
      </c>
      <c r="Q53" s="5">
        <f t="shared" si="91"/>
        <v>0.98999000000000037</v>
      </c>
      <c r="R53" s="5">
        <f t="shared" si="91"/>
        <v>0.48522999999999999</v>
      </c>
      <c r="S53" s="5">
        <f t="shared" si="92"/>
        <v>0.82490916750000032</v>
      </c>
      <c r="T53" s="5">
        <f t="shared" si="93"/>
        <v>4.9494550050000016E-2</v>
      </c>
      <c r="U53" s="5">
        <f t="shared" si="94"/>
        <v>0.11300125582191785</v>
      </c>
      <c r="V53" s="5">
        <f t="shared" si="87"/>
        <v>5.5376142640169553E-2</v>
      </c>
    </row>
    <row r="54" spans="2:22" x14ac:dyDescent="0.3">
      <c r="B54">
        <v>8</v>
      </c>
      <c r="C54">
        <v>10430.299999999999</v>
      </c>
      <c r="D54">
        <v>20803.400000000001</v>
      </c>
      <c r="E54">
        <v>5209.7</v>
      </c>
      <c r="F54">
        <f t="shared" si="84"/>
        <v>2.0803400000000001</v>
      </c>
      <c r="G54">
        <f t="shared" si="85"/>
        <v>1.0430299999999999</v>
      </c>
      <c r="H54">
        <f t="shared" si="86"/>
        <v>1.0373100000000002</v>
      </c>
      <c r="I54">
        <f t="shared" si="88"/>
        <v>0.52096999999999993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4.6439295988135315E-2</v>
      </c>
      <c r="P54" s="4">
        <v>5</v>
      </c>
      <c r="Q54" s="5">
        <f t="shared" si="91"/>
        <v>1.0373100000000002</v>
      </c>
      <c r="R54" s="5">
        <f t="shared" si="91"/>
        <v>0.52096999999999993</v>
      </c>
      <c r="S54" s="5">
        <f t="shared" si="92"/>
        <v>0.69147084600000019</v>
      </c>
      <c r="T54" s="5">
        <f t="shared" si="93"/>
        <v>4.1488250760000012E-2</v>
      </c>
      <c r="U54" s="5">
        <f t="shared" si="94"/>
        <v>9.4722033698630165E-2</v>
      </c>
      <c r="V54" s="5">
        <f t="shared" si="87"/>
        <v>4.6439295988135315E-2</v>
      </c>
    </row>
    <row r="55" spans="2:22" x14ac:dyDescent="0.3">
      <c r="B55">
        <v>9</v>
      </c>
      <c r="C55">
        <v>6428.5</v>
      </c>
      <c r="D55">
        <v>19282</v>
      </c>
      <c r="E55">
        <v>5618.2</v>
      </c>
      <c r="F55">
        <f t="shared" si="84"/>
        <v>1.9281999999999999</v>
      </c>
      <c r="G55">
        <f t="shared" si="85"/>
        <v>0.64285000000000003</v>
      </c>
      <c r="H55">
        <f t="shared" si="86"/>
        <v>1.2853499999999998</v>
      </c>
      <c r="I55">
        <f t="shared" si="88"/>
        <v>0.56181999999999999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3.7426770404311603E-2</v>
      </c>
      <c r="P55" s="4">
        <v>8</v>
      </c>
      <c r="Q55" s="5">
        <f t="shared" si="91"/>
        <v>1.2853499999999998</v>
      </c>
      <c r="R55" s="5">
        <f t="shared" si="91"/>
        <v>0.56181999999999999</v>
      </c>
      <c r="S55" s="5">
        <f t="shared" si="92"/>
        <v>0.53550894374999991</v>
      </c>
      <c r="T55" s="5">
        <f t="shared" si="93"/>
        <v>3.213053662499999E-2</v>
      </c>
      <c r="U55" s="5">
        <f t="shared" si="94"/>
        <v>7.3357389554794511E-2</v>
      </c>
      <c r="V55" s="5">
        <f t="shared" si="87"/>
        <v>3.7426770404311603E-2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84"/>
        <v>0</v>
      </c>
      <c r="G56">
        <f t="shared" si="85"/>
        <v>0</v>
      </c>
      <c r="H56">
        <f t="shared" si="86"/>
        <v>0</v>
      </c>
      <c r="I56">
        <f t="shared" si="88"/>
        <v>0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2.6801995585460158E-2</v>
      </c>
      <c r="P56" s="4">
        <v>14</v>
      </c>
      <c r="Q56" s="5">
        <f t="shared" si="91"/>
        <v>0</v>
      </c>
      <c r="R56" s="5">
        <f t="shared" si="91"/>
        <v>0</v>
      </c>
      <c r="S56" s="5">
        <f t="shared" si="92"/>
        <v>0</v>
      </c>
      <c r="T56" s="5">
        <f t="shared" si="93"/>
        <v>0</v>
      </c>
      <c r="U56" s="5">
        <f t="shared" si="94"/>
        <v>0</v>
      </c>
      <c r="V56" s="5">
        <f t="shared" si="87"/>
        <v>2.6801995585460158E-2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1.7284017847267675E-2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1.7284017847267675E-2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3938.9</v>
      </c>
      <c r="D61">
        <v>43647.5</v>
      </c>
      <c r="E61">
        <v>7265.7</v>
      </c>
      <c r="F61">
        <f t="shared" ref="F61:F71" si="96">D61/10000</f>
        <v>4.3647499999999999</v>
      </c>
      <c r="G61">
        <f t="shared" ref="G61:G71" si="97">C61/10000</f>
        <v>0.39389000000000002</v>
      </c>
      <c r="H61">
        <f t="shared" ref="H61:H71" si="98">F61-G61</f>
        <v>3.9708600000000001</v>
      </c>
      <c r="I61">
        <f>E61/10000</f>
        <v>0.72656999999999994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0.27529055908341199</v>
      </c>
      <c r="P61" s="2">
        <v>3</v>
      </c>
      <c r="Q61" s="8">
        <f>H61</f>
        <v>3.9708600000000001</v>
      </c>
      <c r="R61" s="8">
        <f>I61</f>
        <v>0.72656999999999994</v>
      </c>
      <c r="S61" s="8">
        <f>Q61/10^6*$Z$4*$Z$3/P61*10^12</f>
        <v>4.4116254599999998</v>
      </c>
      <c r="T61" s="8">
        <f>S61*0.06</f>
        <v>0.26469752759999998</v>
      </c>
      <c r="U61" s="8">
        <f>S61/$Z$1</f>
        <v>0.60433225479452057</v>
      </c>
      <c r="V61" s="12">
        <f t="shared" ref="V61:V71" si="99">O61</f>
        <v>0.27529055908341199</v>
      </c>
    </row>
    <row r="62" spans="2:22" x14ac:dyDescent="0.3">
      <c r="B62">
        <v>2</v>
      </c>
      <c r="C62">
        <v>15064.3</v>
      </c>
      <c r="D62">
        <v>42346.400000000001</v>
      </c>
      <c r="E62">
        <v>6837.8</v>
      </c>
      <c r="F62">
        <f t="shared" si="96"/>
        <v>4.2346399999999997</v>
      </c>
      <c r="G62">
        <f t="shared" si="97"/>
        <v>1.5064299999999999</v>
      </c>
      <c r="H62">
        <f t="shared" si="98"/>
        <v>2.7282099999999998</v>
      </c>
      <c r="I62">
        <f t="shared" ref="I62:I71" si="100">E62/10000</f>
        <v>0.68378000000000005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0.24419327473590921</v>
      </c>
      <c r="P62" s="4">
        <v>3</v>
      </c>
      <c r="Q62" s="5">
        <f t="shared" ref="Q62:R71" si="103">H62</f>
        <v>2.7282099999999998</v>
      </c>
      <c r="R62" s="5">
        <f t="shared" si="103"/>
        <v>0.68378000000000005</v>
      </c>
      <c r="S62" s="5">
        <f t="shared" ref="S62:S71" si="104">Q62/10^6*$Z$4*$Z$3/P62*10^12</f>
        <v>3.0310413099999995</v>
      </c>
      <c r="T62" s="5">
        <f t="shared" ref="T62:T71" si="105">S62*0.06</f>
        <v>0.18186247859999996</v>
      </c>
      <c r="U62" s="5">
        <f t="shared" ref="U62:U71" si="106">S62/$Z$1</f>
        <v>0.41521113835616436</v>
      </c>
      <c r="V62" s="5">
        <f t="shared" si="99"/>
        <v>0.24419327473590921</v>
      </c>
    </row>
    <row r="63" spans="2:22" x14ac:dyDescent="0.3">
      <c r="B63">
        <v>3</v>
      </c>
      <c r="C63">
        <v>-4742.2</v>
      </c>
      <c r="D63">
        <v>49026.2</v>
      </c>
      <c r="E63">
        <v>4501.8</v>
      </c>
      <c r="F63">
        <f t="shared" si="96"/>
        <v>4.9026199999999998</v>
      </c>
      <c r="G63">
        <f t="shared" si="97"/>
        <v>-0.47421999999999997</v>
      </c>
      <c r="H63">
        <f t="shared" si="98"/>
        <v>5.3768399999999996</v>
      </c>
      <c r="I63">
        <f t="shared" si="100"/>
        <v>0.45018000000000002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0.21066400380759739</v>
      </c>
      <c r="P63" s="4">
        <v>3</v>
      </c>
      <c r="Q63" s="5">
        <f t="shared" si="103"/>
        <v>5.3768399999999996</v>
      </c>
      <c r="R63" s="5">
        <f t="shared" si="103"/>
        <v>0.45018000000000002</v>
      </c>
      <c r="S63" s="5">
        <f t="shared" si="104"/>
        <v>5.9736692399999995</v>
      </c>
      <c r="T63" s="5">
        <f t="shared" si="105"/>
        <v>0.35842015439999997</v>
      </c>
      <c r="U63" s="5">
        <f t="shared" si="106"/>
        <v>0.81831085479452048</v>
      </c>
      <c r="V63" s="5">
        <f t="shared" si="99"/>
        <v>0.21066400380759739</v>
      </c>
    </row>
    <row r="64" spans="2:22" x14ac:dyDescent="0.3">
      <c r="B64">
        <v>4</v>
      </c>
      <c r="C64">
        <v>2988.3</v>
      </c>
      <c r="D64">
        <v>23056.3</v>
      </c>
      <c r="E64">
        <v>5977</v>
      </c>
      <c r="F64">
        <f t="shared" si="96"/>
        <v>2.3056299999999998</v>
      </c>
      <c r="G64">
        <f t="shared" si="97"/>
        <v>0.29883000000000004</v>
      </c>
      <c r="H64">
        <f t="shared" si="98"/>
        <v>2.0067999999999997</v>
      </c>
      <c r="I64">
        <f t="shared" si="100"/>
        <v>0.59770000000000001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0.12759406947069829</v>
      </c>
      <c r="P64" s="4">
        <v>3</v>
      </c>
      <c r="Q64" s="5">
        <f t="shared" si="103"/>
        <v>2.0067999999999997</v>
      </c>
      <c r="R64" s="5">
        <f t="shared" si="103"/>
        <v>0.59770000000000001</v>
      </c>
      <c r="S64" s="5">
        <f t="shared" si="104"/>
        <v>2.2295547999999994</v>
      </c>
      <c r="T64" s="5">
        <f t="shared" si="105"/>
        <v>0.13377328799999996</v>
      </c>
      <c r="U64" s="5">
        <f t="shared" si="106"/>
        <v>0.30541846575342457</v>
      </c>
      <c r="V64" s="5">
        <f t="shared" si="99"/>
        <v>0.12759406947069829</v>
      </c>
    </row>
    <row r="65" spans="2:22" x14ac:dyDescent="0.3">
      <c r="B65">
        <v>5</v>
      </c>
      <c r="C65">
        <v>8308.6</v>
      </c>
      <c r="D65">
        <v>16446.099999999999</v>
      </c>
      <c r="E65">
        <v>4697.7</v>
      </c>
      <c r="F65">
        <f t="shared" si="96"/>
        <v>1.6446099999999999</v>
      </c>
      <c r="G65">
        <f t="shared" si="97"/>
        <v>0.83086000000000004</v>
      </c>
      <c r="H65">
        <f t="shared" si="98"/>
        <v>0.81374999999999986</v>
      </c>
      <c r="I65">
        <f t="shared" si="100"/>
        <v>0.46976999999999997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9.2220316689465717E-2</v>
      </c>
      <c r="P65" s="4">
        <v>3</v>
      </c>
      <c r="Q65" s="5">
        <f t="shared" si="103"/>
        <v>0.81374999999999986</v>
      </c>
      <c r="R65" s="5">
        <f t="shared" si="103"/>
        <v>0.46976999999999997</v>
      </c>
      <c r="S65" s="5">
        <f t="shared" si="104"/>
        <v>0.9040762499999998</v>
      </c>
      <c r="T65" s="5">
        <f t="shared" si="105"/>
        <v>5.4244574999999989E-2</v>
      </c>
      <c r="U65" s="5">
        <f t="shared" si="106"/>
        <v>0.12384606164383559</v>
      </c>
      <c r="V65" s="5">
        <f t="shared" si="99"/>
        <v>9.2220316689465717E-2</v>
      </c>
    </row>
    <row r="66" spans="2:22" x14ac:dyDescent="0.3">
      <c r="B66">
        <v>6</v>
      </c>
      <c r="C66">
        <v>2158.1</v>
      </c>
      <c r="D66">
        <v>18528.599999999999</v>
      </c>
      <c r="E66">
        <v>4363.3999999999996</v>
      </c>
      <c r="F66">
        <f t="shared" si="96"/>
        <v>1.85286</v>
      </c>
      <c r="G66">
        <f t="shared" si="97"/>
        <v>0.21581</v>
      </c>
      <c r="H66">
        <f t="shared" si="98"/>
        <v>1.6370499999999999</v>
      </c>
      <c r="I66">
        <f t="shared" si="100"/>
        <v>0.43633999999999995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6.3834217391632864E-2</v>
      </c>
      <c r="P66" s="4">
        <v>4</v>
      </c>
      <c r="Q66" s="5">
        <f t="shared" si="103"/>
        <v>1.6370499999999999</v>
      </c>
      <c r="R66" s="5">
        <f t="shared" si="103"/>
        <v>0.43633999999999995</v>
      </c>
      <c r="S66" s="5">
        <f t="shared" si="104"/>
        <v>1.3640719124999998</v>
      </c>
      <c r="T66" s="5">
        <f t="shared" si="105"/>
        <v>8.184431474999998E-2</v>
      </c>
      <c r="U66" s="5">
        <f t="shared" si="106"/>
        <v>0.1868591660958904</v>
      </c>
      <c r="V66" s="5">
        <f t="shared" si="99"/>
        <v>6.3834217391632864E-2</v>
      </c>
    </row>
    <row r="67" spans="2:22" x14ac:dyDescent="0.3">
      <c r="B67">
        <v>7</v>
      </c>
      <c r="C67">
        <v>-1725.1</v>
      </c>
      <c r="D67">
        <v>12444.5</v>
      </c>
      <c r="E67">
        <v>5394.5</v>
      </c>
      <c r="F67">
        <f t="shared" si="96"/>
        <v>1.2444500000000001</v>
      </c>
      <c r="G67">
        <f t="shared" si="97"/>
        <v>-0.17251</v>
      </c>
      <c r="H67">
        <f t="shared" si="98"/>
        <v>1.41696</v>
      </c>
      <c r="I67">
        <f t="shared" si="100"/>
        <v>0.53944999999999999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4.6146785533474628E-2</v>
      </c>
      <c r="P67" s="4">
        <v>4</v>
      </c>
      <c r="Q67" s="5">
        <f t="shared" si="103"/>
        <v>1.41696</v>
      </c>
      <c r="R67" s="5">
        <f t="shared" si="103"/>
        <v>0.53944999999999999</v>
      </c>
      <c r="S67" s="5">
        <f t="shared" si="104"/>
        <v>1.1806819199999998</v>
      </c>
      <c r="T67" s="5">
        <f t="shared" si="105"/>
        <v>7.0840915199999993E-2</v>
      </c>
      <c r="U67" s="5">
        <f t="shared" si="106"/>
        <v>0.16173724931506847</v>
      </c>
      <c r="V67" s="5">
        <f t="shared" si="99"/>
        <v>4.6146785533474628E-2</v>
      </c>
    </row>
    <row r="68" spans="2:22" x14ac:dyDescent="0.3">
      <c r="B68">
        <v>8</v>
      </c>
      <c r="C68">
        <v>-927.3</v>
      </c>
      <c r="D68">
        <v>8872.2000000000007</v>
      </c>
      <c r="E68">
        <v>4234</v>
      </c>
      <c r="F68">
        <f t="shared" si="96"/>
        <v>0.88722000000000012</v>
      </c>
      <c r="G68">
        <f t="shared" si="97"/>
        <v>-9.2729999999999993E-2</v>
      </c>
      <c r="H68">
        <f t="shared" si="98"/>
        <v>0.9799500000000001</v>
      </c>
      <c r="I68">
        <f t="shared" si="100"/>
        <v>0.4234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3.8699413323446098E-2</v>
      </c>
      <c r="P68" s="4">
        <v>5</v>
      </c>
      <c r="Q68" s="5">
        <f t="shared" si="103"/>
        <v>0.9799500000000001</v>
      </c>
      <c r="R68" s="5">
        <f t="shared" si="103"/>
        <v>0.4234</v>
      </c>
      <c r="S68" s="5">
        <f t="shared" si="104"/>
        <v>0.65323467000000002</v>
      </c>
      <c r="T68" s="5">
        <f t="shared" si="105"/>
        <v>3.9194080200000002E-2</v>
      </c>
      <c r="U68" s="5">
        <f t="shared" si="106"/>
        <v>8.9484201369863015E-2</v>
      </c>
      <c r="V68" s="5">
        <f t="shared" si="99"/>
        <v>3.8699413323446098E-2</v>
      </c>
    </row>
    <row r="69" spans="2:22" x14ac:dyDescent="0.3">
      <c r="B69">
        <v>9</v>
      </c>
      <c r="C69">
        <v>-3680.2</v>
      </c>
      <c r="D69">
        <v>19181.5</v>
      </c>
      <c r="E69">
        <v>4889.8999999999996</v>
      </c>
      <c r="F69">
        <f t="shared" si="96"/>
        <v>1.91815</v>
      </c>
      <c r="G69">
        <f t="shared" si="97"/>
        <v>-0.36801999999999996</v>
      </c>
      <c r="H69">
        <f t="shared" si="98"/>
        <v>2.2861699999999998</v>
      </c>
      <c r="I69">
        <f t="shared" si="100"/>
        <v>0.48898999999999998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3.1188975336926331E-2</v>
      </c>
      <c r="P69" s="4">
        <v>8</v>
      </c>
      <c r="Q69" s="5">
        <f t="shared" si="103"/>
        <v>2.2861699999999998</v>
      </c>
      <c r="R69" s="5">
        <f t="shared" si="103"/>
        <v>0.48898999999999998</v>
      </c>
      <c r="S69" s="5">
        <f t="shared" si="104"/>
        <v>0.95247557625000001</v>
      </c>
      <c r="T69" s="5">
        <f t="shared" si="105"/>
        <v>5.7148534575E-2</v>
      </c>
      <c r="U69" s="5">
        <f t="shared" si="106"/>
        <v>0.13047610633561643</v>
      </c>
      <c r="V69" s="5">
        <f t="shared" si="99"/>
        <v>3.1188975336926331E-2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96"/>
        <v>0</v>
      </c>
      <c r="G70">
        <f t="shared" si="97"/>
        <v>0</v>
      </c>
      <c r="H70">
        <f t="shared" si="98"/>
        <v>0</v>
      </c>
      <c r="I70">
        <f t="shared" si="100"/>
        <v>0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2.2334996321216796E-2</v>
      </c>
      <c r="P70" s="4">
        <v>14</v>
      </c>
      <c r="Q70" s="5">
        <f t="shared" si="103"/>
        <v>0</v>
      </c>
      <c r="R70" s="5">
        <f t="shared" si="103"/>
        <v>0</v>
      </c>
      <c r="S70" s="5">
        <f t="shared" si="104"/>
        <v>0</v>
      </c>
      <c r="T70" s="5">
        <f t="shared" si="105"/>
        <v>0</v>
      </c>
      <c r="U70" s="5">
        <f t="shared" si="106"/>
        <v>0</v>
      </c>
      <c r="V70" s="5">
        <f t="shared" si="99"/>
        <v>2.2334996321216796E-2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1.4403348206056396E-2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1.4403348206056396E-2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-4046.8</v>
      </c>
      <c r="D75">
        <v>27391</v>
      </c>
      <c r="E75">
        <v>8554.5</v>
      </c>
      <c r="F75">
        <f t="shared" ref="F75:F85" si="108">D75/10000</f>
        <v>2.7391000000000001</v>
      </c>
      <c r="G75">
        <f t="shared" ref="G75:G85" si="109">C75/10000</f>
        <v>-0.40468000000000004</v>
      </c>
      <c r="H75">
        <f t="shared" ref="H75:H85" si="110">F75-G75</f>
        <v>3.14378</v>
      </c>
      <c r="I75">
        <f>E75/10000</f>
        <v>0.85545000000000004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0.23596333635721026</v>
      </c>
      <c r="P75" s="2">
        <v>3</v>
      </c>
      <c r="Q75" s="8">
        <f>H75</f>
        <v>3.14378</v>
      </c>
      <c r="R75" s="8">
        <f>I75</f>
        <v>0.85545000000000004</v>
      </c>
      <c r="S75" s="8">
        <f>Q75/10^6*$Z$4*$Z$3/P75*10^12</f>
        <v>3.4927395800000007</v>
      </c>
      <c r="T75" s="8">
        <f>S75*0.06</f>
        <v>0.20956437480000004</v>
      </c>
      <c r="U75" s="8">
        <f>S75/$Z$1</f>
        <v>0.47845747671232886</v>
      </c>
      <c r="V75" s="12">
        <f t="shared" ref="V75:V85" si="111">O75</f>
        <v>0.23596333635721026</v>
      </c>
    </row>
    <row r="76" spans="2:22" x14ac:dyDescent="0.3">
      <c r="B76">
        <v>2</v>
      </c>
      <c r="C76">
        <v>-12189.2</v>
      </c>
      <c r="D76">
        <v>29855.200000000001</v>
      </c>
      <c r="E76">
        <v>6860.2</v>
      </c>
      <c r="F76">
        <f t="shared" si="108"/>
        <v>2.9855200000000002</v>
      </c>
      <c r="G76">
        <f t="shared" si="109"/>
        <v>-1.21892</v>
      </c>
      <c r="H76">
        <f t="shared" si="110"/>
        <v>4.20444</v>
      </c>
      <c r="I76">
        <f t="shared" ref="I76:I85" si="112">E76/10000</f>
        <v>0.68601999999999996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0.20930852120220789</v>
      </c>
      <c r="P76" s="4">
        <v>3</v>
      </c>
      <c r="Q76" s="5">
        <f t="shared" ref="Q76:R85" si="115">H76</f>
        <v>4.20444</v>
      </c>
      <c r="R76" s="5">
        <f t="shared" si="115"/>
        <v>0.68601999999999996</v>
      </c>
      <c r="S76" s="5">
        <f t="shared" ref="S76:S85" si="116">Q76/10^6*$Z$4*$Z$3/P76*10^12</f>
        <v>4.6711328400000003</v>
      </c>
      <c r="T76" s="5">
        <f t="shared" ref="T76:T85" si="117">S76*0.06</f>
        <v>0.28026797040000001</v>
      </c>
      <c r="U76" s="5">
        <f t="shared" ref="U76:U85" si="118">S76/$Z$1</f>
        <v>0.63988121095890416</v>
      </c>
      <c r="V76" s="5">
        <f t="shared" si="111"/>
        <v>0.20930852120220789</v>
      </c>
    </row>
    <row r="77" spans="2:22" x14ac:dyDescent="0.3">
      <c r="B77">
        <v>3</v>
      </c>
      <c r="C77">
        <v>-785.1</v>
      </c>
      <c r="D77">
        <v>45892.4</v>
      </c>
      <c r="E77">
        <v>5412.8</v>
      </c>
      <c r="F77">
        <f t="shared" si="108"/>
        <v>4.5892400000000002</v>
      </c>
      <c r="G77">
        <f t="shared" si="109"/>
        <v>-7.8509999999999996E-2</v>
      </c>
      <c r="H77">
        <f t="shared" si="110"/>
        <v>4.6677499999999998</v>
      </c>
      <c r="I77">
        <f t="shared" si="112"/>
        <v>0.54127999999999998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0.18056914612079777</v>
      </c>
      <c r="P77" s="4">
        <v>3</v>
      </c>
      <c r="Q77" s="5">
        <f t="shared" si="115"/>
        <v>4.6677499999999998</v>
      </c>
      <c r="R77" s="5">
        <f t="shared" si="115"/>
        <v>0.54127999999999998</v>
      </c>
      <c r="S77" s="5">
        <f t="shared" si="116"/>
        <v>5.1858702499999989</v>
      </c>
      <c r="T77" s="5">
        <f t="shared" si="117"/>
        <v>0.3111522149999999</v>
      </c>
      <c r="U77" s="5">
        <f t="shared" si="118"/>
        <v>0.71039318493150672</v>
      </c>
      <c r="V77" s="5">
        <f t="shared" si="111"/>
        <v>0.18056914612079777</v>
      </c>
    </row>
    <row r="78" spans="2:22" x14ac:dyDescent="0.3">
      <c r="B78">
        <v>4</v>
      </c>
      <c r="C78">
        <v>-8599.2999999999993</v>
      </c>
      <c r="D78">
        <v>24494.3</v>
      </c>
      <c r="E78">
        <v>7906.7</v>
      </c>
      <c r="F78">
        <f t="shared" si="108"/>
        <v>2.44943</v>
      </c>
      <c r="G78">
        <f t="shared" si="109"/>
        <v>-0.85992999999999997</v>
      </c>
      <c r="H78">
        <f t="shared" si="110"/>
        <v>3.3093599999999999</v>
      </c>
      <c r="I78">
        <f t="shared" si="112"/>
        <v>0.79066999999999998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0.10936634526059853</v>
      </c>
      <c r="P78" s="4">
        <v>3</v>
      </c>
      <c r="Q78" s="5">
        <f t="shared" si="115"/>
        <v>3.3093599999999999</v>
      </c>
      <c r="R78" s="5">
        <f t="shared" si="115"/>
        <v>0.79066999999999998</v>
      </c>
      <c r="S78" s="5">
        <f t="shared" si="116"/>
        <v>3.67669896</v>
      </c>
      <c r="T78" s="5">
        <f t="shared" si="117"/>
        <v>0.22060193759999999</v>
      </c>
      <c r="U78" s="5">
        <f t="shared" si="118"/>
        <v>0.50365739178082192</v>
      </c>
      <c r="V78" s="5">
        <f t="shared" si="111"/>
        <v>0.10936634526059853</v>
      </c>
    </row>
    <row r="79" spans="2:22" x14ac:dyDescent="0.3">
      <c r="B79">
        <v>5</v>
      </c>
      <c r="C79">
        <v>-1071.0999999999999</v>
      </c>
      <c r="D79">
        <v>14176.9</v>
      </c>
      <c r="E79">
        <v>9780</v>
      </c>
      <c r="F79">
        <f t="shared" si="108"/>
        <v>1.4176899999999999</v>
      </c>
      <c r="G79">
        <f t="shared" si="109"/>
        <v>-0.10711</v>
      </c>
      <c r="H79">
        <f t="shared" si="110"/>
        <v>1.5247999999999999</v>
      </c>
      <c r="I79">
        <f t="shared" si="112"/>
        <v>0.97799999999999998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7.9045985733827748E-2</v>
      </c>
      <c r="P79" s="4">
        <v>3</v>
      </c>
      <c r="Q79" s="5">
        <f t="shared" si="115"/>
        <v>1.5247999999999999</v>
      </c>
      <c r="R79" s="5">
        <f t="shared" si="115"/>
        <v>0.97799999999999998</v>
      </c>
      <c r="S79" s="5">
        <f t="shared" si="116"/>
        <v>1.6940528000000001</v>
      </c>
      <c r="T79" s="5">
        <f t="shared" si="117"/>
        <v>0.10164316800000001</v>
      </c>
      <c r="U79" s="5">
        <f t="shared" si="118"/>
        <v>0.23206202739726031</v>
      </c>
      <c r="V79" s="5">
        <f t="shared" si="111"/>
        <v>7.9045985733827748E-2</v>
      </c>
    </row>
    <row r="80" spans="2:22" x14ac:dyDescent="0.3">
      <c r="B80">
        <v>6</v>
      </c>
      <c r="C80">
        <v>-1255.5999999999999</v>
      </c>
      <c r="D80">
        <v>22578.7</v>
      </c>
      <c r="E80">
        <v>5101.5</v>
      </c>
      <c r="F80">
        <f t="shared" si="108"/>
        <v>2.25787</v>
      </c>
      <c r="G80">
        <f t="shared" si="109"/>
        <v>-0.12555999999999998</v>
      </c>
      <c r="H80">
        <f t="shared" si="110"/>
        <v>2.3834300000000002</v>
      </c>
      <c r="I80">
        <f t="shared" si="112"/>
        <v>0.51014999999999999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5.4715043478542454E-2</v>
      </c>
      <c r="P80" s="4">
        <v>4</v>
      </c>
      <c r="Q80" s="5">
        <f t="shared" si="115"/>
        <v>2.3834300000000002</v>
      </c>
      <c r="R80" s="5">
        <f t="shared" si="115"/>
        <v>0.51014999999999999</v>
      </c>
      <c r="S80" s="5">
        <f t="shared" si="116"/>
        <v>1.9859930475000003</v>
      </c>
      <c r="T80" s="5">
        <f t="shared" si="117"/>
        <v>0.11915958285000001</v>
      </c>
      <c r="U80" s="5">
        <f t="shared" si="118"/>
        <v>0.2720538421232877</v>
      </c>
      <c r="V80" s="5">
        <f t="shared" si="111"/>
        <v>5.4715043478542454E-2</v>
      </c>
    </row>
    <row r="81" spans="2:22" x14ac:dyDescent="0.3">
      <c r="B81">
        <v>7</v>
      </c>
      <c r="C81">
        <v>11467.6</v>
      </c>
      <c r="D81">
        <v>22255.7</v>
      </c>
      <c r="E81">
        <v>5626.9</v>
      </c>
      <c r="F81">
        <f t="shared" si="108"/>
        <v>2.2255700000000003</v>
      </c>
      <c r="G81">
        <f t="shared" si="109"/>
        <v>1.14676</v>
      </c>
      <c r="H81">
        <f t="shared" si="110"/>
        <v>1.0788100000000003</v>
      </c>
      <c r="I81">
        <f t="shared" si="112"/>
        <v>0.56268999999999991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3.9554387600121109E-2</v>
      </c>
      <c r="P81" s="4">
        <v>4</v>
      </c>
      <c r="Q81" s="5">
        <f t="shared" si="115"/>
        <v>1.0788100000000003</v>
      </c>
      <c r="R81" s="5">
        <f t="shared" si="115"/>
        <v>0.56268999999999991</v>
      </c>
      <c r="S81" s="5">
        <f t="shared" si="116"/>
        <v>0.89891843250000014</v>
      </c>
      <c r="T81" s="5">
        <f t="shared" si="117"/>
        <v>5.3935105950000006E-2</v>
      </c>
      <c r="U81" s="5">
        <f t="shared" si="118"/>
        <v>0.12313951130136988</v>
      </c>
      <c r="V81" s="5">
        <f t="shared" si="111"/>
        <v>3.9554387600121109E-2</v>
      </c>
    </row>
    <row r="82" spans="2:22" x14ac:dyDescent="0.3">
      <c r="B82">
        <v>8</v>
      </c>
      <c r="C82">
        <v>5279.7</v>
      </c>
      <c r="D82">
        <v>25690</v>
      </c>
      <c r="E82">
        <v>6176.5</v>
      </c>
      <c r="F82">
        <f t="shared" si="108"/>
        <v>2.569</v>
      </c>
      <c r="G82">
        <f t="shared" si="109"/>
        <v>0.52796999999999994</v>
      </c>
      <c r="H82">
        <f t="shared" si="110"/>
        <v>2.0410300000000001</v>
      </c>
      <c r="I82">
        <f t="shared" si="112"/>
        <v>0.61765000000000003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3.3170925705810934E-2</v>
      </c>
      <c r="P82" s="4">
        <v>5</v>
      </c>
      <c r="Q82" s="5">
        <f t="shared" si="115"/>
        <v>2.0410300000000001</v>
      </c>
      <c r="R82" s="5">
        <f t="shared" si="115"/>
        <v>0.61765000000000003</v>
      </c>
      <c r="S82" s="5">
        <f t="shared" si="116"/>
        <v>1.3605505980000001</v>
      </c>
      <c r="T82" s="5">
        <f t="shared" si="117"/>
        <v>8.163303588000001E-2</v>
      </c>
      <c r="U82" s="5">
        <f t="shared" si="118"/>
        <v>0.18637679424657536</v>
      </c>
      <c r="V82" s="5">
        <f t="shared" si="111"/>
        <v>3.3170925705810934E-2</v>
      </c>
    </row>
    <row r="83" spans="2:22" x14ac:dyDescent="0.3">
      <c r="B83">
        <v>9</v>
      </c>
      <c r="C83">
        <v>6278.1</v>
      </c>
      <c r="D83">
        <v>37602.800000000003</v>
      </c>
      <c r="E83">
        <v>5706.8</v>
      </c>
      <c r="F83">
        <f t="shared" si="108"/>
        <v>3.7602800000000003</v>
      </c>
      <c r="G83">
        <f t="shared" si="109"/>
        <v>0.62781000000000009</v>
      </c>
      <c r="H83">
        <f t="shared" si="110"/>
        <v>3.1324700000000001</v>
      </c>
      <c r="I83">
        <f t="shared" si="112"/>
        <v>0.57067999999999997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2.6733407431651143E-2</v>
      </c>
      <c r="P83" s="4">
        <v>8</v>
      </c>
      <c r="Q83" s="5">
        <f t="shared" si="115"/>
        <v>3.1324700000000001</v>
      </c>
      <c r="R83" s="5">
        <f t="shared" si="115"/>
        <v>0.57067999999999997</v>
      </c>
      <c r="S83" s="5">
        <f t="shared" si="116"/>
        <v>1.3050653137499999</v>
      </c>
      <c r="T83" s="5">
        <f t="shared" si="117"/>
        <v>7.8303918824999985E-2</v>
      </c>
      <c r="U83" s="5">
        <f t="shared" si="118"/>
        <v>0.17877607037671231</v>
      </c>
      <c r="V83" s="5">
        <f t="shared" si="111"/>
        <v>2.6733407431651143E-2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08"/>
        <v>0</v>
      </c>
      <c r="G84">
        <f t="shared" si="109"/>
        <v>0</v>
      </c>
      <c r="H84">
        <f t="shared" si="110"/>
        <v>0</v>
      </c>
      <c r="I84">
        <f t="shared" si="112"/>
        <v>0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1.9144282561042968E-2</v>
      </c>
      <c r="P84" s="4">
        <v>14</v>
      </c>
      <c r="Q84" s="5">
        <f t="shared" si="115"/>
        <v>0</v>
      </c>
      <c r="R84" s="5">
        <f t="shared" si="115"/>
        <v>0</v>
      </c>
      <c r="S84" s="5">
        <f t="shared" si="116"/>
        <v>0</v>
      </c>
      <c r="T84" s="5">
        <f t="shared" si="117"/>
        <v>0</v>
      </c>
      <c r="U84" s="5">
        <f t="shared" si="118"/>
        <v>0</v>
      </c>
      <c r="V84" s="5">
        <f t="shared" si="111"/>
        <v>1.9144282561042968E-2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1.2345727033762625E-2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1.2345727033762625E-2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5516.7</v>
      </c>
      <c r="D89">
        <v>42354.1</v>
      </c>
      <c r="E89">
        <v>5610.1</v>
      </c>
      <c r="F89">
        <f t="shared" ref="F89:F99" si="120">D89/10000</f>
        <v>4.2354099999999999</v>
      </c>
      <c r="G89">
        <f t="shared" ref="G89:G99" si="121">C89/10000</f>
        <v>0.55166999999999999</v>
      </c>
      <c r="H89">
        <f t="shared" ref="H89:H99" si="122">F89-G89</f>
        <v>3.6837399999999998</v>
      </c>
      <c r="I89">
        <f>E89/10000</f>
        <v>0.56101000000000001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0.20646791931255901</v>
      </c>
      <c r="P89" s="2">
        <v>3</v>
      </c>
      <c r="Q89" s="8">
        <f>H89</f>
        <v>3.6837399999999998</v>
      </c>
      <c r="R89" s="8">
        <f>I89</f>
        <v>0.56101000000000001</v>
      </c>
      <c r="S89" s="8">
        <f>Q89/10^6*$Z$4*$Z$3/P89*10^12</f>
        <v>4.0926351400000005</v>
      </c>
      <c r="T89" s="8">
        <f>S89*0.06</f>
        <v>0.24555810840000003</v>
      </c>
      <c r="U89" s="8">
        <f>S89/$Z$1</f>
        <v>0.56063495068493163</v>
      </c>
      <c r="V89" s="12">
        <f t="shared" ref="V89:V99" si="123">O89</f>
        <v>0.20646791931255901</v>
      </c>
    </row>
    <row r="90" spans="2:22" x14ac:dyDescent="0.3">
      <c r="B90">
        <v>2</v>
      </c>
      <c r="C90">
        <v>1773</v>
      </c>
      <c r="D90">
        <v>40563.199999999997</v>
      </c>
      <c r="E90">
        <v>7853.4</v>
      </c>
      <c r="F90">
        <f t="shared" si="120"/>
        <v>4.0563199999999995</v>
      </c>
      <c r="G90">
        <f t="shared" si="121"/>
        <v>0.17730000000000001</v>
      </c>
      <c r="H90">
        <f t="shared" si="122"/>
        <v>3.8790199999999997</v>
      </c>
      <c r="I90">
        <f t="shared" ref="I90:I99" si="124">E90/10000</f>
        <v>0.78533999999999993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0.1831449560519319</v>
      </c>
      <c r="P90" s="4">
        <v>3</v>
      </c>
      <c r="Q90" s="5">
        <f t="shared" ref="Q90:R99" si="127">H90</f>
        <v>3.8790199999999997</v>
      </c>
      <c r="R90" s="5">
        <f t="shared" si="127"/>
        <v>0.78533999999999993</v>
      </c>
      <c r="S90" s="5">
        <f t="shared" ref="S90:S99" si="128">Q90/10^6*$Z$4*$Z$3/P90*10^12</f>
        <v>4.3095912199999988</v>
      </c>
      <c r="T90" s="5">
        <f t="shared" ref="T90:T99" si="129">S90*0.06</f>
        <v>0.25857547319999991</v>
      </c>
      <c r="U90" s="5">
        <f t="shared" ref="U90:U99" si="130">S90/$Z$1</f>
        <v>0.5903549616438355</v>
      </c>
      <c r="V90" s="5">
        <f t="shared" si="123"/>
        <v>0.1831449560519319</v>
      </c>
    </row>
    <row r="91" spans="2:22" x14ac:dyDescent="0.3">
      <c r="B91">
        <v>3</v>
      </c>
      <c r="C91">
        <v>-2270.3000000000002</v>
      </c>
      <c r="D91">
        <v>52148.7</v>
      </c>
      <c r="E91">
        <v>5181</v>
      </c>
      <c r="F91">
        <f t="shared" si="120"/>
        <v>5.2148699999999995</v>
      </c>
      <c r="G91">
        <f t="shared" si="121"/>
        <v>-0.22703000000000001</v>
      </c>
      <c r="H91">
        <f t="shared" si="122"/>
        <v>5.4418999999999995</v>
      </c>
      <c r="I91">
        <f t="shared" si="124"/>
        <v>0.5181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0.15799800285569804</v>
      </c>
      <c r="P91" s="4">
        <v>3</v>
      </c>
      <c r="Q91" s="5">
        <f t="shared" si="127"/>
        <v>5.4418999999999995</v>
      </c>
      <c r="R91" s="5">
        <f t="shared" si="127"/>
        <v>0.5181</v>
      </c>
      <c r="S91" s="5">
        <f t="shared" si="128"/>
        <v>6.0459509000000002</v>
      </c>
      <c r="T91" s="5">
        <f t="shared" si="129"/>
        <v>0.36275705400000002</v>
      </c>
      <c r="U91" s="5">
        <f t="shared" si="130"/>
        <v>0.82821245205479455</v>
      </c>
      <c r="V91" s="5">
        <f t="shared" si="123"/>
        <v>0.15799800285569804</v>
      </c>
    </row>
    <row r="92" spans="2:22" x14ac:dyDescent="0.3">
      <c r="B92">
        <v>4</v>
      </c>
      <c r="C92">
        <v>950.2</v>
      </c>
      <c r="D92">
        <v>21612.7</v>
      </c>
      <c r="E92">
        <v>12825.2</v>
      </c>
      <c r="F92">
        <f t="shared" si="120"/>
        <v>2.16127</v>
      </c>
      <c r="G92">
        <f t="shared" si="121"/>
        <v>9.5020000000000007E-2</v>
      </c>
      <c r="H92">
        <f t="shared" si="122"/>
        <v>2.0662500000000001</v>
      </c>
      <c r="I92">
        <f t="shared" si="124"/>
        <v>1.2825200000000001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9.5695552103023718E-2</v>
      </c>
      <c r="P92" s="4">
        <v>3</v>
      </c>
      <c r="Q92" s="5">
        <f t="shared" si="127"/>
        <v>2.0662500000000001</v>
      </c>
      <c r="R92" s="5">
        <f t="shared" si="127"/>
        <v>1.2825200000000001</v>
      </c>
      <c r="S92" s="5">
        <f t="shared" si="128"/>
        <v>2.2956037500000002</v>
      </c>
      <c r="T92" s="5">
        <f t="shared" si="129"/>
        <v>0.13773622500000002</v>
      </c>
      <c r="U92" s="5">
        <f t="shared" si="130"/>
        <v>0.31446626712328768</v>
      </c>
      <c r="V92" s="5">
        <f t="shared" si="123"/>
        <v>9.5695552103023718E-2</v>
      </c>
    </row>
    <row r="93" spans="2:22" x14ac:dyDescent="0.3">
      <c r="B93">
        <v>5</v>
      </c>
      <c r="C93">
        <v>2932.5</v>
      </c>
      <c r="D93">
        <v>20199.900000000001</v>
      </c>
      <c r="E93">
        <v>2901.8</v>
      </c>
      <c r="F93">
        <f t="shared" si="120"/>
        <v>2.01999</v>
      </c>
      <c r="G93">
        <f t="shared" si="121"/>
        <v>0.29325000000000001</v>
      </c>
      <c r="H93">
        <f t="shared" si="122"/>
        <v>1.7267399999999999</v>
      </c>
      <c r="I93">
        <f t="shared" si="124"/>
        <v>0.29017999999999999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6.9165237517099284E-2</v>
      </c>
      <c r="P93" s="4">
        <v>3</v>
      </c>
      <c r="Q93" s="5">
        <f t="shared" si="127"/>
        <v>1.7267399999999999</v>
      </c>
      <c r="R93" s="5">
        <f t="shared" si="127"/>
        <v>0.29017999999999999</v>
      </c>
      <c r="S93" s="5">
        <f t="shared" si="128"/>
        <v>1.9184081400000002</v>
      </c>
      <c r="T93" s="5">
        <f t="shared" si="129"/>
        <v>0.11510448840000001</v>
      </c>
      <c r="U93" s="5">
        <f t="shared" si="130"/>
        <v>0.26279563561643837</v>
      </c>
      <c r="V93" s="5">
        <f t="shared" si="123"/>
        <v>6.9165237517099284E-2</v>
      </c>
    </row>
    <row r="94" spans="2:22" x14ac:dyDescent="0.3">
      <c r="B94">
        <v>6</v>
      </c>
      <c r="C94">
        <v>-694.4</v>
      </c>
      <c r="D94">
        <v>20310.2</v>
      </c>
      <c r="E94">
        <v>6340.6</v>
      </c>
      <c r="F94">
        <f t="shared" si="120"/>
        <v>2.0310200000000003</v>
      </c>
      <c r="G94">
        <f t="shared" si="121"/>
        <v>-6.9440000000000002E-2</v>
      </c>
      <c r="H94">
        <f t="shared" si="122"/>
        <v>2.1004600000000004</v>
      </c>
      <c r="I94">
        <f t="shared" si="124"/>
        <v>0.63406000000000007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4.7875663043724648E-2</v>
      </c>
      <c r="P94" s="4">
        <v>4</v>
      </c>
      <c r="Q94" s="5">
        <f t="shared" si="127"/>
        <v>2.1004600000000004</v>
      </c>
      <c r="R94" s="5">
        <f t="shared" si="127"/>
        <v>0.63406000000000007</v>
      </c>
      <c r="S94" s="5">
        <f t="shared" si="128"/>
        <v>1.7502082950000004</v>
      </c>
      <c r="T94" s="5">
        <f t="shared" si="129"/>
        <v>0.10501249770000003</v>
      </c>
      <c r="U94" s="5">
        <f t="shared" si="130"/>
        <v>0.23975456095890418</v>
      </c>
      <c r="V94" s="5">
        <f t="shared" si="123"/>
        <v>4.7875663043724648E-2</v>
      </c>
    </row>
    <row r="95" spans="2:22" x14ac:dyDescent="0.3">
      <c r="B95">
        <v>7</v>
      </c>
      <c r="C95">
        <v>1786.7</v>
      </c>
      <c r="D95">
        <v>15264.8</v>
      </c>
      <c r="E95">
        <v>6011.4</v>
      </c>
      <c r="F95">
        <f t="shared" si="120"/>
        <v>1.5264799999999998</v>
      </c>
      <c r="G95">
        <f t="shared" si="121"/>
        <v>0.17867</v>
      </c>
      <c r="H95">
        <f t="shared" si="122"/>
        <v>1.34781</v>
      </c>
      <c r="I95">
        <f t="shared" si="124"/>
        <v>0.60114000000000001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3.4610089150105973E-2</v>
      </c>
      <c r="P95" s="4">
        <v>4</v>
      </c>
      <c r="Q95" s="5">
        <f t="shared" si="127"/>
        <v>1.34781</v>
      </c>
      <c r="R95" s="5">
        <f t="shared" si="127"/>
        <v>0.60114000000000001</v>
      </c>
      <c r="S95" s="5">
        <f t="shared" si="128"/>
        <v>1.1230626824999999</v>
      </c>
      <c r="T95" s="5">
        <f t="shared" si="129"/>
        <v>6.7383760949999982E-2</v>
      </c>
      <c r="U95" s="5">
        <f t="shared" si="130"/>
        <v>0.15384420308219177</v>
      </c>
      <c r="V95" s="5">
        <f t="shared" si="123"/>
        <v>3.4610089150105973E-2</v>
      </c>
    </row>
    <row r="96" spans="2:22" x14ac:dyDescent="0.3">
      <c r="B96">
        <v>8</v>
      </c>
      <c r="C96">
        <v>-456.5</v>
      </c>
      <c r="D96">
        <v>20149.3</v>
      </c>
      <c r="E96">
        <v>5722.3</v>
      </c>
      <c r="F96">
        <f t="shared" si="120"/>
        <v>2.0149300000000001</v>
      </c>
      <c r="G96">
        <f t="shared" si="121"/>
        <v>-4.5650000000000003E-2</v>
      </c>
      <c r="H96">
        <f t="shared" si="122"/>
        <v>2.0605800000000003</v>
      </c>
      <c r="I96">
        <f t="shared" si="124"/>
        <v>0.57223000000000002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2.9024559992584572E-2</v>
      </c>
      <c r="P96" s="4">
        <v>5</v>
      </c>
      <c r="Q96" s="5">
        <f t="shared" si="127"/>
        <v>2.0605800000000003</v>
      </c>
      <c r="R96" s="5">
        <f t="shared" si="127"/>
        <v>0.57223000000000002</v>
      </c>
      <c r="S96" s="5">
        <f t="shared" si="128"/>
        <v>1.3735826280000001</v>
      </c>
      <c r="T96" s="5">
        <f t="shared" si="129"/>
        <v>8.2414957679999998E-2</v>
      </c>
      <c r="U96" s="5">
        <f t="shared" si="130"/>
        <v>0.18816200383561646</v>
      </c>
      <c r="V96" s="5">
        <f t="shared" si="123"/>
        <v>2.9024559992584572E-2</v>
      </c>
    </row>
    <row r="97" spans="2:22" x14ac:dyDescent="0.3">
      <c r="B97">
        <v>9</v>
      </c>
      <c r="C97">
        <v>2806.3</v>
      </c>
      <c r="D97">
        <v>23570.2</v>
      </c>
      <c r="E97">
        <v>7162.7</v>
      </c>
      <c r="F97">
        <f t="shared" si="120"/>
        <v>2.3570199999999999</v>
      </c>
      <c r="G97">
        <f t="shared" si="121"/>
        <v>0.28062999999999999</v>
      </c>
      <c r="H97">
        <f t="shared" si="122"/>
        <v>2.07639</v>
      </c>
      <c r="I97">
        <f t="shared" si="124"/>
        <v>0.71626999999999996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2.3391731502694749E-2</v>
      </c>
      <c r="P97" s="4">
        <v>8</v>
      </c>
      <c r="Q97" s="5">
        <f t="shared" si="127"/>
        <v>2.07639</v>
      </c>
      <c r="R97" s="5">
        <f t="shared" si="127"/>
        <v>0.71626999999999996</v>
      </c>
      <c r="S97" s="5">
        <f t="shared" si="128"/>
        <v>0.86507598375000005</v>
      </c>
      <c r="T97" s="5">
        <f t="shared" si="129"/>
        <v>5.1904559024999998E-2</v>
      </c>
      <c r="U97" s="5">
        <f t="shared" si="130"/>
        <v>0.11850355941780823</v>
      </c>
      <c r="V97" s="5">
        <f t="shared" si="123"/>
        <v>2.3391731502694749E-2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1.6751247240912596E-2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1.6751247240912596E-2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1.0802511154542296E-2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1.0802511154542296E-2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3907.4</v>
      </c>
      <c r="D103">
        <v>39821.5</v>
      </c>
      <c r="E103">
        <v>5672.6</v>
      </c>
      <c r="F103">
        <f t="shared" ref="F103:F113" si="132">D103/10000</f>
        <v>3.9821499999999999</v>
      </c>
      <c r="G103">
        <f t="shared" ref="G103:G113" si="133">C103/10000</f>
        <v>0.39074000000000003</v>
      </c>
      <c r="H103">
        <f t="shared" ref="H103:H113" si="134">F103-G103</f>
        <v>3.5914099999999998</v>
      </c>
      <c r="I103">
        <f>E103/10000</f>
        <v>0.56725999999999999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0.18352703938894133</v>
      </c>
      <c r="P103" s="2">
        <v>3</v>
      </c>
      <c r="Q103" s="8">
        <f>H103</f>
        <v>3.5914099999999998</v>
      </c>
      <c r="R103" s="8">
        <f>I103</f>
        <v>0.56725999999999999</v>
      </c>
      <c r="S103" s="8">
        <f>Q103/10^6*$Z$4*$Z$3/P103*10^12</f>
        <v>3.9900565099999996</v>
      </c>
      <c r="T103" s="8">
        <f>S103*0.06</f>
        <v>0.23940339059999996</v>
      </c>
      <c r="U103" s="8">
        <f>S103/$Z$1</f>
        <v>0.54658308356164376</v>
      </c>
      <c r="V103" s="12">
        <f t="shared" ref="V103:V113" si="135">O103</f>
        <v>0.18352703938894133</v>
      </c>
    </row>
    <row r="104" spans="2:22" x14ac:dyDescent="0.3">
      <c r="B104">
        <v>2</v>
      </c>
      <c r="C104">
        <v>2679.5</v>
      </c>
      <c r="D104">
        <v>51288.9</v>
      </c>
      <c r="E104">
        <v>5039.3999999999996</v>
      </c>
      <c r="F104">
        <f t="shared" si="132"/>
        <v>5.1288900000000002</v>
      </c>
      <c r="G104">
        <f t="shared" si="133"/>
        <v>0.26795000000000002</v>
      </c>
      <c r="H104">
        <f t="shared" si="134"/>
        <v>4.8609400000000003</v>
      </c>
      <c r="I104">
        <f t="shared" ref="I104:I113" si="136">E104/10000</f>
        <v>0.50393999999999994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0.16279551649060611</v>
      </c>
      <c r="P104" s="4">
        <v>3</v>
      </c>
      <c r="Q104" s="5">
        <f t="shared" ref="Q104:R113" si="139">H104</f>
        <v>4.8609400000000003</v>
      </c>
      <c r="R104" s="5">
        <f t="shared" si="139"/>
        <v>0.50393999999999994</v>
      </c>
      <c r="S104" s="5">
        <f t="shared" ref="S104:S113" si="140">Q104/10^6*$Z$4*$Z$3/P104*10^12</f>
        <v>5.4005043400000012</v>
      </c>
      <c r="T104" s="5">
        <f t="shared" ref="T104:T113" si="141">S104*0.06</f>
        <v>0.32403026040000005</v>
      </c>
      <c r="U104" s="5">
        <f t="shared" ref="U104:U113" si="142">S104/$Z$1</f>
        <v>0.73979511506849338</v>
      </c>
      <c r="V104" s="5">
        <f t="shared" si="135"/>
        <v>0.16279551649060611</v>
      </c>
    </row>
    <row r="105" spans="2:22" x14ac:dyDescent="0.3">
      <c r="B105">
        <v>3</v>
      </c>
      <c r="C105">
        <v>19132.400000000001</v>
      </c>
      <c r="D105">
        <v>54405.9</v>
      </c>
      <c r="E105">
        <v>6533.9</v>
      </c>
      <c r="F105">
        <f t="shared" si="132"/>
        <v>5.4405900000000003</v>
      </c>
      <c r="G105">
        <f t="shared" si="133"/>
        <v>1.9132400000000001</v>
      </c>
      <c r="H105">
        <f t="shared" si="134"/>
        <v>3.5273500000000002</v>
      </c>
      <c r="I105">
        <f t="shared" si="136"/>
        <v>0.65338999999999992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0.14044266920506493</v>
      </c>
      <c r="P105" s="4">
        <v>3</v>
      </c>
      <c r="Q105" s="5">
        <f t="shared" si="139"/>
        <v>3.5273500000000002</v>
      </c>
      <c r="R105" s="5">
        <f t="shared" si="139"/>
        <v>0.65338999999999992</v>
      </c>
      <c r="S105" s="5">
        <f t="shared" si="140"/>
        <v>3.9188858500000001</v>
      </c>
      <c r="T105" s="5">
        <f t="shared" si="141"/>
        <v>0.23513315099999998</v>
      </c>
      <c r="U105" s="5">
        <f t="shared" si="142"/>
        <v>0.53683367808219185</v>
      </c>
      <c r="V105" s="5">
        <f t="shared" si="135"/>
        <v>0.14044266920506493</v>
      </c>
    </row>
    <row r="106" spans="2:22" x14ac:dyDescent="0.3">
      <c r="B106">
        <v>4</v>
      </c>
      <c r="C106">
        <v>3905.2</v>
      </c>
      <c r="D106">
        <v>21930.6</v>
      </c>
      <c r="E106">
        <v>17465.3</v>
      </c>
      <c r="F106">
        <f t="shared" si="132"/>
        <v>2.19306</v>
      </c>
      <c r="G106">
        <f t="shared" si="133"/>
        <v>0.39051999999999998</v>
      </c>
      <c r="H106">
        <f t="shared" si="134"/>
        <v>1.80254</v>
      </c>
      <c r="I106">
        <f t="shared" si="136"/>
        <v>1.7465299999999999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8.5062712980465527E-2</v>
      </c>
      <c r="P106" s="4">
        <v>3</v>
      </c>
      <c r="Q106" s="5">
        <f t="shared" si="139"/>
        <v>1.80254</v>
      </c>
      <c r="R106" s="5">
        <f t="shared" si="139"/>
        <v>1.7465299999999999</v>
      </c>
      <c r="S106" s="5">
        <f t="shared" si="140"/>
        <v>2.00262194</v>
      </c>
      <c r="T106" s="5">
        <f t="shared" si="141"/>
        <v>0.12015731639999999</v>
      </c>
      <c r="U106" s="5">
        <f t="shared" si="142"/>
        <v>0.27433177260273972</v>
      </c>
      <c r="V106" s="5">
        <f t="shared" si="135"/>
        <v>8.5062712980465527E-2</v>
      </c>
    </row>
    <row r="107" spans="2:22" x14ac:dyDescent="0.3">
      <c r="B107">
        <v>5</v>
      </c>
      <c r="C107">
        <v>4557.2</v>
      </c>
      <c r="D107">
        <v>27297.1</v>
      </c>
      <c r="E107">
        <v>4698.8</v>
      </c>
      <c r="F107">
        <f t="shared" si="132"/>
        <v>2.7297099999999999</v>
      </c>
      <c r="G107">
        <f t="shared" si="133"/>
        <v>0.45571999999999996</v>
      </c>
      <c r="H107">
        <f t="shared" si="134"/>
        <v>2.27399</v>
      </c>
      <c r="I107">
        <f t="shared" si="136"/>
        <v>0.46988000000000002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6.1480211126310469E-2</v>
      </c>
      <c r="P107" s="4">
        <v>3</v>
      </c>
      <c r="Q107" s="5">
        <f t="shared" si="139"/>
        <v>2.27399</v>
      </c>
      <c r="R107" s="5">
        <f t="shared" si="139"/>
        <v>0.46988000000000002</v>
      </c>
      <c r="S107" s="5">
        <f t="shared" si="140"/>
        <v>2.52640289</v>
      </c>
      <c r="T107" s="5">
        <f t="shared" si="141"/>
        <v>0.15158417339999999</v>
      </c>
      <c r="U107" s="5">
        <f t="shared" si="142"/>
        <v>0.3460825876712329</v>
      </c>
      <c r="V107" s="5">
        <f t="shared" si="135"/>
        <v>6.1480211126310469E-2</v>
      </c>
    </row>
    <row r="108" spans="2:22" x14ac:dyDescent="0.3">
      <c r="B108">
        <v>6</v>
      </c>
      <c r="C108">
        <v>3157.4</v>
      </c>
      <c r="D108">
        <v>23186.799999999999</v>
      </c>
      <c r="E108">
        <v>2993.5</v>
      </c>
      <c r="F108">
        <f t="shared" si="132"/>
        <v>2.3186800000000001</v>
      </c>
      <c r="G108">
        <f t="shared" si="133"/>
        <v>0.31574000000000002</v>
      </c>
      <c r="H108">
        <f t="shared" si="134"/>
        <v>2.0029400000000002</v>
      </c>
      <c r="I108">
        <f t="shared" si="136"/>
        <v>0.29935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4.2556144927755245E-2</v>
      </c>
      <c r="P108" s="4">
        <v>4</v>
      </c>
      <c r="Q108" s="5">
        <f t="shared" si="139"/>
        <v>2.0029400000000002</v>
      </c>
      <c r="R108" s="5">
        <f t="shared" si="139"/>
        <v>0.29935</v>
      </c>
      <c r="S108" s="5">
        <f t="shared" si="140"/>
        <v>1.6689497550000001</v>
      </c>
      <c r="T108" s="5">
        <f t="shared" si="141"/>
        <v>0.10013698529999999</v>
      </c>
      <c r="U108" s="5">
        <f t="shared" si="142"/>
        <v>0.22862325410958906</v>
      </c>
      <c r="V108" s="5">
        <f t="shared" si="135"/>
        <v>4.2556144927755245E-2</v>
      </c>
    </row>
    <row r="109" spans="2:22" x14ac:dyDescent="0.3">
      <c r="B109">
        <v>7</v>
      </c>
      <c r="C109">
        <v>15999.5</v>
      </c>
      <c r="D109">
        <v>18880.599999999999</v>
      </c>
      <c r="E109">
        <v>2865.5</v>
      </c>
      <c r="F109">
        <f t="shared" si="132"/>
        <v>1.8880599999999998</v>
      </c>
      <c r="G109">
        <f t="shared" si="133"/>
        <v>1.59995</v>
      </c>
      <c r="H109">
        <f t="shared" si="134"/>
        <v>0.28810999999999987</v>
      </c>
      <c r="I109">
        <f t="shared" si="136"/>
        <v>0.28655000000000003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3.0764523688983084E-2</v>
      </c>
      <c r="P109" s="4">
        <v>4</v>
      </c>
      <c r="Q109" s="5">
        <f t="shared" si="139"/>
        <v>0.28810999999999987</v>
      </c>
      <c r="R109" s="5">
        <f t="shared" si="139"/>
        <v>0.28655000000000003</v>
      </c>
      <c r="S109" s="5">
        <f t="shared" si="140"/>
        <v>0.24006765749999986</v>
      </c>
      <c r="T109" s="5">
        <f t="shared" si="141"/>
        <v>1.4404059449999991E-2</v>
      </c>
      <c r="U109" s="5">
        <f t="shared" si="142"/>
        <v>3.2885980479452036E-2</v>
      </c>
      <c r="V109" s="5">
        <f t="shared" si="135"/>
        <v>3.0764523688983084E-2</v>
      </c>
    </row>
    <row r="110" spans="2:22" x14ac:dyDescent="0.3">
      <c r="B110">
        <v>8</v>
      </c>
      <c r="C110">
        <v>2859.7</v>
      </c>
      <c r="D110">
        <v>22246.6</v>
      </c>
      <c r="E110">
        <v>5032.1000000000004</v>
      </c>
      <c r="F110">
        <f t="shared" si="132"/>
        <v>2.2246599999999996</v>
      </c>
      <c r="G110">
        <f t="shared" si="133"/>
        <v>0.28597</v>
      </c>
      <c r="H110">
        <f t="shared" si="134"/>
        <v>1.9386899999999996</v>
      </c>
      <c r="I110">
        <f t="shared" si="136"/>
        <v>0.50321000000000005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2.5799608882297393E-2</v>
      </c>
      <c r="P110" s="4">
        <v>5</v>
      </c>
      <c r="Q110" s="5">
        <f t="shared" si="139"/>
        <v>1.9386899999999996</v>
      </c>
      <c r="R110" s="5">
        <f t="shared" si="139"/>
        <v>0.50321000000000005</v>
      </c>
      <c r="S110" s="5">
        <f t="shared" si="140"/>
        <v>1.2923307539999997</v>
      </c>
      <c r="T110" s="5">
        <f t="shared" si="141"/>
        <v>7.7539845239999988E-2</v>
      </c>
      <c r="U110" s="5">
        <f t="shared" si="142"/>
        <v>0.17703161013698626</v>
      </c>
      <c r="V110" s="5">
        <f t="shared" si="135"/>
        <v>2.5799608882297393E-2</v>
      </c>
    </row>
    <row r="111" spans="2:22" x14ac:dyDescent="0.3">
      <c r="B111">
        <v>9</v>
      </c>
      <c r="C111">
        <v>819.9</v>
      </c>
      <c r="D111">
        <v>25356.2</v>
      </c>
      <c r="E111">
        <v>5167.7</v>
      </c>
      <c r="F111">
        <f t="shared" si="132"/>
        <v>2.5356200000000002</v>
      </c>
      <c r="G111">
        <f t="shared" si="133"/>
        <v>8.1989999999999993E-2</v>
      </c>
      <c r="H111">
        <f t="shared" si="134"/>
        <v>2.4536300000000004</v>
      </c>
      <c r="I111">
        <f t="shared" si="136"/>
        <v>0.51676999999999995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2.0792650224617557E-2</v>
      </c>
      <c r="P111" s="4">
        <v>8</v>
      </c>
      <c r="Q111" s="5">
        <f t="shared" si="139"/>
        <v>2.4536300000000004</v>
      </c>
      <c r="R111" s="5">
        <f t="shared" si="139"/>
        <v>0.51676999999999995</v>
      </c>
      <c r="S111" s="5">
        <f t="shared" si="140"/>
        <v>1.0222435987500003</v>
      </c>
      <c r="T111" s="5">
        <f t="shared" si="141"/>
        <v>6.1334615925000016E-2</v>
      </c>
      <c r="U111" s="5">
        <f t="shared" si="142"/>
        <v>0.14003336969178087</v>
      </c>
      <c r="V111" s="5">
        <f t="shared" si="135"/>
        <v>2.0792650224617557E-2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1.4889997547477864E-2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1.4889997547477864E-2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9.6022321373709311E-3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9.6022321373709311E-3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2786.2</v>
      </c>
      <c r="D117">
        <v>41201.1</v>
      </c>
      <c r="E117">
        <v>5990.7</v>
      </c>
      <c r="F117">
        <f t="shared" ref="F117:F127" si="144">D117/10000</f>
        <v>4.1201099999999995</v>
      </c>
      <c r="G117">
        <f t="shared" ref="G117:G127" si="145">C117/10000</f>
        <v>0.27861999999999998</v>
      </c>
      <c r="H117">
        <f t="shared" ref="H117:H127" si="146">F117-G117</f>
        <v>3.8414899999999994</v>
      </c>
      <c r="I117">
        <f>E117/10000</f>
        <v>0.59906999999999999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0.1651743354500472</v>
      </c>
      <c r="P117" s="2">
        <v>3</v>
      </c>
      <c r="Q117" s="8">
        <f>H117</f>
        <v>3.8414899999999994</v>
      </c>
      <c r="R117" s="8">
        <f>I117</f>
        <v>0.59906999999999999</v>
      </c>
      <c r="S117" s="8">
        <f>Q117/10^6*$Z$4*$Z$3/P117*10^12</f>
        <v>4.2678953899999996</v>
      </c>
      <c r="T117" s="8">
        <f>S117*0.06</f>
        <v>0.25607372339999995</v>
      </c>
      <c r="U117" s="8">
        <f>S117/$Z$1</f>
        <v>0.58464320410958903</v>
      </c>
      <c r="V117" s="12">
        <f t="shared" ref="V117:V127" si="147">O117</f>
        <v>0.1651743354500472</v>
      </c>
    </row>
    <row r="118" spans="2:22" x14ac:dyDescent="0.3">
      <c r="B118">
        <v>2</v>
      </c>
      <c r="C118">
        <v>5014.8999999999996</v>
      </c>
      <c r="D118">
        <v>48136.9</v>
      </c>
      <c r="E118">
        <v>5277.3</v>
      </c>
      <c r="F118">
        <f t="shared" si="144"/>
        <v>4.8136900000000002</v>
      </c>
      <c r="G118">
        <f t="shared" si="145"/>
        <v>0.50148999999999999</v>
      </c>
      <c r="H118">
        <f t="shared" si="146"/>
        <v>4.3122000000000007</v>
      </c>
      <c r="I118">
        <f t="shared" ref="I118:I127" si="148">E118/10000</f>
        <v>0.52773000000000003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0.14651596484154553</v>
      </c>
      <c r="P118" s="4">
        <v>3</v>
      </c>
      <c r="Q118" s="5">
        <f t="shared" ref="Q118:R127" si="151">H118</f>
        <v>4.3122000000000007</v>
      </c>
      <c r="R118" s="5">
        <f t="shared" si="151"/>
        <v>0.52773000000000003</v>
      </c>
      <c r="S118" s="5">
        <f t="shared" ref="S118:S127" si="152">Q118/10^6*$Z$4*$Z$3/P118*10^12</f>
        <v>4.7908542000000018</v>
      </c>
      <c r="T118" s="5">
        <f t="shared" ref="T118:T127" si="153">S118*0.06</f>
        <v>0.2874512520000001</v>
      </c>
      <c r="U118" s="5">
        <f t="shared" ref="U118:U127" si="154">S118/$Z$1</f>
        <v>0.65628139726027424</v>
      </c>
      <c r="V118" s="5">
        <f t="shared" si="147"/>
        <v>0.14651596484154553</v>
      </c>
    </row>
    <row r="119" spans="2:22" x14ac:dyDescent="0.3">
      <c r="B119">
        <v>3</v>
      </c>
      <c r="C119">
        <v>-2378.1999999999998</v>
      </c>
      <c r="D119">
        <v>52183.4</v>
      </c>
      <c r="E119">
        <v>6705.2</v>
      </c>
      <c r="F119">
        <f t="shared" si="144"/>
        <v>5.2183400000000004</v>
      </c>
      <c r="G119">
        <f t="shared" si="145"/>
        <v>-0.23781999999999998</v>
      </c>
      <c r="H119">
        <f t="shared" si="146"/>
        <v>5.4561600000000006</v>
      </c>
      <c r="I119">
        <f t="shared" si="148"/>
        <v>0.67052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0.12639840228455843</v>
      </c>
      <c r="P119" s="4">
        <v>3</v>
      </c>
      <c r="Q119" s="5">
        <f t="shared" si="151"/>
        <v>5.4561600000000006</v>
      </c>
      <c r="R119" s="5">
        <f t="shared" si="151"/>
        <v>0.67052</v>
      </c>
      <c r="S119" s="5">
        <f t="shared" si="152"/>
        <v>6.0617937600000014</v>
      </c>
      <c r="T119" s="5">
        <f t="shared" si="153"/>
        <v>0.36370762560000008</v>
      </c>
      <c r="U119" s="5">
        <f t="shared" si="154"/>
        <v>0.83038270684931526</v>
      </c>
      <c r="V119" s="5">
        <f t="shared" si="147"/>
        <v>0.12639840228455843</v>
      </c>
    </row>
    <row r="120" spans="2:22" x14ac:dyDescent="0.3">
      <c r="B120">
        <v>4</v>
      </c>
      <c r="C120">
        <v>12094.2</v>
      </c>
      <c r="D120">
        <v>-5494.2</v>
      </c>
      <c r="E120">
        <v>24007.200000000001</v>
      </c>
      <c r="F120">
        <f t="shared" si="144"/>
        <v>-0.54942000000000002</v>
      </c>
      <c r="G120">
        <f t="shared" si="145"/>
        <v>1.2094200000000002</v>
      </c>
      <c r="H120">
        <f t="shared" si="146"/>
        <v>-1.7588400000000002</v>
      </c>
      <c r="I120">
        <f t="shared" si="148"/>
        <v>2.4007200000000002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7.6556441682418971E-2</v>
      </c>
      <c r="P120" s="4">
        <v>3</v>
      </c>
      <c r="Q120" s="5">
        <f t="shared" si="151"/>
        <v>-1.7588400000000002</v>
      </c>
      <c r="R120" s="5">
        <f t="shared" si="151"/>
        <v>2.4007200000000002</v>
      </c>
      <c r="S120" s="5">
        <f t="shared" si="152"/>
        <v>-1.9540712400000007</v>
      </c>
      <c r="T120" s="5">
        <f t="shared" si="153"/>
        <v>-0.11724427440000003</v>
      </c>
      <c r="U120" s="5">
        <f t="shared" si="154"/>
        <v>-0.267680991780822</v>
      </c>
      <c r="V120" s="5">
        <f t="shared" si="147"/>
        <v>7.6556441682418971E-2</v>
      </c>
    </row>
    <row r="121" spans="2:22" x14ac:dyDescent="0.3">
      <c r="B121">
        <v>5</v>
      </c>
      <c r="C121">
        <v>0</v>
      </c>
      <c r="D121">
        <v>0</v>
      </c>
      <c r="E121">
        <v>0</v>
      </c>
      <c r="F121">
        <f t="shared" si="144"/>
        <v>0</v>
      </c>
      <c r="G121">
        <f t="shared" si="145"/>
        <v>0</v>
      </c>
      <c r="H121">
        <f t="shared" si="146"/>
        <v>0</v>
      </c>
      <c r="I121">
        <f t="shared" si="148"/>
        <v>0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5.5332190013679422E-2</v>
      </c>
      <c r="P121" s="4">
        <v>3</v>
      </c>
      <c r="Q121" s="5">
        <f t="shared" si="151"/>
        <v>0</v>
      </c>
      <c r="R121" s="5">
        <f t="shared" si="151"/>
        <v>0</v>
      </c>
      <c r="S121" s="5">
        <f t="shared" si="152"/>
        <v>0</v>
      </c>
      <c r="T121" s="5">
        <f t="shared" si="153"/>
        <v>0</v>
      </c>
      <c r="U121" s="5">
        <f t="shared" si="154"/>
        <v>0</v>
      </c>
      <c r="V121" s="5">
        <f t="shared" si="147"/>
        <v>5.5332190013679422E-2</v>
      </c>
    </row>
    <row r="122" spans="2:22" x14ac:dyDescent="0.3">
      <c r="B122">
        <v>6</v>
      </c>
      <c r="C122">
        <v>0</v>
      </c>
      <c r="D122">
        <v>0</v>
      </c>
      <c r="E122">
        <v>0</v>
      </c>
      <c r="F122">
        <f t="shared" si="144"/>
        <v>0</v>
      </c>
      <c r="G122">
        <f t="shared" si="145"/>
        <v>0</v>
      </c>
      <c r="H122">
        <f t="shared" si="146"/>
        <v>0</v>
      </c>
      <c r="I122">
        <f t="shared" si="148"/>
        <v>0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3.8300530434979718E-2</v>
      </c>
      <c r="P122" s="4">
        <v>4</v>
      </c>
      <c r="Q122" s="5">
        <f t="shared" si="151"/>
        <v>0</v>
      </c>
      <c r="R122" s="5">
        <f t="shared" si="151"/>
        <v>0</v>
      </c>
      <c r="S122" s="5">
        <f t="shared" si="152"/>
        <v>0</v>
      </c>
      <c r="T122" s="5">
        <f t="shared" si="153"/>
        <v>0</v>
      </c>
      <c r="U122" s="5">
        <f t="shared" si="154"/>
        <v>0</v>
      </c>
      <c r="V122" s="5">
        <f t="shared" si="147"/>
        <v>3.8300530434979718E-2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44"/>
        <v>0</v>
      </c>
      <c r="G123">
        <f t="shared" si="145"/>
        <v>0</v>
      </c>
      <c r="H123">
        <f t="shared" si="146"/>
        <v>0</v>
      </c>
      <c r="I123">
        <f t="shared" si="148"/>
        <v>0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2.7688071320084776E-2</v>
      </c>
      <c r="P123" s="4">
        <v>4</v>
      </c>
      <c r="Q123" s="5">
        <f t="shared" si="151"/>
        <v>0</v>
      </c>
      <c r="R123" s="5">
        <f t="shared" si="151"/>
        <v>0</v>
      </c>
      <c r="S123" s="5">
        <f t="shared" si="152"/>
        <v>0</v>
      </c>
      <c r="T123" s="5">
        <f t="shared" si="153"/>
        <v>0</v>
      </c>
      <c r="U123" s="5">
        <f t="shared" si="154"/>
        <v>0</v>
      </c>
      <c r="V123" s="5">
        <f t="shared" si="147"/>
        <v>2.7688071320084776E-2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44"/>
        <v>0</v>
      </c>
      <c r="G124">
        <f t="shared" si="145"/>
        <v>0</v>
      </c>
      <c r="H124">
        <f t="shared" si="146"/>
        <v>0</v>
      </c>
      <c r="I124">
        <f t="shared" si="148"/>
        <v>0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2.3219647994067658E-2</v>
      </c>
      <c r="P124" s="4">
        <v>5</v>
      </c>
      <c r="Q124" s="5">
        <f t="shared" si="151"/>
        <v>0</v>
      </c>
      <c r="R124" s="5">
        <f t="shared" si="151"/>
        <v>0</v>
      </c>
      <c r="S124" s="5">
        <f t="shared" si="152"/>
        <v>0</v>
      </c>
      <c r="T124" s="5">
        <f t="shared" si="153"/>
        <v>0</v>
      </c>
      <c r="U124" s="5">
        <f t="shared" si="154"/>
        <v>0</v>
      </c>
      <c r="V124" s="5">
        <f t="shared" si="147"/>
        <v>2.3219647994067658E-2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44"/>
        <v>0</v>
      </c>
      <c r="G125">
        <f t="shared" si="145"/>
        <v>0</v>
      </c>
      <c r="H125">
        <f t="shared" si="146"/>
        <v>0</v>
      </c>
      <c r="I125">
        <f t="shared" si="148"/>
        <v>0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1.8713385202155802E-2</v>
      </c>
      <c r="P125" s="4">
        <v>8</v>
      </c>
      <c r="Q125" s="5">
        <f t="shared" si="151"/>
        <v>0</v>
      </c>
      <c r="R125" s="5">
        <f t="shared" si="151"/>
        <v>0</v>
      </c>
      <c r="S125" s="5">
        <f t="shared" si="152"/>
        <v>0</v>
      </c>
      <c r="T125" s="5">
        <f t="shared" si="153"/>
        <v>0</v>
      </c>
      <c r="U125" s="5">
        <f t="shared" si="154"/>
        <v>0</v>
      </c>
      <c r="V125" s="5">
        <f t="shared" si="147"/>
        <v>1.8713385202155802E-2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1.3400997792730079E-2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1.3400997792730079E-2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8.6420089236338374E-3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8.6420089236338374E-3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9516.7999999999993</v>
      </c>
      <c r="D131">
        <v>35104.1</v>
      </c>
      <c r="E131">
        <v>9274.4</v>
      </c>
      <c r="F131">
        <f t="shared" ref="F131:F141" si="156">D131/10000</f>
        <v>3.5104099999999998</v>
      </c>
      <c r="G131">
        <f t="shared" ref="G131:G141" si="157">C131/10000</f>
        <v>0.95167999999999997</v>
      </c>
      <c r="H131">
        <f t="shared" ref="H131:H141" si="158">F131-G131</f>
        <v>2.5587299999999997</v>
      </c>
      <c r="I131">
        <f>E131/10000</f>
        <v>0.92743999999999993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0.1101162236333648</v>
      </c>
      <c r="P131" s="2">
        <v>3</v>
      </c>
      <c r="Q131" s="8">
        <f>H131</f>
        <v>2.5587299999999997</v>
      </c>
      <c r="R131" s="8">
        <f>I131</f>
        <v>0.92743999999999993</v>
      </c>
      <c r="S131" s="8">
        <f>Q131/10^6*$Z$4*$Z$3/P131*10^12</f>
        <v>2.8427490299999993</v>
      </c>
      <c r="T131" s="8">
        <f>S131*0.06</f>
        <v>0.17056494179999995</v>
      </c>
      <c r="U131" s="8">
        <f>S131/$Z$1</f>
        <v>0.38941767534246569</v>
      </c>
      <c r="V131" s="12">
        <f t="shared" ref="V131:V141" si="159">O131</f>
        <v>0.1101162236333648</v>
      </c>
    </row>
    <row r="132" spans="2:22" x14ac:dyDescent="0.3">
      <c r="B132">
        <v>2</v>
      </c>
      <c r="C132">
        <v>11961.4</v>
      </c>
      <c r="D132">
        <v>47017</v>
      </c>
      <c r="E132">
        <v>11342.9</v>
      </c>
      <c r="F132">
        <f t="shared" si="156"/>
        <v>4.7016999999999998</v>
      </c>
      <c r="G132">
        <f t="shared" si="157"/>
        <v>1.19614</v>
      </c>
      <c r="H132">
        <f t="shared" si="158"/>
        <v>3.50556</v>
      </c>
      <c r="I132">
        <f t="shared" ref="I132:I141" si="160">E132/10000</f>
        <v>1.13429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9.7677309894363684E-2</v>
      </c>
      <c r="P132" s="4">
        <v>3</v>
      </c>
      <c r="Q132" s="5">
        <f t="shared" ref="Q132:R141" si="163">H132</f>
        <v>3.50556</v>
      </c>
      <c r="R132" s="5">
        <f t="shared" si="163"/>
        <v>1.13429</v>
      </c>
      <c r="S132" s="5">
        <f t="shared" ref="S132:S141" si="164">Q132/10^6*$Z$4*$Z$3/P132*10^12</f>
        <v>3.8946771600000005</v>
      </c>
      <c r="T132" s="5">
        <f t="shared" ref="T132:T141" si="165">S132*0.06</f>
        <v>0.23368062960000002</v>
      </c>
      <c r="U132" s="5">
        <f t="shared" ref="U132:U141" si="166">S132/$Z$1</f>
        <v>0.53351741917808226</v>
      </c>
      <c r="V132" s="5">
        <f t="shared" si="159"/>
        <v>9.7677309894363684E-2</v>
      </c>
    </row>
    <row r="133" spans="2:22" x14ac:dyDescent="0.3">
      <c r="B133">
        <v>3</v>
      </c>
      <c r="C133">
        <v>23587</v>
      </c>
      <c r="D133">
        <v>54883.199999999997</v>
      </c>
      <c r="E133">
        <v>6977.5</v>
      </c>
      <c r="F133">
        <f t="shared" si="156"/>
        <v>5.4883199999999999</v>
      </c>
      <c r="G133">
        <f t="shared" si="157"/>
        <v>2.3586999999999998</v>
      </c>
      <c r="H133">
        <f t="shared" si="158"/>
        <v>3.1296200000000001</v>
      </c>
      <c r="I133">
        <f t="shared" si="160"/>
        <v>0.69774999999999998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8.4265601523038955E-2</v>
      </c>
      <c r="P133" s="4">
        <v>3</v>
      </c>
      <c r="Q133" s="5">
        <f t="shared" si="163"/>
        <v>3.1296200000000001</v>
      </c>
      <c r="R133" s="5">
        <f t="shared" si="163"/>
        <v>0.69774999999999998</v>
      </c>
      <c r="S133" s="5">
        <f t="shared" si="164"/>
        <v>3.4770078199999999</v>
      </c>
      <c r="T133" s="5">
        <f t="shared" si="165"/>
        <v>0.20862046919999999</v>
      </c>
      <c r="U133" s="5">
        <f t="shared" si="166"/>
        <v>0.47630244109589043</v>
      </c>
      <c r="V133" s="5">
        <f t="shared" si="159"/>
        <v>8.4265601523038955E-2</v>
      </c>
    </row>
    <row r="134" spans="2:22" x14ac:dyDescent="0.3">
      <c r="B134">
        <v>4</v>
      </c>
      <c r="C134">
        <v>9214.2000000000007</v>
      </c>
      <c r="D134">
        <v>47867.3</v>
      </c>
      <c r="E134">
        <v>9113.5</v>
      </c>
      <c r="F134">
        <f t="shared" si="156"/>
        <v>4.7867300000000004</v>
      </c>
      <c r="G134">
        <f t="shared" si="157"/>
        <v>0.92142000000000013</v>
      </c>
      <c r="H134">
        <f t="shared" si="158"/>
        <v>3.86531</v>
      </c>
      <c r="I134">
        <f t="shared" si="160"/>
        <v>0.91134999999999999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5.1037627788279312E-2</v>
      </c>
      <c r="P134" s="4">
        <v>3</v>
      </c>
      <c r="Q134" s="5">
        <f t="shared" si="163"/>
        <v>3.86531</v>
      </c>
      <c r="R134" s="5">
        <f t="shared" si="163"/>
        <v>0.91134999999999999</v>
      </c>
      <c r="S134" s="5">
        <f t="shared" si="164"/>
        <v>4.2943594100000002</v>
      </c>
      <c r="T134" s="5">
        <f t="shared" si="165"/>
        <v>0.2576615646</v>
      </c>
      <c r="U134" s="5">
        <f t="shared" si="166"/>
        <v>0.58826841232876714</v>
      </c>
      <c r="V134" s="5">
        <f t="shared" si="159"/>
        <v>5.1037627788279312E-2</v>
      </c>
    </row>
    <row r="135" spans="2:22" x14ac:dyDescent="0.3">
      <c r="B135">
        <v>5</v>
      </c>
      <c r="C135">
        <v>9930.7000000000007</v>
      </c>
      <c r="D135">
        <v>35700.6</v>
      </c>
      <c r="E135">
        <v>6768.3</v>
      </c>
      <c r="F135">
        <f t="shared" si="156"/>
        <v>3.5700599999999998</v>
      </c>
      <c r="G135">
        <f t="shared" si="157"/>
        <v>0.99307000000000012</v>
      </c>
      <c r="H135">
        <f t="shared" si="158"/>
        <v>2.5769899999999994</v>
      </c>
      <c r="I135">
        <f t="shared" si="160"/>
        <v>0.67683000000000004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3.6888126675786281E-2</v>
      </c>
      <c r="P135" s="4">
        <v>3</v>
      </c>
      <c r="Q135" s="5">
        <f t="shared" si="163"/>
        <v>2.5769899999999994</v>
      </c>
      <c r="R135" s="5">
        <f t="shared" si="163"/>
        <v>0.67683000000000004</v>
      </c>
      <c r="S135" s="5">
        <f t="shared" si="164"/>
        <v>2.863035889999999</v>
      </c>
      <c r="T135" s="5">
        <f t="shared" si="165"/>
        <v>0.17178215339999994</v>
      </c>
      <c r="U135" s="5">
        <f t="shared" si="166"/>
        <v>0.39219669726027384</v>
      </c>
      <c r="V135" s="5">
        <f t="shared" si="159"/>
        <v>3.6888126675786281E-2</v>
      </c>
    </row>
    <row r="136" spans="2:22" x14ac:dyDescent="0.3">
      <c r="B136">
        <v>6</v>
      </c>
      <c r="C136">
        <v>6501.2</v>
      </c>
      <c r="D136">
        <v>32770.800000000003</v>
      </c>
      <c r="E136">
        <v>5093.6000000000004</v>
      </c>
      <c r="F136">
        <f t="shared" si="156"/>
        <v>3.2770800000000002</v>
      </c>
      <c r="G136">
        <f t="shared" si="157"/>
        <v>0.65012000000000003</v>
      </c>
      <c r="H136">
        <f t="shared" si="158"/>
        <v>2.6269600000000004</v>
      </c>
      <c r="I136">
        <f t="shared" si="160"/>
        <v>0.50936000000000003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2.5533686956653145E-2</v>
      </c>
      <c r="P136" s="4">
        <v>4</v>
      </c>
      <c r="Q136" s="5">
        <f t="shared" si="163"/>
        <v>2.6269600000000004</v>
      </c>
      <c r="R136" s="5">
        <f t="shared" si="163"/>
        <v>0.50936000000000003</v>
      </c>
      <c r="S136" s="5">
        <f t="shared" si="164"/>
        <v>2.1889144200000006</v>
      </c>
      <c r="T136" s="5">
        <f t="shared" si="165"/>
        <v>0.13133486520000004</v>
      </c>
      <c r="U136" s="5">
        <f t="shared" si="166"/>
        <v>0.29985129041095898</v>
      </c>
      <c r="V136" s="5">
        <f t="shared" si="159"/>
        <v>2.5533686956653145E-2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1.8458714213389852E-2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1.8458714213389852E-2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1.5479765329378439E-2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1.5479765329378439E-2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1.2475590134770535E-2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1.2475590134770535E-2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8.9339985284867182E-3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8.9339985284867182E-3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5.7613392824225583E-3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5.7613392824225583E-3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4180.2</v>
      </c>
      <c r="D145">
        <v>34547.699999999997</v>
      </c>
      <c r="E145">
        <v>10133.5</v>
      </c>
      <c r="F145">
        <f t="shared" ref="F145:F155" si="168">D145/10000</f>
        <v>3.4547699999999999</v>
      </c>
      <c r="G145">
        <f t="shared" ref="G145:G155" si="169">C145/10000</f>
        <v>0.41802</v>
      </c>
      <c r="H145">
        <f t="shared" ref="H145:H155" si="170">F145-G145</f>
        <v>3.0367500000000001</v>
      </c>
      <c r="I145">
        <f>E145/10000</f>
        <v>1.01335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8.25871677250236E-2</v>
      </c>
      <c r="P145" s="2">
        <v>3</v>
      </c>
      <c r="Q145" s="8">
        <f>H145</f>
        <v>3.0367500000000001</v>
      </c>
      <c r="R145" s="8">
        <f>I145</f>
        <v>1.01335</v>
      </c>
      <c r="S145" s="8">
        <f>Q145/10^6*$Z$4*$Z$3/P145*10^12</f>
        <v>3.3738292500000004</v>
      </c>
      <c r="T145" s="8">
        <f>S145*0.06</f>
        <v>0.20242975500000002</v>
      </c>
      <c r="U145" s="8">
        <f>S145/$Z$1</f>
        <v>0.46216839041095897</v>
      </c>
      <c r="V145" s="12">
        <f t="shared" ref="V145:V155" si="171">O145</f>
        <v>8.25871677250236E-2</v>
      </c>
    </row>
    <row r="146" spans="2:22" x14ac:dyDescent="0.3">
      <c r="B146">
        <v>2</v>
      </c>
      <c r="C146">
        <v>16461.400000000001</v>
      </c>
      <c r="D146">
        <v>40475.699999999997</v>
      </c>
      <c r="E146">
        <v>9301</v>
      </c>
      <c r="F146">
        <f t="shared" si="168"/>
        <v>4.0475699999999994</v>
      </c>
      <c r="G146">
        <f t="shared" si="169"/>
        <v>1.6461400000000002</v>
      </c>
      <c r="H146">
        <f t="shared" si="170"/>
        <v>2.4014299999999995</v>
      </c>
      <c r="I146">
        <f t="shared" ref="I146:I155" si="172">E146/10000</f>
        <v>0.93010000000000004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7.3257982420772763E-2</v>
      </c>
      <c r="P146" s="4">
        <v>3</v>
      </c>
      <c r="Q146" s="5">
        <f t="shared" ref="Q146:R155" si="175">H146</f>
        <v>2.4014299999999995</v>
      </c>
      <c r="R146" s="5">
        <f t="shared" si="175"/>
        <v>0.93010000000000004</v>
      </c>
      <c r="S146" s="5">
        <f t="shared" ref="S146:S155" si="176">Q146/10^6*$Z$4*$Z$3/P146*10^12</f>
        <v>2.6679887299999998</v>
      </c>
      <c r="T146" s="5">
        <f t="shared" ref="T146:T155" si="177">S146*0.06</f>
        <v>0.16007932379999998</v>
      </c>
      <c r="U146" s="5">
        <f t="shared" ref="U146:U155" si="178">S146/$Z$1</f>
        <v>0.36547790821917808</v>
      </c>
      <c r="V146" s="5">
        <f t="shared" si="171"/>
        <v>7.3257982420772763E-2</v>
      </c>
    </row>
    <row r="147" spans="2:22" x14ac:dyDescent="0.3">
      <c r="B147">
        <v>3</v>
      </c>
      <c r="C147">
        <v>2809.7</v>
      </c>
      <c r="D147">
        <v>37365.300000000003</v>
      </c>
      <c r="E147">
        <v>9295.2999999999993</v>
      </c>
      <c r="F147">
        <f t="shared" si="168"/>
        <v>3.7365300000000001</v>
      </c>
      <c r="G147">
        <f t="shared" si="169"/>
        <v>0.28097</v>
      </c>
      <c r="H147">
        <f t="shared" si="170"/>
        <v>3.4555600000000002</v>
      </c>
      <c r="I147">
        <f t="shared" si="172"/>
        <v>0.92952999999999997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6.3199201142279213E-2</v>
      </c>
      <c r="P147" s="4">
        <v>3</v>
      </c>
      <c r="Q147" s="5">
        <f t="shared" si="175"/>
        <v>3.4555600000000002</v>
      </c>
      <c r="R147" s="5">
        <f t="shared" si="175"/>
        <v>0.92952999999999997</v>
      </c>
      <c r="S147" s="5">
        <f t="shared" si="176"/>
        <v>3.8391271600000003</v>
      </c>
      <c r="T147" s="5">
        <f t="shared" si="177"/>
        <v>0.23034762960000002</v>
      </c>
      <c r="U147" s="5">
        <f t="shared" si="178"/>
        <v>0.52590783013698639</v>
      </c>
      <c r="V147" s="5">
        <f t="shared" si="171"/>
        <v>6.3199201142279213E-2</v>
      </c>
    </row>
    <row r="148" spans="2:22" x14ac:dyDescent="0.3">
      <c r="B148">
        <v>4</v>
      </c>
      <c r="C148">
        <v>12865.7</v>
      </c>
      <c r="D148">
        <v>31707.5</v>
      </c>
      <c r="E148">
        <v>6820.6</v>
      </c>
      <c r="F148">
        <f t="shared" si="168"/>
        <v>3.17075</v>
      </c>
      <c r="G148">
        <f t="shared" si="169"/>
        <v>1.28657</v>
      </c>
      <c r="H148">
        <f t="shared" si="170"/>
        <v>1.88418</v>
      </c>
      <c r="I148">
        <f t="shared" si="172"/>
        <v>0.68206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3.8278220841209486E-2</v>
      </c>
      <c r="P148" s="4">
        <v>3</v>
      </c>
      <c r="Q148" s="5">
        <f t="shared" si="175"/>
        <v>1.88418</v>
      </c>
      <c r="R148" s="5">
        <f t="shared" si="175"/>
        <v>0.68206</v>
      </c>
      <c r="S148" s="5">
        <f t="shared" si="176"/>
        <v>2.0933239800000001</v>
      </c>
      <c r="T148" s="5">
        <f t="shared" si="177"/>
        <v>0.12559943879999999</v>
      </c>
      <c r="U148" s="5">
        <f t="shared" si="178"/>
        <v>0.28675670958904109</v>
      </c>
      <c r="V148" s="5">
        <f t="shared" si="171"/>
        <v>3.8278220841209486E-2</v>
      </c>
    </row>
    <row r="149" spans="2:22" x14ac:dyDescent="0.3">
      <c r="B149">
        <v>5</v>
      </c>
      <c r="C149">
        <v>0</v>
      </c>
      <c r="D149">
        <v>0</v>
      </c>
      <c r="E149">
        <v>0</v>
      </c>
      <c r="F149">
        <f t="shared" si="168"/>
        <v>0</v>
      </c>
      <c r="G149">
        <f t="shared" si="169"/>
        <v>0</v>
      </c>
      <c r="H149">
        <f t="shared" si="170"/>
        <v>0</v>
      </c>
      <c r="I149">
        <f t="shared" si="172"/>
        <v>0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2.7666095006839711E-2</v>
      </c>
      <c r="P149" s="4">
        <v>3</v>
      </c>
      <c r="Q149" s="5">
        <f t="shared" si="175"/>
        <v>0</v>
      </c>
      <c r="R149" s="5">
        <f t="shared" si="175"/>
        <v>0</v>
      </c>
      <c r="S149" s="5">
        <f t="shared" si="176"/>
        <v>0</v>
      </c>
      <c r="T149" s="5">
        <f t="shared" si="177"/>
        <v>0</v>
      </c>
      <c r="U149" s="5">
        <f t="shared" si="178"/>
        <v>0</v>
      </c>
      <c r="V149" s="5">
        <f t="shared" si="171"/>
        <v>2.7666095006839711E-2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1.9150265217489859E-2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1.9150265217489859E-2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1.3844035660042388E-2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1.3844035660042388E-2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1.1609823997033829E-2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1.1609823997033829E-2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9.3566926010779008E-3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9.3566926010779008E-3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6.7004988963650395E-3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6.7004988963650395E-3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4.3210044618169187E-3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4.3210044618169187E-3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12710.4</v>
      </c>
      <c r="D159">
        <v>45270.400000000001</v>
      </c>
      <c r="E159">
        <v>18960.7</v>
      </c>
      <c r="F159">
        <f t="shared" ref="F159:F169" si="180">D159/10000</f>
        <v>4.5270400000000004</v>
      </c>
      <c r="G159">
        <f t="shared" ref="G159:G169" si="181">C159/10000</f>
        <v>1.2710399999999999</v>
      </c>
      <c r="H159">
        <f t="shared" ref="H159:H169" si="182">F159-G159</f>
        <v>3.2560000000000002</v>
      </c>
      <c r="I159">
        <f>E159/10000</f>
        <v>1.8960700000000001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6.606973418001888E-2</v>
      </c>
      <c r="P159" s="2">
        <v>3</v>
      </c>
      <c r="Q159" s="8">
        <f>H159</f>
        <v>3.2560000000000002</v>
      </c>
      <c r="R159" s="8">
        <f>I159</f>
        <v>1.8960700000000001</v>
      </c>
      <c r="S159" s="8">
        <f>Q159/10^6*$Z$4*$Z$3/P159*10^12</f>
        <v>3.6174160000000009</v>
      </c>
      <c r="T159" s="8">
        <f>S159*0.06</f>
        <v>0.21704496000000004</v>
      </c>
      <c r="U159" s="8">
        <f>S159/$Z$1</f>
        <v>0.49553643835616451</v>
      </c>
      <c r="V159" s="12">
        <f t="shared" ref="V159:V169" si="183">O159</f>
        <v>6.606973418001888E-2</v>
      </c>
    </row>
    <row r="160" spans="2:22" x14ac:dyDescent="0.3">
      <c r="B160">
        <v>2</v>
      </c>
      <c r="C160">
        <v>14481.3</v>
      </c>
      <c r="D160">
        <v>60409.4</v>
      </c>
      <c r="E160">
        <v>10925.1</v>
      </c>
      <c r="F160">
        <f t="shared" si="180"/>
        <v>6.04094</v>
      </c>
      <c r="G160">
        <f t="shared" si="181"/>
        <v>1.4481299999999999</v>
      </c>
      <c r="H160">
        <f t="shared" si="182"/>
        <v>4.5928100000000001</v>
      </c>
      <c r="I160">
        <f t="shared" ref="I160:I169" si="184">E160/10000</f>
        <v>1.0925100000000001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5.8606385936618204E-2</v>
      </c>
      <c r="P160" s="4">
        <v>3</v>
      </c>
      <c r="Q160" s="5">
        <f t="shared" ref="Q160:R169" si="187">H160</f>
        <v>4.5928100000000001</v>
      </c>
      <c r="R160" s="5">
        <f t="shared" si="187"/>
        <v>1.0925100000000001</v>
      </c>
      <c r="S160" s="5">
        <f t="shared" ref="S160:S169" si="188">Q160/10^6*$Z$4*$Z$3/P160*10^12</f>
        <v>5.1026119099999994</v>
      </c>
      <c r="T160" s="5">
        <f t="shared" ref="T160:T169" si="189">S160*0.06</f>
        <v>0.30615671459999994</v>
      </c>
      <c r="U160" s="5">
        <f t="shared" ref="U160:U169" si="190">S160/$Z$1</f>
        <v>0.69898793287671224</v>
      </c>
      <c r="V160" s="5">
        <f t="shared" si="183"/>
        <v>5.8606385936618204E-2</v>
      </c>
    </row>
    <row r="161" spans="2:22" x14ac:dyDescent="0.3">
      <c r="B161">
        <v>3</v>
      </c>
      <c r="C161">
        <v>23196.3</v>
      </c>
      <c r="D161">
        <v>58998.6</v>
      </c>
      <c r="E161">
        <v>10402.9</v>
      </c>
      <c r="F161">
        <f t="shared" si="180"/>
        <v>5.8998599999999994</v>
      </c>
      <c r="G161">
        <f t="shared" si="181"/>
        <v>2.3196300000000001</v>
      </c>
      <c r="H161">
        <f t="shared" si="182"/>
        <v>3.5802299999999994</v>
      </c>
      <c r="I161">
        <f t="shared" si="184"/>
        <v>1.0402899999999999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5.0559360913823376E-2</v>
      </c>
      <c r="P161" s="4">
        <v>3</v>
      </c>
      <c r="Q161" s="5">
        <f t="shared" si="187"/>
        <v>3.5802299999999994</v>
      </c>
      <c r="R161" s="5">
        <f t="shared" si="187"/>
        <v>1.0402899999999999</v>
      </c>
      <c r="S161" s="5">
        <f t="shared" si="188"/>
        <v>3.9776355299999988</v>
      </c>
      <c r="T161" s="5">
        <f t="shared" si="189"/>
        <v>0.23865813179999992</v>
      </c>
      <c r="U161" s="5">
        <f t="shared" si="190"/>
        <v>0.54488157945205462</v>
      </c>
      <c r="V161" s="5">
        <f t="shared" si="183"/>
        <v>5.0559360913823376E-2</v>
      </c>
    </row>
    <row r="162" spans="2:22" x14ac:dyDescent="0.3">
      <c r="B162">
        <v>4</v>
      </c>
      <c r="C162">
        <v>15415.7</v>
      </c>
      <c r="D162">
        <v>41773.9</v>
      </c>
      <c r="E162">
        <v>7306.5</v>
      </c>
      <c r="F162">
        <f t="shared" si="180"/>
        <v>4.1773899999999999</v>
      </c>
      <c r="G162">
        <f t="shared" si="181"/>
        <v>1.5415700000000001</v>
      </c>
      <c r="H162">
        <f t="shared" si="182"/>
        <v>2.6358199999999998</v>
      </c>
      <c r="I162">
        <f t="shared" si="184"/>
        <v>0.73065000000000002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3.0622576672967586E-2</v>
      </c>
      <c r="P162" s="4">
        <v>3</v>
      </c>
      <c r="Q162" s="5">
        <f t="shared" si="187"/>
        <v>2.6358199999999998</v>
      </c>
      <c r="R162" s="5">
        <f t="shared" si="187"/>
        <v>0.73065000000000002</v>
      </c>
      <c r="S162" s="5">
        <f t="shared" si="188"/>
        <v>2.9283960200000001</v>
      </c>
      <c r="T162" s="5">
        <f t="shared" si="189"/>
        <v>0.1757037612</v>
      </c>
      <c r="U162" s="5">
        <f t="shared" si="190"/>
        <v>0.40115013972602742</v>
      </c>
      <c r="V162" s="5">
        <f t="shared" si="183"/>
        <v>3.0622576672967586E-2</v>
      </c>
    </row>
    <row r="163" spans="2:22" x14ac:dyDescent="0.3">
      <c r="B163">
        <v>5</v>
      </c>
      <c r="C163">
        <v>0</v>
      </c>
      <c r="D163">
        <v>0</v>
      </c>
      <c r="E163">
        <v>0</v>
      </c>
      <c r="F163">
        <f t="shared" si="180"/>
        <v>0</v>
      </c>
      <c r="G163">
        <f t="shared" si="181"/>
        <v>0</v>
      </c>
      <c r="H163">
        <f t="shared" si="182"/>
        <v>0</v>
      </c>
      <c r="I163">
        <f t="shared" si="184"/>
        <v>0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2.2132876005471772E-2</v>
      </c>
      <c r="P163" s="4">
        <v>3</v>
      </c>
      <c r="Q163" s="5">
        <f t="shared" si="187"/>
        <v>0</v>
      </c>
      <c r="R163" s="5">
        <f t="shared" si="187"/>
        <v>0</v>
      </c>
      <c r="S163" s="5">
        <f t="shared" si="188"/>
        <v>0</v>
      </c>
      <c r="T163" s="5">
        <f t="shared" si="189"/>
        <v>0</v>
      </c>
      <c r="U163" s="5">
        <f t="shared" si="190"/>
        <v>0</v>
      </c>
      <c r="V163" s="5">
        <f t="shared" si="183"/>
        <v>2.2132876005471772E-2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1.5320212173991888E-2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1.5320212173991888E-2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1.1075228528033909E-2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1.1075228528033909E-2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9.287859197627063E-3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9.287859197627063E-3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7.4853540808623199E-3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7.4853540808623199E-3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5.3603991170920314E-3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5.3603991170920314E-3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3.4568035694535347E-3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3.4568035694535347E-3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CQ170"/>
  <sheetViews>
    <sheetView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-44.8</v>
      </c>
      <c r="D5">
        <v>95627.199999999997</v>
      </c>
      <c r="E5">
        <v>7860.9</v>
      </c>
      <c r="F5">
        <f t="shared" ref="F5:F15" si="0">D5/10000</f>
        <v>9.5627200000000006</v>
      </c>
      <c r="G5">
        <f t="shared" ref="G5:G15" si="1">C5/10000</f>
        <v>-4.4799999999999996E-3</v>
      </c>
      <c r="H5">
        <f t="shared" ref="H5:H15" si="2">F5-G5</f>
        <v>9.5671999999999997</v>
      </c>
      <c r="I5">
        <f>E5/10000</f>
        <v>0.78608999999999996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0.7078900090716308</v>
      </c>
      <c r="P5" s="2">
        <v>3</v>
      </c>
      <c r="Q5" s="8">
        <f>H5</f>
        <v>9.5671999999999997</v>
      </c>
      <c r="R5" s="8">
        <f>I5</f>
        <v>0.78608999999999996</v>
      </c>
      <c r="S5" s="8">
        <f>Q5/10^6*$Z$4*$Z$3/P5*10^12</f>
        <v>10.6291592</v>
      </c>
      <c r="T5" s="8">
        <f>S5*0.06</f>
        <v>0.63774955199999994</v>
      </c>
      <c r="U5" s="8">
        <f>S5/$Z$1</f>
        <v>1.456049205479452</v>
      </c>
      <c r="V5" s="12">
        <f t="shared" ref="V5:V15" si="4">O5</f>
        <v>0.7078900090716308</v>
      </c>
    </row>
    <row r="6" spans="2:95" x14ac:dyDescent="0.3">
      <c r="B6">
        <v>2</v>
      </c>
      <c r="C6">
        <v>-12026.3</v>
      </c>
      <c r="D6">
        <v>105038</v>
      </c>
      <c r="E6">
        <v>6539.2</v>
      </c>
      <c r="F6">
        <f t="shared" si="0"/>
        <v>10.5038</v>
      </c>
      <c r="G6">
        <f t="shared" si="1"/>
        <v>-1.2026299999999999</v>
      </c>
      <c r="H6">
        <f t="shared" si="2"/>
        <v>11.706429999999999</v>
      </c>
      <c r="I6">
        <f t="shared" ref="I6:I15" si="5">E6/10000</f>
        <v>0.65391999999999995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0.62792556360662366</v>
      </c>
      <c r="P6" s="4">
        <v>3</v>
      </c>
      <c r="Q6" s="5">
        <f t="shared" ref="Q6:R15" si="7">H6</f>
        <v>11.706429999999999</v>
      </c>
      <c r="R6" s="5">
        <f t="shared" si="7"/>
        <v>0.65391999999999995</v>
      </c>
      <c r="S6" s="5">
        <f t="shared" ref="S6:S15" si="8">Q6/10^6*$Z$4*$Z$3/P6*10^12</f>
        <v>13.00584373</v>
      </c>
      <c r="T6" s="5">
        <f t="shared" ref="T6:T15" si="9">S6*0.06</f>
        <v>0.78035062379999998</v>
      </c>
      <c r="U6" s="5">
        <f t="shared" ref="U6:U15" si="10">S6/$Z$1</f>
        <v>1.7816224287671234</v>
      </c>
      <c r="V6" s="5">
        <f t="shared" si="4"/>
        <v>0.62792556360662366</v>
      </c>
    </row>
    <row r="7" spans="2:95" x14ac:dyDescent="0.3">
      <c r="B7">
        <v>3</v>
      </c>
      <c r="C7">
        <v>-15222.2</v>
      </c>
      <c r="D7">
        <v>102487</v>
      </c>
      <c r="E7">
        <v>6792</v>
      </c>
      <c r="F7">
        <f t="shared" si="0"/>
        <v>10.248699999999999</v>
      </c>
      <c r="G7">
        <f t="shared" si="1"/>
        <v>-1.5222200000000001</v>
      </c>
      <c r="H7">
        <f t="shared" si="2"/>
        <v>11.77092</v>
      </c>
      <c r="I7">
        <f t="shared" si="5"/>
        <v>0.67920000000000003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0.54170743836239332</v>
      </c>
      <c r="P7" s="4">
        <v>3</v>
      </c>
      <c r="Q7" s="5">
        <f t="shared" si="7"/>
        <v>11.77092</v>
      </c>
      <c r="R7" s="5">
        <f t="shared" si="7"/>
        <v>0.67920000000000003</v>
      </c>
      <c r="S7" s="5">
        <f t="shared" si="8"/>
        <v>13.077492120000002</v>
      </c>
      <c r="T7" s="5">
        <f t="shared" si="9"/>
        <v>0.78464952720000014</v>
      </c>
      <c r="U7" s="5">
        <f t="shared" si="10"/>
        <v>1.7914372767123292</v>
      </c>
      <c r="V7" s="5">
        <f t="shared" si="4"/>
        <v>0.54170743836239332</v>
      </c>
      <c r="Y7" t="s">
        <v>41</v>
      </c>
      <c r="Z7">
        <v>7</v>
      </c>
    </row>
    <row r="8" spans="2:95" x14ac:dyDescent="0.3">
      <c r="B8">
        <v>4</v>
      </c>
      <c r="C8">
        <v>-11244.3</v>
      </c>
      <c r="D8">
        <v>69511.5</v>
      </c>
      <c r="E8">
        <v>6995.9</v>
      </c>
      <c r="F8">
        <f t="shared" si="0"/>
        <v>6.9511500000000002</v>
      </c>
      <c r="G8">
        <f t="shared" si="1"/>
        <v>-1.1244299999999998</v>
      </c>
      <c r="H8">
        <f t="shared" si="2"/>
        <v>8.0755800000000004</v>
      </c>
      <c r="I8">
        <f t="shared" si="5"/>
        <v>0.69958999999999993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0.32809903578179561</v>
      </c>
      <c r="P8" s="4">
        <v>3</v>
      </c>
      <c r="Q8" s="5">
        <f t="shared" si="7"/>
        <v>8.0755800000000004</v>
      </c>
      <c r="R8" s="5">
        <f t="shared" si="7"/>
        <v>0.69958999999999993</v>
      </c>
      <c r="S8" s="5">
        <f t="shared" si="8"/>
        <v>8.9719693800000009</v>
      </c>
      <c r="T8" s="5">
        <f t="shared" si="9"/>
        <v>0.5383181628</v>
      </c>
      <c r="U8" s="5">
        <f t="shared" si="10"/>
        <v>1.2290369013698632</v>
      </c>
      <c r="V8" s="5">
        <f t="shared" si="4"/>
        <v>0.32809903578179561</v>
      </c>
    </row>
    <row r="9" spans="2:95" x14ac:dyDescent="0.3">
      <c r="B9">
        <v>5</v>
      </c>
      <c r="C9">
        <v>-15982.9</v>
      </c>
      <c r="D9">
        <v>49084.800000000003</v>
      </c>
      <c r="E9">
        <v>5009.3999999999996</v>
      </c>
      <c r="F9">
        <f t="shared" si="0"/>
        <v>4.90848</v>
      </c>
      <c r="G9">
        <f t="shared" si="1"/>
        <v>-1.59829</v>
      </c>
      <c r="H9">
        <f t="shared" si="2"/>
        <v>6.5067699999999995</v>
      </c>
      <c r="I9">
        <f t="shared" si="5"/>
        <v>0.50093999999999994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0.23713795720148326</v>
      </c>
      <c r="P9" s="4">
        <v>3</v>
      </c>
      <c r="Q9" s="5">
        <f t="shared" si="7"/>
        <v>6.5067699999999995</v>
      </c>
      <c r="R9" s="5">
        <f t="shared" si="7"/>
        <v>0.50093999999999994</v>
      </c>
      <c r="S9" s="5">
        <f t="shared" si="8"/>
        <v>7.2290214699999993</v>
      </c>
      <c r="T9" s="5">
        <f t="shared" si="9"/>
        <v>0.43374128819999996</v>
      </c>
      <c r="U9" s="5">
        <f t="shared" si="10"/>
        <v>0.99027691369863002</v>
      </c>
      <c r="V9" s="5">
        <f t="shared" si="4"/>
        <v>0.23713795720148326</v>
      </c>
    </row>
    <row r="10" spans="2:95" ht="15" thickBot="1" x14ac:dyDescent="0.35">
      <c r="B10">
        <v>6</v>
      </c>
      <c r="C10">
        <v>-19054.8</v>
      </c>
      <c r="D10">
        <v>47488.7</v>
      </c>
      <c r="E10">
        <v>4178.1000000000004</v>
      </c>
      <c r="F10">
        <f t="shared" si="0"/>
        <v>4.7488700000000001</v>
      </c>
      <c r="G10">
        <f t="shared" si="1"/>
        <v>-1.9054799999999998</v>
      </c>
      <c r="H10">
        <f t="shared" si="2"/>
        <v>6.65435</v>
      </c>
      <c r="I10">
        <f t="shared" si="5"/>
        <v>0.41781000000000001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0.16414513043562737</v>
      </c>
      <c r="P10" s="4">
        <v>4</v>
      </c>
      <c r="Q10" s="5">
        <f t="shared" si="7"/>
        <v>6.65435</v>
      </c>
      <c r="R10" s="5">
        <f t="shared" si="7"/>
        <v>0.41781000000000001</v>
      </c>
      <c r="S10" s="5">
        <f t="shared" si="8"/>
        <v>5.5447371375000003</v>
      </c>
      <c r="T10" s="5">
        <f t="shared" si="9"/>
        <v>0.33268422824999999</v>
      </c>
      <c r="U10" s="5">
        <f t="shared" si="10"/>
        <v>0.75955303253424666</v>
      </c>
      <c r="V10" s="5">
        <f t="shared" si="4"/>
        <v>0.16414513043562737</v>
      </c>
    </row>
    <row r="11" spans="2:95" ht="15.6" thickTop="1" thickBot="1" x14ac:dyDescent="0.35">
      <c r="B11">
        <v>7</v>
      </c>
      <c r="C11">
        <v>-19384.599999999999</v>
      </c>
      <c r="D11">
        <v>31984</v>
      </c>
      <c r="E11">
        <v>5654.3</v>
      </c>
      <c r="F11">
        <f t="shared" si="0"/>
        <v>3.1983999999999999</v>
      </c>
      <c r="G11">
        <f t="shared" si="1"/>
        <v>-1.9384599999999998</v>
      </c>
      <c r="H11">
        <f t="shared" si="2"/>
        <v>5.1368599999999995</v>
      </c>
      <c r="I11">
        <f t="shared" si="5"/>
        <v>0.56542999999999999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0.11866316280036333</v>
      </c>
      <c r="P11" s="4">
        <v>4</v>
      </c>
      <c r="Q11" s="5">
        <f t="shared" si="7"/>
        <v>5.1368599999999995</v>
      </c>
      <c r="R11" s="5">
        <f t="shared" si="7"/>
        <v>0.56542999999999999</v>
      </c>
      <c r="S11" s="5">
        <f t="shared" si="8"/>
        <v>4.280288595</v>
      </c>
      <c r="T11" s="5">
        <f t="shared" si="9"/>
        <v>0.25681731569999999</v>
      </c>
      <c r="U11" s="5">
        <f t="shared" si="10"/>
        <v>0.5863409034246575</v>
      </c>
      <c r="V11" s="5">
        <f t="shared" si="4"/>
        <v>0.11866316280036333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-14504.6</v>
      </c>
      <c r="D12">
        <v>39909.1</v>
      </c>
      <c r="E12">
        <v>6730.2</v>
      </c>
      <c r="F12">
        <f t="shared" si="0"/>
        <v>3.99091</v>
      </c>
      <c r="G12">
        <f t="shared" si="1"/>
        <v>-1.4504600000000001</v>
      </c>
      <c r="H12">
        <f t="shared" si="2"/>
        <v>5.44137</v>
      </c>
      <c r="I12">
        <f t="shared" si="5"/>
        <v>0.67301999999999995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9.951277711743281E-2</v>
      </c>
      <c r="P12" s="4">
        <v>5</v>
      </c>
      <c r="Q12" s="5">
        <f t="shared" si="7"/>
        <v>5.44137</v>
      </c>
      <c r="R12" s="5">
        <f t="shared" si="7"/>
        <v>0.67301999999999995</v>
      </c>
      <c r="S12" s="5">
        <f t="shared" si="8"/>
        <v>3.6272172420000004</v>
      </c>
      <c r="T12" s="5">
        <f t="shared" si="9"/>
        <v>0.21763303452000002</v>
      </c>
      <c r="U12" s="5">
        <f t="shared" si="10"/>
        <v>0.4968790742465754</v>
      </c>
      <c r="V12" s="5">
        <f t="shared" si="4"/>
        <v>9.951277711743281E-2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-8556.9</v>
      </c>
      <c r="D13">
        <v>50206.400000000001</v>
      </c>
      <c r="E13">
        <v>10062.4</v>
      </c>
      <c r="F13">
        <f t="shared" si="0"/>
        <v>5.0206400000000002</v>
      </c>
      <c r="G13">
        <f t="shared" si="1"/>
        <v>-0.85568999999999995</v>
      </c>
      <c r="H13">
        <f t="shared" si="2"/>
        <v>5.8763300000000003</v>
      </c>
      <c r="I13">
        <f t="shared" si="5"/>
        <v>1.00624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8.0200222294953424E-2</v>
      </c>
      <c r="P13" s="4">
        <v>8</v>
      </c>
      <c r="Q13" s="5">
        <f t="shared" si="7"/>
        <v>5.8763300000000003</v>
      </c>
      <c r="R13" s="5">
        <f t="shared" si="7"/>
        <v>1.00624</v>
      </c>
      <c r="S13" s="5">
        <f t="shared" si="8"/>
        <v>2.4482259862500002</v>
      </c>
      <c r="T13" s="5">
        <f t="shared" si="9"/>
        <v>0.14689355917499999</v>
      </c>
      <c r="U13" s="5">
        <f t="shared" si="10"/>
        <v>0.33537342277397264</v>
      </c>
      <c r="V13" s="5">
        <f t="shared" si="4"/>
        <v>8.0200222294953424E-2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-9889.6</v>
      </c>
      <c r="D14">
        <v>57002.1</v>
      </c>
      <c r="E14">
        <v>12807.9</v>
      </c>
      <c r="F14">
        <f t="shared" si="0"/>
        <v>5.7002100000000002</v>
      </c>
      <c r="G14">
        <f t="shared" si="1"/>
        <v>-0.98896000000000006</v>
      </c>
      <c r="H14">
        <f t="shared" si="2"/>
        <v>6.6891700000000007</v>
      </c>
      <c r="I14">
        <f t="shared" si="5"/>
        <v>1.2807899999999999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5.7432847683128903E-2</v>
      </c>
      <c r="P14" s="4">
        <v>14</v>
      </c>
      <c r="Q14" s="5">
        <f t="shared" si="7"/>
        <v>6.6891700000000007</v>
      </c>
      <c r="R14" s="5">
        <f t="shared" si="7"/>
        <v>1.2807899999999999</v>
      </c>
      <c r="S14" s="5">
        <f t="shared" si="8"/>
        <v>1.5925002578571432</v>
      </c>
      <c r="T14" s="5">
        <f t="shared" si="9"/>
        <v>9.5550015471428593E-2</v>
      </c>
      <c r="U14" s="5">
        <f t="shared" si="10"/>
        <v>0.21815072025440319</v>
      </c>
      <c r="V14" s="5">
        <f t="shared" si="4"/>
        <v>5.7432847683128903E-2</v>
      </c>
      <c r="X14" s="31">
        <f t="shared" ref="X14:X24" si="12">O5</f>
        <v>0.7078900090716308</v>
      </c>
      <c r="Y14" s="32">
        <f t="shared" ref="Y14:AA24" si="13">S5</f>
        <v>10.6291592</v>
      </c>
      <c r="Z14" s="32">
        <f t="shared" si="13"/>
        <v>0.63774955199999994</v>
      </c>
      <c r="AA14" s="32">
        <f t="shared" si="13"/>
        <v>1.456049205479452</v>
      </c>
      <c r="AB14" s="41">
        <f>I5/H5</f>
        <v>8.2165105778075093E-2</v>
      </c>
      <c r="AC14" s="33">
        <f t="shared" ref="AC14:AC24" si="14">R5</f>
        <v>0.78608999999999996</v>
      </c>
      <c r="AD14" s="31">
        <f t="shared" ref="AD14:AD23" si="15">O19</f>
        <v>0.47192667271442057</v>
      </c>
      <c r="AE14" s="32">
        <f t="shared" ref="AE14:AG23" si="16">S19</f>
        <v>6.6078835900000001</v>
      </c>
      <c r="AF14" s="32">
        <f t="shared" si="16"/>
        <v>0.39647301540000002</v>
      </c>
      <c r="AG14" s="32">
        <f t="shared" si="16"/>
        <v>0.90518953287671233</v>
      </c>
      <c r="AH14" s="41">
        <f>I19/H19</f>
        <v>0.18563677663092734</v>
      </c>
      <c r="AI14" s="33">
        <f>R19</f>
        <v>1.1041100000000001</v>
      </c>
      <c r="AJ14" s="31">
        <f t="shared" ref="AJ14:AJ20" si="17">O33</f>
        <v>0.3539450045358154</v>
      </c>
      <c r="AK14" s="32">
        <f t="shared" ref="AK14:AM20" si="18">S33</f>
        <v>5.1168882600000014</v>
      </c>
      <c r="AL14" s="32">
        <f t="shared" si="18"/>
        <v>0.30701329560000007</v>
      </c>
      <c r="AM14" s="32">
        <f t="shared" si="18"/>
        <v>0.70094359726027422</v>
      </c>
      <c r="AN14" s="41">
        <f>I33/H33</f>
        <v>0.2288227962984675</v>
      </c>
      <c r="AO14" s="33">
        <f>R33</f>
        <v>1.0538799999999999</v>
      </c>
      <c r="AP14" s="31">
        <f t="shared" ref="AP14:AP17" si="19">O47</f>
        <v>0.28315600362865234</v>
      </c>
      <c r="AQ14" s="32">
        <f t="shared" ref="AQ14:AS17" si="20">S47</f>
        <v>5.2977812800000006</v>
      </c>
      <c r="AR14" s="32">
        <f t="shared" si="20"/>
        <v>0.31786687680000003</v>
      </c>
      <c r="AS14" s="32">
        <f t="shared" si="20"/>
        <v>0.72572346301369872</v>
      </c>
      <c r="AT14" s="41">
        <f>I47/H47</f>
        <v>0.28149431265308861</v>
      </c>
      <c r="AU14" s="33">
        <f>R47</f>
        <v>1.3423</v>
      </c>
      <c r="AV14" s="31">
        <f t="shared" ref="AV14:AV17" si="21">O61</f>
        <v>0.23596333635721028</v>
      </c>
      <c r="AW14" s="32">
        <f t="shared" ref="AW14:AY17" si="22">S61</f>
        <v>4.9561487800000013</v>
      </c>
      <c r="AX14" s="32">
        <f t="shared" si="22"/>
        <v>0.29736892680000004</v>
      </c>
      <c r="AY14" s="32">
        <f t="shared" si="22"/>
        <v>0.67892449041095915</v>
      </c>
      <c r="AZ14" s="41">
        <f>I61/H61</f>
        <v>0.17443252379521987</v>
      </c>
      <c r="BA14" s="33">
        <f>R61</f>
        <v>0.77813999999999994</v>
      </c>
      <c r="BB14" s="31">
        <f t="shared" ref="BB14:BB17" si="23">O75</f>
        <v>0.20225428830618022</v>
      </c>
      <c r="BC14" s="32">
        <f t="shared" ref="BC14:BE17" si="24">S75</f>
        <v>4.8506593300000009</v>
      </c>
      <c r="BD14" s="32">
        <f t="shared" si="24"/>
        <v>0.29103955980000007</v>
      </c>
      <c r="BE14" s="32">
        <f t="shared" si="24"/>
        <v>0.66447388082191794</v>
      </c>
      <c r="BF14" s="41">
        <f>I75/H75</f>
        <v>0.22942352663632637</v>
      </c>
      <c r="BG14" s="33">
        <f>R75</f>
        <v>1.0016700000000001</v>
      </c>
      <c r="BH14" s="31">
        <f t="shared" ref="BH14:BH16" si="25">O89</f>
        <v>0.1769725022679077</v>
      </c>
      <c r="BI14" s="32">
        <f t="shared" ref="BI14:BK16" si="26">S89</f>
        <v>5.75895738</v>
      </c>
      <c r="BJ14" s="32">
        <f t="shared" si="26"/>
        <v>0.34553744279999998</v>
      </c>
      <c r="BK14" s="32">
        <f t="shared" si="26"/>
        <v>0.7888982712328767</v>
      </c>
      <c r="BL14" s="41">
        <f>I89/H89</f>
        <v>0.31740611700793658</v>
      </c>
      <c r="BM14" s="33">
        <f>R89</f>
        <v>1.6453</v>
      </c>
      <c r="BN14" s="31">
        <f t="shared" ref="BN14:BN16" si="27">O103</f>
        <v>0.15730889090480685</v>
      </c>
      <c r="BO14" s="32">
        <f t="shared" ref="BO14:BQ16" si="28">S103</f>
        <v>5.5195035500000005</v>
      </c>
      <c r="BP14" s="32">
        <f t="shared" si="28"/>
        <v>0.33117021299999999</v>
      </c>
      <c r="BQ14" s="32">
        <f t="shared" si="28"/>
        <v>0.75609637671232888</v>
      </c>
      <c r="BR14" s="41">
        <f>I103/H103</f>
        <v>0.29285131993438074</v>
      </c>
      <c r="BS14" s="33">
        <f>R103</f>
        <v>1.4549000000000001</v>
      </c>
      <c r="BT14" s="31">
        <f t="shared" ref="BT14:BT16" si="29">O117</f>
        <v>0.14157800181432617</v>
      </c>
      <c r="BU14" s="32">
        <f t="shared" ref="BU14:BW16" si="30">S117</f>
        <v>4.7917985499999993</v>
      </c>
      <c r="BV14" s="32">
        <f t="shared" si="30"/>
        <v>0.28750791299999995</v>
      </c>
      <c r="BW14" s="32">
        <f t="shared" si="30"/>
        <v>0.65641076027397249</v>
      </c>
      <c r="BX14" s="41">
        <f>I117/H117</f>
        <v>0.40382559905403376</v>
      </c>
      <c r="BY14" s="33">
        <f>R117</f>
        <v>1.7417200000000002</v>
      </c>
      <c r="BZ14" s="31">
        <f t="shared" ref="BZ14:BZ17" si="31">O131</f>
        <v>9.4385334542884114E-2</v>
      </c>
      <c r="CA14" s="32">
        <f t="shared" ref="CA14:CC17" si="32">S131</f>
        <v>4.81406299</v>
      </c>
      <c r="CB14" s="32">
        <f t="shared" si="32"/>
        <v>0.2888437794</v>
      </c>
      <c r="CC14" s="32">
        <f t="shared" si="32"/>
        <v>0.65946068356164389</v>
      </c>
      <c r="CD14" s="41">
        <f>I131/H131</f>
        <v>0.32267504252161849</v>
      </c>
      <c r="CE14" s="33">
        <f>R131</f>
        <v>1.39818</v>
      </c>
      <c r="CF14" s="31">
        <f t="shared" ref="CF14:CF17" si="33">O145</f>
        <v>7.0789000907163085E-2</v>
      </c>
      <c r="CG14" s="32">
        <f t="shared" ref="CG14:CI17" si="34">S145</f>
        <v>4.7366373999999993</v>
      </c>
      <c r="CH14" s="32">
        <f t="shared" si="34"/>
        <v>0.28419824399999993</v>
      </c>
      <c r="CI14" s="32">
        <f t="shared" si="34"/>
        <v>0.6488544383561643</v>
      </c>
      <c r="CJ14" s="41">
        <f>I145/H145</f>
        <v>0.47501993713937229</v>
      </c>
      <c r="CK14" s="33">
        <f>R145</f>
        <v>2.0251999999999999</v>
      </c>
      <c r="CL14" s="31">
        <f t="shared" ref="CL14:CL17" si="35">O159</f>
        <v>5.6631200725730468E-2</v>
      </c>
      <c r="CM14" s="32">
        <f t="shared" ref="CM14:CO17" si="36">S159</f>
        <v>4.0943905199999984</v>
      </c>
      <c r="CN14" s="32">
        <f t="shared" si="36"/>
        <v>0.24566343119999989</v>
      </c>
      <c r="CO14" s="32">
        <f t="shared" si="36"/>
        <v>0.56087541369862992</v>
      </c>
      <c r="CP14" s="41">
        <f>I159/H159</f>
        <v>0.53404046324335475</v>
      </c>
      <c r="CQ14" s="33">
        <f>R159</f>
        <v>1.9681099999999998</v>
      </c>
    </row>
    <row r="15" spans="2:95" ht="15" thickBot="1" x14ac:dyDescent="0.35">
      <c r="B15">
        <v>11</v>
      </c>
      <c r="C15">
        <v>-5262.9</v>
      </c>
      <c r="D15">
        <v>49032.1</v>
      </c>
      <c r="E15">
        <v>8245.6</v>
      </c>
      <c r="F15">
        <f t="shared" si="0"/>
        <v>4.9032099999999996</v>
      </c>
      <c r="G15">
        <f t="shared" si="1"/>
        <v>-0.52628999999999992</v>
      </c>
      <c r="H15">
        <f t="shared" si="2"/>
        <v>5.4294999999999991</v>
      </c>
      <c r="I15">
        <f t="shared" si="5"/>
        <v>0.82456000000000007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3.7037181101287876E-2</v>
      </c>
      <c r="P15" s="7">
        <v>21</v>
      </c>
      <c r="Q15" s="6">
        <f t="shared" si="7"/>
        <v>5.4294999999999991</v>
      </c>
      <c r="R15" s="6">
        <f t="shared" si="7"/>
        <v>0.82456000000000007</v>
      </c>
      <c r="S15" s="6">
        <f t="shared" si="8"/>
        <v>0.86173921428571421</v>
      </c>
      <c r="T15" s="6">
        <f t="shared" si="9"/>
        <v>5.1704352857142852E-2</v>
      </c>
      <c r="U15" s="6">
        <f t="shared" si="10"/>
        <v>0.11804646771037181</v>
      </c>
      <c r="V15" s="6">
        <f t="shared" si="4"/>
        <v>3.7037181101287876E-2</v>
      </c>
      <c r="X15" s="34">
        <f t="shared" si="12"/>
        <v>0.62792556360662366</v>
      </c>
      <c r="Y15" s="35">
        <f t="shared" si="13"/>
        <v>13.00584373</v>
      </c>
      <c r="Z15" s="35">
        <f t="shared" si="13"/>
        <v>0.78035062379999998</v>
      </c>
      <c r="AA15" s="35">
        <f t="shared" si="13"/>
        <v>1.7816224287671234</v>
      </c>
      <c r="AB15" s="42">
        <f t="shared" ref="AB15:AB24" si="37">I6/H6</f>
        <v>5.5859899217780312E-2</v>
      </c>
      <c r="AC15" s="36">
        <f t="shared" si="14"/>
        <v>0.65391999999999995</v>
      </c>
      <c r="AD15" s="34">
        <f t="shared" si="15"/>
        <v>0.41861704240441577</v>
      </c>
      <c r="AE15" s="35">
        <f t="shared" si="16"/>
        <v>7.9706250800000005</v>
      </c>
      <c r="AF15" s="35">
        <f t="shared" si="16"/>
        <v>0.47823750479999999</v>
      </c>
      <c r="AG15" s="35">
        <f t="shared" si="16"/>
        <v>1.0918664493150685</v>
      </c>
      <c r="AH15" s="42">
        <f t="shared" ref="AH15:AH23" si="38">I20/H20</f>
        <v>7.5323238011340499E-2</v>
      </c>
      <c r="AI15" s="36">
        <f t="shared" ref="AI15:AI23" si="39">R20</f>
        <v>0.54038999999999993</v>
      </c>
      <c r="AJ15" s="34">
        <f t="shared" si="17"/>
        <v>0.31396278180331183</v>
      </c>
      <c r="AK15" s="35">
        <f t="shared" si="18"/>
        <v>6.1868479199999991</v>
      </c>
      <c r="AL15" s="35">
        <f t="shared" si="18"/>
        <v>0.37121087519999996</v>
      </c>
      <c r="AM15" s="35">
        <f t="shared" si="18"/>
        <v>0.84751341369862998</v>
      </c>
      <c r="AN15" s="42">
        <f t="shared" ref="AN15:AN20" si="40">I34/H34</f>
        <v>0.1093141691447945</v>
      </c>
      <c r="AO15" s="36">
        <f t="shared" ref="AO15:AO20" si="41">R34</f>
        <v>0.60873999999999995</v>
      </c>
      <c r="AP15" s="34">
        <f t="shared" si="19"/>
        <v>0.25117022544264944</v>
      </c>
      <c r="AQ15" s="35">
        <f t="shared" si="20"/>
        <v>5.8756679299999988</v>
      </c>
      <c r="AR15" s="35">
        <f t="shared" si="20"/>
        <v>0.35254007579999991</v>
      </c>
      <c r="AS15" s="35">
        <f t="shared" si="20"/>
        <v>0.804886017808219</v>
      </c>
      <c r="AT15" s="42">
        <f t="shared" ref="AT15:AT17" si="42">I48/H48</f>
        <v>0.13281889638715511</v>
      </c>
      <c r="AU15" s="36">
        <f t="shared" ref="AU15:AU17" si="43">R48</f>
        <v>0.70243</v>
      </c>
      <c r="AV15" s="34">
        <f t="shared" si="21"/>
        <v>0.20930852120220789</v>
      </c>
      <c r="AW15" s="35">
        <f t="shared" si="22"/>
        <v>5.7610238400000009</v>
      </c>
      <c r="AX15" s="35">
        <f t="shared" si="22"/>
        <v>0.34566143040000002</v>
      </c>
      <c r="AY15" s="35">
        <f t="shared" si="22"/>
        <v>0.78918134794520567</v>
      </c>
      <c r="AZ15" s="42">
        <f t="shared" ref="AZ15:AZ17" si="44">I62/H62</f>
        <v>0.12271861211391895</v>
      </c>
      <c r="BA15" s="36">
        <f t="shared" ref="BA15:BA17" si="45">R62</f>
        <v>0.63634999999999997</v>
      </c>
      <c r="BB15" s="34">
        <f t="shared" si="23"/>
        <v>0.17940730388760676</v>
      </c>
      <c r="BC15" s="35">
        <f t="shared" si="24"/>
        <v>5.3043472900000008</v>
      </c>
      <c r="BD15" s="35">
        <f t="shared" si="24"/>
        <v>0.31826083740000005</v>
      </c>
      <c r="BE15" s="35">
        <f t="shared" si="24"/>
        <v>0.7266229164383563</v>
      </c>
      <c r="BF15" s="42">
        <f t="shared" ref="BF15:BF17" si="46">I76/H76</f>
        <v>0.13981471978619259</v>
      </c>
      <c r="BG15" s="36">
        <f t="shared" ref="BG15:BG17" si="47">R76</f>
        <v>0.66753000000000007</v>
      </c>
      <c r="BH15" s="34">
        <f t="shared" si="25"/>
        <v>0.15698139090165592</v>
      </c>
      <c r="BI15" s="35">
        <f t="shared" si="26"/>
        <v>5.8054416200000007</v>
      </c>
      <c r="BJ15" s="35">
        <f t="shared" si="26"/>
        <v>0.34832649720000003</v>
      </c>
      <c r="BK15" s="35">
        <f t="shared" si="26"/>
        <v>0.7952659753424659</v>
      </c>
      <c r="BL15" s="42">
        <f t="shared" ref="BL15:BL16" si="48">I90/H90</f>
        <v>0.14887415748399171</v>
      </c>
      <c r="BM15" s="36">
        <f t="shared" ref="BM15:BM16" si="49">R90</f>
        <v>0.77793000000000001</v>
      </c>
      <c r="BN15" s="34">
        <f t="shared" si="27"/>
        <v>0.13953901413480524</v>
      </c>
      <c r="BO15" s="35">
        <f t="shared" si="28"/>
        <v>4.7670454700000011</v>
      </c>
      <c r="BP15" s="35">
        <f t="shared" si="28"/>
        <v>0.28602272820000008</v>
      </c>
      <c r="BQ15" s="35">
        <f t="shared" si="28"/>
        <v>0.65301992739726045</v>
      </c>
      <c r="BR15" s="42">
        <f t="shared" ref="BR15:BR16" si="50">I104/H104</f>
        <v>0.19949333103382375</v>
      </c>
      <c r="BS15" s="36">
        <f t="shared" ref="BS15:BS16" si="51">R104</f>
        <v>0.85597999999999996</v>
      </c>
      <c r="BT15" s="34">
        <f t="shared" si="29"/>
        <v>0.12558511272132472</v>
      </c>
      <c r="BU15" s="35">
        <f t="shared" si="30"/>
        <v>5.9050872100000005</v>
      </c>
      <c r="BV15" s="35">
        <f t="shared" si="30"/>
        <v>0.35430523260000002</v>
      </c>
      <c r="BW15" s="35">
        <f t="shared" si="30"/>
        <v>0.80891605616438367</v>
      </c>
      <c r="BX15" s="42">
        <f t="shared" ref="BX15:BX16" si="52">I118/H118</f>
        <v>0.18968939495137452</v>
      </c>
      <c r="BY15" s="36">
        <f t="shared" ref="BY15:BY16" si="53">R118</f>
        <v>1.0082200000000001</v>
      </c>
      <c r="BZ15" s="34">
        <f t="shared" si="31"/>
        <v>8.3723408480883152E-2</v>
      </c>
      <c r="CA15" s="35">
        <f t="shared" si="32"/>
        <v>6.5016386600000002</v>
      </c>
      <c r="CB15" s="35">
        <f t="shared" si="32"/>
        <v>0.39009831960000002</v>
      </c>
      <c r="CC15" s="35">
        <f t="shared" si="32"/>
        <v>0.89063543287671243</v>
      </c>
      <c r="CD15" s="42">
        <f t="shared" ref="CD15:CD17" si="54">I132/H132</f>
        <v>0.1699469930246785</v>
      </c>
      <c r="CE15" s="36">
        <f t="shared" ref="CE15:CE17" si="55">R132</f>
        <v>0.99453999999999998</v>
      </c>
      <c r="CF15" s="34">
        <f t="shared" si="33"/>
        <v>6.279255636066236E-2</v>
      </c>
      <c r="CG15" s="35">
        <f t="shared" si="34"/>
        <v>5.5238475600000028</v>
      </c>
      <c r="CH15" s="35">
        <f t="shared" si="34"/>
        <v>0.33143085360000013</v>
      </c>
      <c r="CI15" s="35">
        <f t="shared" si="34"/>
        <v>0.75669144657534282</v>
      </c>
      <c r="CJ15" s="42">
        <f t="shared" ref="CJ15:CJ17" si="56">I146/H146</f>
        <v>0.20222608387838997</v>
      </c>
      <c r="CK15" s="36">
        <f t="shared" ref="CK15:CK17" si="57">R146</f>
        <v>1.00546</v>
      </c>
      <c r="CL15" s="34">
        <f t="shared" si="35"/>
        <v>5.023404508852989E-2</v>
      </c>
      <c r="CM15" s="35">
        <f t="shared" si="36"/>
        <v>5.9460053400000001</v>
      </c>
      <c r="CN15" s="35">
        <f t="shared" si="36"/>
        <v>0.3567603204</v>
      </c>
      <c r="CO15" s="35">
        <f t="shared" si="36"/>
        <v>0.81452127945205488</v>
      </c>
      <c r="CP15" s="42">
        <f t="shared" ref="CP15:CP17" si="58">I160/H160</f>
        <v>0.18554019663897575</v>
      </c>
      <c r="CQ15" s="36">
        <f t="shared" ref="CQ15:CQ17" si="59">R160</f>
        <v>0.99299999999999999</v>
      </c>
    </row>
    <row r="16" spans="2:95" ht="15" thickTop="1" x14ac:dyDescent="0.3">
      <c r="X16" s="34">
        <f t="shared" si="12"/>
        <v>0.54170743836239332</v>
      </c>
      <c r="Y16" s="35">
        <f t="shared" si="13"/>
        <v>13.077492120000002</v>
      </c>
      <c r="Z16" s="35">
        <f t="shared" si="13"/>
        <v>0.78464952720000014</v>
      </c>
      <c r="AA16" s="35">
        <f t="shared" si="13"/>
        <v>1.7914372767123292</v>
      </c>
      <c r="AB16" s="42">
        <f t="shared" si="37"/>
        <v>5.7701522056049996E-2</v>
      </c>
      <c r="AC16" s="36">
        <f t="shared" si="14"/>
        <v>0.67920000000000003</v>
      </c>
      <c r="AD16" s="34">
        <f t="shared" si="15"/>
        <v>0.36113829224159549</v>
      </c>
      <c r="AE16" s="35">
        <f t="shared" si="16"/>
        <v>7.6797430599999998</v>
      </c>
      <c r="AF16" s="35">
        <f t="shared" si="16"/>
        <v>0.46078458359999996</v>
      </c>
      <c r="AG16" s="35">
        <f t="shared" si="16"/>
        <v>1.0520195972602739</v>
      </c>
      <c r="AH16" s="42">
        <f t="shared" si="38"/>
        <v>9.9704012753780852E-2</v>
      </c>
      <c r="AI16" s="36">
        <f t="shared" si="39"/>
        <v>0.68920000000000003</v>
      </c>
      <c r="AJ16" s="34">
        <f t="shared" si="17"/>
        <v>0.27085371918119666</v>
      </c>
      <c r="AK16" s="35">
        <f t="shared" si="18"/>
        <v>6.2978257099999997</v>
      </c>
      <c r="AL16" s="35">
        <f t="shared" si="18"/>
        <v>0.37786954259999994</v>
      </c>
      <c r="AM16" s="35">
        <f t="shared" si="18"/>
        <v>0.86271585068493151</v>
      </c>
      <c r="AN16" s="42">
        <f t="shared" si="40"/>
        <v>9.7030841776026236E-2</v>
      </c>
      <c r="AO16" s="36">
        <f t="shared" si="41"/>
        <v>0.55003000000000002</v>
      </c>
      <c r="AP16" s="34">
        <f t="shared" si="19"/>
        <v>0.21668297534495731</v>
      </c>
      <c r="AQ16" s="35">
        <f t="shared" si="20"/>
        <v>5.9425056900000008</v>
      </c>
      <c r="AR16" s="35">
        <f t="shared" si="20"/>
        <v>0.35655034140000003</v>
      </c>
      <c r="AS16" s="35">
        <f t="shared" si="20"/>
        <v>0.81404187534246586</v>
      </c>
      <c r="AT16" s="42">
        <f t="shared" si="42"/>
        <v>0.11315830309284904</v>
      </c>
      <c r="AU16" s="36">
        <f t="shared" si="43"/>
        <v>0.60526000000000002</v>
      </c>
      <c r="AV16" s="34">
        <f t="shared" si="21"/>
        <v>0.18056914612079775</v>
      </c>
      <c r="AW16" s="35">
        <f t="shared" si="22"/>
        <v>5.3779954799999992</v>
      </c>
      <c r="AX16" s="35">
        <f t="shared" si="22"/>
        <v>0.32267972879999995</v>
      </c>
      <c r="AY16" s="35">
        <f t="shared" si="22"/>
        <v>0.73671170958904098</v>
      </c>
      <c r="AZ16" s="42">
        <f t="shared" si="44"/>
        <v>0.14688019038647462</v>
      </c>
      <c r="BA16" s="36">
        <f t="shared" si="45"/>
        <v>0.71099999999999997</v>
      </c>
      <c r="BB16" s="34">
        <f t="shared" si="23"/>
        <v>0.15477355381782668</v>
      </c>
      <c r="BC16" s="35">
        <f t="shared" si="24"/>
        <v>5.1973690999999986</v>
      </c>
      <c r="BD16" s="35">
        <f t="shared" si="24"/>
        <v>0.31184214599999993</v>
      </c>
      <c r="BE16" s="35">
        <f t="shared" si="24"/>
        <v>0.71196836986301348</v>
      </c>
      <c r="BF16" s="42">
        <f t="shared" si="46"/>
        <v>0.17447895513135675</v>
      </c>
      <c r="BG16" s="36">
        <f t="shared" si="47"/>
        <v>0.81623000000000001</v>
      </c>
      <c r="BH16" s="34">
        <f t="shared" si="25"/>
        <v>0.13542685959059833</v>
      </c>
      <c r="BI16" s="35">
        <f t="shared" si="26"/>
        <v>4.6615782399999999</v>
      </c>
      <c r="BJ16" s="35">
        <f t="shared" si="26"/>
        <v>0.2796946944</v>
      </c>
      <c r="BK16" s="35">
        <f t="shared" si="26"/>
        <v>0.63857236164383557</v>
      </c>
      <c r="BL16" s="42">
        <f t="shared" si="48"/>
        <v>0.16709407413056743</v>
      </c>
      <c r="BM16" s="36">
        <f t="shared" si="49"/>
        <v>0.70109999999999995</v>
      </c>
      <c r="BN16" s="34">
        <f t="shared" si="27"/>
        <v>0.12037943074719851</v>
      </c>
      <c r="BO16" s="35">
        <f t="shared" si="28"/>
        <v>4.6783654499999994</v>
      </c>
      <c r="BP16" s="35">
        <f t="shared" si="28"/>
        <v>0.28070192699999996</v>
      </c>
      <c r="BQ16" s="35">
        <f t="shared" si="28"/>
        <v>0.64087197945205476</v>
      </c>
      <c r="BR16" s="42">
        <f t="shared" si="50"/>
        <v>0.19872712808273668</v>
      </c>
      <c r="BS16" s="36">
        <f t="shared" si="51"/>
        <v>0.83682999999999996</v>
      </c>
      <c r="BT16" s="34">
        <f t="shared" si="29"/>
        <v>0.10834148767247866</v>
      </c>
      <c r="BU16" s="35">
        <f t="shared" si="30"/>
        <v>5.174849130000001</v>
      </c>
      <c r="BV16" s="35">
        <f t="shared" si="30"/>
        <v>0.31049094780000003</v>
      </c>
      <c r="BW16" s="35">
        <f t="shared" si="30"/>
        <v>0.70888344246575363</v>
      </c>
      <c r="BX16" s="42">
        <f t="shared" si="52"/>
        <v>0.15907622218930273</v>
      </c>
      <c r="BY16" s="36">
        <f t="shared" si="53"/>
        <v>0.74095</v>
      </c>
      <c r="BZ16" s="34">
        <f t="shared" si="31"/>
        <v>7.2227658448319104E-2</v>
      </c>
      <c r="CA16" s="35">
        <f t="shared" si="32"/>
        <v>5.8477485000000007</v>
      </c>
      <c r="CB16" s="35">
        <f t="shared" si="32"/>
        <v>0.35086491000000003</v>
      </c>
      <c r="CC16" s="35">
        <f t="shared" si="32"/>
        <v>0.8010614383561645</v>
      </c>
      <c r="CD16" s="42">
        <f t="shared" si="54"/>
        <v>0.15695639783414075</v>
      </c>
      <c r="CE16" s="36">
        <f t="shared" si="55"/>
        <v>0.82613999999999999</v>
      </c>
      <c r="CF16" s="34">
        <f t="shared" si="33"/>
        <v>5.4170743836239328E-2</v>
      </c>
      <c r="CG16" s="35">
        <f t="shared" si="34"/>
        <v>5.6433911600000002</v>
      </c>
      <c r="CH16" s="35">
        <f t="shared" si="34"/>
        <v>0.33860346959999998</v>
      </c>
      <c r="CI16" s="35">
        <f t="shared" si="34"/>
        <v>0.77306728219178089</v>
      </c>
      <c r="CJ16" s="42">
        <f t="shared" si="56"/>
        <v>0.18226578680043151</v>
      </c>
      <c r="CK16" s="36">
        <f t="shared" si="57"/>
        <v>0.92582999999999993</v>
      </c>
      <c r="CL16" s="34">
        <f t="shared" si="35"/>
        <v>4.3336595068991464E-2</v>
      </c>
      <c r="CM16" s="35">
        <f t="shared" si="36"/>
        <v>5.0726038000000013</v>
      </c>
      <c r="CN16" s="35">
        <f t="shared" si="36"/>
        <v>0.30435622800000006</v>
      </c>
      <c r="CO16" s="35">
        <f t="shared" si="36"/>
        <v>0.69487723287671255</v>
      </c>
      <c r="CP16" s="42">
        <f t="shared" si="58"/>
        <v>0.21332296640238291</v>
      </c>
      <c r="CQ16" s="36">
        <f t="shared" si="59"/>
        <v>0.97398999999999991</v>
      </c>
    </row>
    <row r="17" spans="2:95" ht="15" thickBot="1" x14ac:dyDescent="0.35">
      <c r="X17" s="34">
        <f t="shared" si="12"/>
        <v>0.32809903578179561</v>
      </c>
      <c r="Y17" s="35">
        <f t="shared" si="13"/>
        <v>8.9719693800000009</v>
      </c>
      <c r="Z17" s="35">
        <f t="shared" si="13"/>
        <v>0.5383181628</v>
      </c>
      <c r="AA17" s="35">
        <f t="shared" si="13"/>
        <v>1.2290369013698632</v>
      </c>
      <c r="AB17" s="42">
        <f t="shared" si="37"/>
        <v>8.6630310144905992E-2</v>
      </c>
      <c r="AC17" s="36">
        <f t="shared" si="14"/>
        <v>0.69958999999999993</v>
      </c>
      <c r="AD17" s="34">
        <f t="shared" si="15"/>
        <v>0.21873269052119707</v>
      </c>
      <c r="AE17" s="35">
        <f t="shared" si="16"/>
        <v>6.8379494700000016</v>
      </c>
      <c r="AF17" s="35">
        <f t="shared" si="16"/>
        <v>0.41027696820000009</v>
      </c>
      <c r="AG17" s="35">
        <f t="shared" si="16"/>
        <v>0.93670540684931536</v>
      </c>
      <c r="AH17" s="42">
        <f t="shared" si="38"/>
        <v>6.7753953437740169E-2</v>
      </c>
      <c r="AI17" s="36">
        <f t="shared" si="39"/>
        <v>0.41701000000000005</v>
      </c>
      <c r="AJ17" s="34">
        <f t="shared" si="17"/>
        <v>0.16404951789089781</v>
      </c>
      <c r="AK17" s="35">
        <f t="shared" si="18"/>
        <v>4.282571700000001</v>
      </c>
      <c r="AL17" s="35">
        <f t="shared" si="18"/>
        <v>0.25695430200000002</v>
      </c>
      <c r="AM17" s="35">
        <f t="shared" si="18"/>
        <v>0.5866536575342467</v>
      </c>
      <c r="AN17" s="42">
        <f t="shared" si="40"/>
        <v>0.13418683684852256</v>
      </c>
      <c r="AO17" s="36">
        <f t="shared" si="41"/>
        <v>0.51724999999999999</v>
      </c>
      <c r="AP17" s="34">
        <f t="shared" si="19"/>
        <v>0.13123961431271824</v>
      </c>
      <c r="AQ17" s="35">
        <f t="shared" si="20"/>
        <v>2.2038795899999997</v>
      </c>
      <c r="AR17" s="35">
        <f t="shared" si="20"/>
        <v>0.13223277539999997</v>
      </c>
      <c r="AS17" s="35">
        <f t="shared" si="20"/>
        <v>0.3019013136986301</v>
      </c>
      <c r="AT17" s="42">
        <f t="shared" si="42"/>
        <v>0.3209221198876841</v>
      </c>
      <c r="AU17" s="36">
        <f t="shared" si="43"/>
        <v>0.63661000000000001</v>
      </c>
      <c r="AV17" s="34">
        <f t="shared" si="21"/>
        <v>0.10936634526059853</v>
      </c>
      <c r="AW17" s="35">
        <f t="shared" si="22"/>
        <v>2.0037662700000003</v>
      </c>
      <c r="AX17" s="35">
        <f t="shared" si="22"/>
        <v>0.12022597620000001</v>
      </c>
      <c r="AY17" s="35">
        <f t="shared" si="22"/>
        <v>0.27448853013698638</v>
      </c>
      <c r="AZ17" s="42">
        <f t="shared" si="44"/>
        <v>0.35236780385568617</v>
      </c>
      <c r="BA17" s="36">
        <f t="shared" si="45"/>
        <v>0.63551999999999997</v>
      </c>
      <c r="BB17" s="34">
        <f t="shared" si="23"/>
        <v>9.3742581651941603E-2</v>
      </c>
      <c r="BC17" s="35">
        <f t="shared" si="24"/>
        <v>1.7735448500000004</v>
      </c>
      <c r="BD17" s="35">
        <f t="shared" si="24"/>
        <v>0.10641269100000002</v>
      </c>
      <c r="BE17" s="35">
        <f t="shared" si="24"/>
        <v>0.24295134931506857</v>
      </c>
      <c r="BF17" s="42">
        <f t="shared" si="46"/>
        <v>0.31919691796911698</v>
      </c>
      <c r="BG17" s="36">
        <f t="shared" si="47"/>
        <v>0.50954999999999995</v>
      </c>
      <c r="BH17" s="34"/>
      <c r="BI17" s="35"/>
      <c r="BJ17" s="35"/>
      <c r="BK17" s="35"/>
      <c r="BL17" s="42"/>
      <c r="BM17" s="36"/>
      <c r="BN17" s="34"/>
      <c r="BO17" s="35"/>
      <c r="BP17" s="35"/>
      <c r="BQ17" s="35"/>
      <c r="BR17" s="42"/>
      <c r="BS17" s="36"/>
      <c r="BT17" s="34"/>
      <c r="BU17" s="35"/>
      <c r="BV17" s="35"/>
      <c r="BW17" s="35"/>
      <c r="BX17" s="42"/>
      <c r="BY17" s="36"/>
      <c r="BZ17" s="34">
        <f t="shared" si="31"/>
        <v>4.374653810423941E-2</v>
      </c>
      <c r="CA17" s="35">
        <f t="shared" si="32"/>
        <v>3.8461042399999994</v>
      </c>
      <c r="CB17" s="35">
        <f t="shared" si="32"/>
        <v>0.23076625439999995</v>
      </c>
      <c r="CC17" s="35">
        <f t="shared" si="32"/>
        <v>0.52686359452054787</v>
      </c>
      <c r="CD17" s="42">
        <f t="shared" si="54"/>
        <v>0.16266782982460198</v>
      </c>
      <c r="CE17" s="36">
        <f t="shared" si="55"/>
        <v>0.56313000000000002</v>
      </c>
      <c r="CF17" s="34">
        <f t="shared" si="33"/>
        <v>3.2809903578179561E-2</v>
      </c>
      <c r="CG17" s="35">
        <f t="shared" si="34"/>
        <v>2.7422813000000001</v>
      </c>
      <c r="CH17" s="35">
        <f t="shared" si="34"/>
        <v>0.164536878</v>
      </c>
      <c r="CI17" s="35">
        <f t="shared" si="34"/>
        <v>0.37565497260273978</v>
      </c>
      <c r="CJ17" s="42">
        <f t="shared" si="56"/>
        <v>0.30522626909208767</v>
      </c>
      <c r="CK17" s="36">
        <f t="shared" si="57"/>
        <v>0.75339</v>
      </c>
      <c r="CL17" s="34">
        <f t="shared" si="35"/>
        <v>2.6247922862543648E-2</v>
      </c>
      <c r="CM17" s="35">
        <f t="shared" si="36"/>
        <v>2.9189080799999996</v>
      </c>
      <c r="CN17" s="35">
        <f t="shared" si="36"/>
        <v>0.17513448479999996</v>
      </c>
      <c r="CO17" s="35">
        <f t="shared" si="36"/>
        <v>0.39985042191780817</v>
      </c>
      <c r="CP17" s="42">
        <f t="shared" si="58"/>
        <v>0.19316555525105814</v>
      </c>
      <c r="CQ17" s="36">
        <f t="shared" si="59"/>
        <v>0.50749999999999995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0.23713795720148326</v>
      </c>
      <c r="Y18" s="35">
        <f t="shared" si="13"/>
        <v>7.2290214699999993</v>
      </c>
      <c r="Z18" s="35">
        <f t="shared" si="13"/>
        <v>0.43374128819999996</v>
      </c>
      <c r="AA18" s="35">
        <f t="shared" si="13"/>
        <v>0.99027691369863002</v>
      </c>
      <c r="AB18" s="42">
        <f t="shared" si="37"/>
        <v>7.6987506858241489E-2</v>
      </c>
      <c r="AC18" s="36">
        <f t="shared" si="14"/>
        <v>0.50093999999999994</v>
      </c>
      <c r="AD18" s="34">
        <f t="shared" si="15"/>
        <v>0.1580919714676555</v>
      </c>
      <c r="AE18" s="35">
        <f t="shared" si="16"/>
        <v>4.0551500000000003</v>
      </c>
      <c r="AF18" s="35">
        <f t="shared" si="16"/>
        <v>0.243309</v>
      </c>
      <c r="AG18" s="35">
        <f t="shared" si="16"/>
        <v>0.55549999999999999</v>
      </c>
      <c r="AH18" s="42">
        <f t="shared" si="38"/>
        <v>0.13858356164383559</v>
      </c>
      <c r="AI18" s="36">
        <f t="shared" si="39"/>
        <v>0.50583</v>
      </c>
      <c r="AJ18" s="34">
        <f t="shared" si="17"/>
        <v>0.11856897860074163</v>
      </c>
      <c r="AK18" s="35">
        <f t="shared" si="18"/>
        <v>1.9707695700000001</v>
      </c>
      <c r="AL18" s="35">
        <f t="shared" si="18"/>
        <v>0.1182461742</v>
      </c>
      <c r="AM18" s="35">
        <f t="shared" si="18"/>
        <v>0.26996843424657535</v>
      </c>
      <c r="AN18" s="42">
        <f t="shared" si="40"/>
        <v>0.298573176162853</v>
      </c>
      <c r="AO18" s="36">
        <f t="shared" si="41"/>
        <v>0.52963000000000005</v>
      </c>
      <c r="AP18" s="34"/>
      <c r="AQ18" s="35"/>
      <c r="AR18" s="35"/>
      <c r="AS18" s="35"/>
      <c r="AT18" s="42"/>
      <c r="AU18" s="36"/>
      <c r="AV18" s="34"/>
      <c r="AW18" s="35"/>
      <c r="AX18" s="35"/>
      <c r="AY18" s="35"/>
      <c r="AZ18" s="42"/>
      <c r="BA18" s="36"/>
      <c r="BB18" s="34"/>
      <c r="BC18" s="35"/>
      <c r="BD18" s="35"/>
      <c r="BE18" s="35"/>
      <c r="BF18" s="42"/>
      <c r="BG18" s="36"/>
      <c r="BH18" s="34"/>
      <c r="BI18" s="35"/>
      <c r="BJ18" s="35"/>
      <c r="BK18" s="35"/>
      <c r="BL18" s="42"/>
      <c r="BM18" s="36"/>
      <c r="BN18" s="34"/>
      <c r="BO18" s="35"/>
      <c r="BP18" s="35"/>
      <c r="BQ18" s="35"/>
      <c r="BR18" s="42"/>
      <c r="BS18" s="36"/>
      <c r="BT18" s="34"/>
      <c r="BU18" s="35"/>
      <c r="BV18" s="35"/>
      <c r="BW18" s="35"/>
      <c r="BX18" s="42"/>
      <c r="BY18" s="36"/>
      <c r="BZ18" s="34"/>
      <c r="CA18" s="35"/>
      <c r="CB18" s="35"/>
      <c r="CC18" s="35"/>
      <c r="CD18" s="42"/>
      <c r="CE18" s="36"/>
      <c r="CF18" s="34"/>
      <c r="CG18" s="35"/>
      <c r="CH18" s="35"/>
      <c r="CI18" s="35"/>
      <c r="CJ18" s="42"/>
      <c r="CK18" s="36"/>
      <c r="CL18" s="34"/>
      <c r="CM18" s="35"/>
      <c r="CN18" s="35"/>
      <c r="CO18" s="35"/>
      <c r="CP18" s="42"/>
      <c r="CQ18" s="36"/>
    </row>
    <row r="19" spans="2:95" ht="15" thickTop="1" x14ac:dyDescent="0.3">
      <c r="B19">
        <v>1</v>
      </c>
      <c r="C19">
        <v>-13222.2</v>
      </c>
      <c r="D19">
        <v>46254.7</v>
      </c>
      <c r="E19">
        <v>11041.1</v>
      </c>
      <c r="F19">
        <f t="shared" ref="F19:F29" si="60">D19/10000</f>
        <v>4.62547</v>
      </c>
      <c r="G19">
        <f t="shared" ref="G19:G29" si="61">C19/10000</f>
        <v>-1.3222200000000002</v>
      </c>
      <c r="H19">
        <f t="shared" ref="H19:H29" si="62">F19-G19</f>
        <v>5.9476899999999997</v>
      </c>
      <c r="I19">
        <f>E19/10000</f>
        <v>1.1041100000000001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0.47192667271442057</v>
      </c>
      <c r="P19" s="2">
        <v>3</v>
      </c>
      <c r="Q19" s="8">
        <f>H19</f>
        <v>5.9476899999999997</v>
      </c>
      <c r="R19" s="8">
        <f>I19</f>
        <v>1.1041100000000001</v>
      </c>
      <c r="S19" s="8">
        <f>Q19/10^6*$Z$4*$Z$3/P19*10^12</f>
        <v>6.6078835900000001</v>
      </c>
      <c r="T19" s="8">
        <f>S19*0.06</f>
        <v>0.39647301540000002</v>
      </c>
      <c r="U19" s="8">
        <f>S19/$Z$1</f>
        <v>0.90518953287671233</v>
      </c>
      <c r="V19" s="12">
        <f t="shared" ref="V19:V29" si="63">O19</f>
        <v>0.47192667271442057</v>
      </c>
      <c r="W19" s="19"/>
      <c r="X19" s="34">
        <f t="shared" si="12"/>
        <v>0.16414513043562737</v>
      </c>
      <c r="Y19" s="35">
        <f t="shared" si="13"/>
        <v>5.5447371375000003</v>
      </c>
      <c r="Z19" s="35">
        <f t="shared" si="13"/>
        <v>0.33268422824999999</v>
      </c>
      <c r="AA19" s="35">
        <f t="shared" si="13"/>
        <v>0.75955303253424666</v>
      </c>
      <c r="AB19" s="42">
        <f t="shared" si="37"/>
        <v>6.2787499906076474E-2</v>
      </c>
      <c r="AC19" s="36">
        <f t="shared" si="14"/>
        <v>0.41781000000000001</v>
      </c>
      <c r="AD19" s="34">
        <f t="shared" si="15"/>
        <v>0.10943008695708491</v>
      </c>
      <c r="AE19" s="35">
        <f t="shared" si="16"/>
        <v>2.4550128074999997</v>
      </c>
      <c r="AF19" s="35">
        <f t="shared" si="16"/>
        <v>0.14730076844999998</v>
      </c>
      <c r="AG19" s="35">
        <f t="shared" si="16"/>
        <v>0.33630312431506848</v>
      </c>
      <c r="AH19" s="42">
        <f t="shared" si="38"/>
        <v>0.16425970111766924</v>
      </c>
      <c r="AI19" s="36">
        <f t="shared" si="39"/>
        <v>0.48396000000000006</v>
      </c>
      <c r="AJ19" s="34">
        <f t="shared" si="17"/>
        <v>8.2072565217813684E-2</v>
      </c>
      <c r="AK19" s="35">
        <f t="shared" si="18"/>
        <v>1.6530096825000002</v>
      </c>
      <c r="AL19" s="35">
        <f t="shared" si="18"/>
        <v>9.9180580950000014E-2</v>
      </c>
      <c r="AM19" s="35">
        <f t="shared" si="18"/>
        <v>0.22643968253424662</v>
      </c>
      <c r="AN19" s="42">
        <f t="shared" si="40"/>
        <v>0.26680478473240882</v>
      </c>
      <c r="AO19" s="36">
        <f t="shared" si="41"/>
        <v>0.52928999999999993</v>
      </c>
      <c r="AP19" s="34"/>
      <c r="AQ19" s="35"/>
      <c r="AR19" s="35"/>
      <c r="AS19" s="35"/>
      <c r="AT19" s="42"/>
      <c r="AU19" s="36"/>
      <c r="AV19" s="34"/>
      <c r="AW19" s="35"/>
      <c r="AX19" s="35"/>
      <c r="AY19" s="35"/>
      <c r="AZ19" s="42"/>
      <c r="BA19" s="36"/>
      <c r="BB19" s="34"/>
      <c r="BC19" s="35"/>
      <c r="BD19" s="35"/>
      <c r="BE19" s="35"/>
      <c r="BF19" s="42"/>
      <c r="BG19" s="36"/>
      <c r="BH19" s="34"/>
      <c r="BI19" s="35"/>
      <c r="BJ19" s="35"/>
      <c r="BK19" s="35"/>
      <c r="BL19" s="42"/>
      <c r="BM19" s="36"/>
      <c r="BN19" s="34"/>
      <c r="BO19" s="35"/>
      <c r="BP19" s="35"/>
      <c r="BQ19" s="35"/>
      <c r="BR19" s="42"/>
      <c r="BS19" s="36"/>
      <c r="BT19" s="34"/>
      <c r="BU19" s="35"/>
      <c r="BV19" s="35"/>
      <c r="BW19" s="35"/>
      <c r="BX19" s="42"/>
      <c r="BY19" s="36"/>
      <c r="BZ19" s="34"/>
      <c r="CA19" s="35"/>
      <c r="CB19" s="35"/>
      <c r="CC19" s="35"/>
      <c r="CD19" s="42"/>
      <c r="CE19" s="36"/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-7939.2</v>
      </c>
      <c r="D20">
        <v>63803.6</v>
      </c>
      <c r="E20">
        <v>5403.9</v>
      </c>
      <c r="F20">
        <f t="shared" si="60"/>
        <v>6.3803599999999996</v>
      </c>
      <c r="G20">
        <f t="shared" si="61"/>
        <v>-0.79391999999999996</v>
      </c>
      <c r="H20">
        <f t="shared" si="62"/>
        <v>7.1742799999999995</v>
      </c>
      <c r="I20">
        <f t="shared" ref="I20:I29" si="64">E20/10000</f>
        <v>0.54038999999999993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0.41861704240441577</v>
      </c>
      <c r="P20" s="4">
        <v>3</v>
      </c>
      <c r="Q20" s="5">
        <f t="shared" ref="Q20:R29" si="67">H20</f>
        <v>7.1742799999999995</v>
      </c>
      <c r="R20" s="5">
        <f t="shared" si="67"/>
        <v>0.54038999999999993</v>
      </c>
      <c r="S20" s="5">
        <f t="shared" ref="S20:S29" si="68">Q20/10^6*$Z$4*$Z$3/P20*10^12</f>
        <v>7.9706250800000005</v>
      </c>
      <c r="T20" s="5">
        <f t="shared" ref="T20:T29" si="69">S20*0.06</f>
        <v>0.47823750479999999</v>
      </c>
      <c r="U20" s="5">
        <f t="shared" ref="U20:U29" si="70">S20/$Z$1</f>
        <v>1.0918664493150685</v>
      </c>
      <c r="V20" s="5">
        <f t="shared" si="63"/>
        <v>0.41861704240441577</v>
      </c>
      <c r="W20" s="19"/>
      <c r="X20" s="34">
        <f t="shared" si="12"/>
        <v>0.11866316280036333</v>
      </c>
      <c r="Y20" s="35">
        <f t="shared" si="13"/>
        <v>4.280288595</v>
      </c>
      <c r="Z20" s="35">
        <f t="shared" si="13"/>
        <v>0.25681731569999999</v>
      </c>
      <c r="AA20" s="35">
        <f t="shared" si="13"/>
        <v>0.5863409034246575</v>
      </c>
      <c r="AB20" s="42">
        <f t="shared" si="37"/>
        <v>0.11007307966345201</v>
      </c>
      <c r="AC20" s="36">
        <f t="shared" si="14"/>
        <v>0.56542999999999999</v>
      </c>
      <c r="AD20" s="34">
        <f t="shared" si="15"/>
        <v>7.9108775200242218E-2</v>
      </c>
      <c r="AE20" s="35">
        <f t="shared" si="16"/>
        <v>2.1710162100000003</v>
      </c>
      <c r="AF20" s="35">
        <f t="shared" si="16"/>
        <v>0.13026097260000002</v>
      </c>
      <c r="AG20" s="35">
        <f t="shared" si="16"/>
        <v>0.29739948082191786</v>
      </c>
      <c r="AH20" s="42">
        <f t="shared" si="38"/>
        <v>0.19433655218999954</v>
      </c>
      <c r="AI20" s="36">
        <f t="shared" si="39"/>
        <v>0.50634000000000001</v>
      </c>
      <c r="AJ20" s="34">
        <f t="shared" si="17"/>
        <v>5.9331581400181667E-2</v>
      </c>
      <c r="AK20" s="35">
        <f t="shared" si="18"/>
        <v>1.0518198075000003</v>
      </c>
      <c r="AL20" s="35">
        <f t="shared" si="18"/>
        <v>6.310918845000002E-2</v>
      </c>
      <c r="AM20" s="35">
        <f t="shared" si="18"/>
        <v>0.14408490513698635</v>
      </c>
      <c r="AN20" s="42">
        <f t="shared" si="40"/>
        <v>0.43345929288368151</v>
      </c>
      <c r="AO20" s="36">
        <f t="shared" si="41"/>
        <v>0.54716000000000009</v>
      </c>
      <c r="AP20" s="34"/>
      <c r="AQ20" s="35"/>
      <c r="AR20" s="35"/>
      <c r="AS20" s="35"/>
      <c r="AT20" s="42"/>
      <c r="AU20" s="36"/>
      <c r="AV20" s="34"/>
      <c r="AW20" s="35"/>
      <c r="AX20" s="35"/>
      <c r="AY20" s="35"/>
      <c r="AZ20" s="42"/>
      <c r="BA20" s="36"/>
      <c r="BB20" s="34"/>
      <c r="BC20" s="35"/>
      <c r="BD20" s="35"/>
      <c r="BE20" s="35"/>
      <c r="BF20" s="42"/>
      <c r="BG20" s="36"/>
      <c r="BH20" s="34"/>
      <c r="BI20" s="35"/>
      <c r="BJ20" s="35"/>
      <c r="BK20" s="35"/>
      <c r="BL20" s="42"/>
      <c r="BM20" s="36"/>
      <c r="BN20" s="34"/>
      <c r="BO20" s="35"/>
      <c r="BP20" s="35"/>
      <c r="BQ20" s="35"/>
      <c r="BR20" s="42"/>
      <c r="BS20" s="36"/>
      <c r="BT20" s="34"/>
      <c r="BU20" s="35"/>
      <c r="BV20" s="35"/>
      <c r="BW20" s="35"/>
      <c r="BX20" s="42"/>
      <c r="BY20" s="36"/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-13137.6</v>
      </c>
      <c r="D21">
        <v>55987</v>
      </c>
      <c r="E21">
        <v>6892</v>
      </c>
      <c r="F21">
        <f t="shared" si="60"/>
        <v>5.5987</v>
      </c>
      <c r="G21">
        <f t="shared" si="61"/>
        <v>-1.31376</v>
      </c>
      <c r="H21">
        <f t="shared" si="62"/>
        <v>6.9124600000000003</v>
      </c>
      <c r="I21">
        <f t="shared" si="64"/>
        <v>0.68920000000000003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0.36113829224159549</v>
      </c>
      <c r="P21" s="4">
        <v>3</v>
      </c>
      <c r="Q21" s="5">
        <f t="shared" si="67"/>
        <v>6.9124600000000003</v>
      </c>
      <c r="R21" s="5">
        <f t="shared" si="67"/>
        <v>0.68920000000000003</v>
      </c>
      <c r="S21" s="5">
        <f t="shared" si="68"/>
        <v>7.6797430599999998</v>
      </c>
      <c r="T21" s="5">
        <f t="shared" si="69"/>
        <v>0.46078458359999996</v>
      </c>
      <c r="U21" s="5">
        <f t="shared" si="70"/>
        <v>1.0520195972602739</v>
      </c>
      <c r="V21" s="5">
        <f t="shared" si="63"/>
        <v>0.36113829224159549</v>
      </c>
      <c r="W21" s="19"/>
      <c r="X21" s="34">
        <f t="shared" si="12"/>
        <v>9.951277711743281E-2</v>
      </c>
      <c r="Y21" s="35">
        <f t="shared" si="13"/>
        <v>3.6272172420000004</v>
      </c>
      <c r="Z21" s="35">
        <f t="shared" si="13"/>
        <v>0.21763303452000002</v>
      </c>
      <c r="AA21" s="35">
        <f t="shared" si="13"/>
        <v>0.4968790742465754</v>
      </c>
      <c r="AB21" s="42">
        <f t="shared" si="37"/>
        <v>0.12368576296043091</v>
      </c>
      <c r="AC21" s="36">
        <f t="shared" si="14"/>
        <v>0.67301999999999995</v>
      </c>
      <c r="AD21" s="34">
        <f t="shared" si="15"/>
        <v>6.6341851411621883E-2</v>
      </c>
      <c r="AE21" s="35">
        <f t="shared" si="16"/>
        <v>1.285624758</v>
      </c>
      <c r="AF21" s="35">
        <f t="shared" si="16"/>
        <v>7.713748547999999E-2</v>
      </c>
      <c r="AG21" s="35">
        <f t="shared" si="16"/>
        <v>0.17611298054794522</v>
      </c>
      <c r="AH21" s="42">
        <f t="shared" si="38"/>
        <v>0.28897714958286452</v>
      </c>
      <c r="AI21" s="36">
        <f t="shared" si="39"/>
        <v>0.55732999999999999</v>
      </c>
      <c r="AJ21" s="34"/>
      <c r="AK21" s="35"/>
      <c r="AL21" s="35"/>
      <c r="AM21" s="35"/>
      <c r="AN21" s="42"/>
      <c r="AO21" s="36"/>
      <c r="AP21" s="34"/>
      <c r="AQ21" s="35"/>
      <c r="AR21" s="35"/>
      <c r="AS21" s="35"/>
      <c r="AT21" s="42"/>
      <c r="AU21" s="36"/>
      <c r="AV21" s="34"/>
      <c r="AW21" s="35"/>
      <c r="AX21" s="35"/>
      <c r="AY21" s="35"/>
      <c r="AZ21" s="42"/>
      <c r="BA21" s="36"/>
      <c r="BB21" s="34"/>
      <c r="BC21" s="35"/>
      <c r="BD21" s="35"/>
      <c r="BE21" s="35"/>
      <c r="BF21" s="42"/>
      <c r="BG21" s="36"/>
      <c r="BH21" s="34"/>
      <c r="BI21" s="35"/>
      <c r="BJ21" s="35"/>
      <c r="BK21" s="35"/>
      <c r="BL21" s="42"/>
      <c r="BM21" s="36"/>
      <c r="BN21" s="34"/>
      <c r="BO21" s="35"/>
      <c r="BP21" s="35"/>
      <c r="BQ21" s="35"/>
      <c r="BR21" s="42"/>
      <c r="BS21" s="36"/>
      <c r="BT21" s="34"/>
      <c r="BU21" s="35"/>
      <c r="BV21" s="35"/>
      <c r="BW21" s="35"/>
      <c r="BX21" s="42"/>
      <c r="BY21" s="36"/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-24711.200000000001</v>
      </c>
      <c r="D22">
        <v>36836.5</v>
      </c>
      <c r="E22">
        <v>4170.1000000000004</v>
      </c>
      <c r="F22">
        <f t="shared" si="60"/>
        <v>3.6836500000000001</v>
      </c>
      <c r="G22">
        <f t="shared" si="61"/>
        <v>-2.47112</v>
      </c>
      <c r="H22">
        <f t="shared" si="62"/>
        <v>6.1547700000000001</v>
      </c>
      <c r="I22">
        <f t="shared" si="64"/>
        <v>0.41701000000000005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0.21873269052119707</v>
      </c>
      <c r="P22" s="4">
        <v>3</v>
      </c>
      <c r="Q22" s="5">
        <f t="shared" si="67"/>
        <v>6.1547700000000001</v>
      </c>
      <c r="R22" s="5">
        <f t="shared" si="67"/>
        <v>0.41701000000000005</v>
      </c>
      <c r="S22" s="5">
        <f t="shared" si="68"/>
        <v>6.8379494700000016</v>
      </c>
      <c r="T22" s="5">
        <f t="shared" si="69"/>
        <v>0.41027696820000009</v>
      </c>
      <c r="U22" s="5">
        <f t="shared" si="70"/>
        <v>0.93670540684931536</v>
      </c>
      <c r="V22" s="5">
        <f t="shared" si="63"/>
        <v>0.21873269052119707</v>
      </c>
      <c r="W22" s="19"/>
      <c r="X22" s="34">
        <f t="shared" si="12"/>
        <v>8.0200222294953424E-2</v>
      </c>
      <c r="Y22" s="35">
        <f t="shared" si="13"/>
        <v>2.4482259862500002</v>
      </c>
      <c r="Z22" s="35">
        <f t="shared" si="13"/>
        <v>0.14689355917499999</v>
      </c>
      <c r="AA22" s="35">
        <f t="shared" si="13"/>
        <v>0.33537342277397264</v>
      </c>
      <c r="AB22" s="42">
        <f t="shared" si="37"/>
        <v>0.17123612867214741</v>
      </c>
      <c r="AC22" s="36">
        <f t="shared" si="14"/>
        <v>1.00624</v>
      </c>
      <c r="AD22" s="34">
        <f t="shared" si="15"/>
        <v>5.3466814863302285E-2</v>
      </c>
      <c r="AE22" s="35">
        <f t="shared" si="16"/>
        <v>0.19863013499999999</v>
      </c>
      <c r="AF22" s="35">
        <f t="shared" si="16"/>
        <v>1.1917808099999998E-2</v>
      </c>
      <c r="AG22" s="35">
        <f t="shared" si="16"/>
        <v>2.7209607534246574E-2</v>
      </c>
      <c r="AH22" s="42">
        <f t="shared" si="38"/>
        <v>1.4486743854350199</v>
      </c>
      <c r="AI22" s="36">
        <f t="shared" si="39"/>
        <v>0.69067000000000001</v>
      </c>
      <c r="AJ22" s="34"/>
      <c r="AK22" s="35"/>
      <c r="AL22" s="35"/>
      <c r="AM22" s="35"/>
      <c r="AN22" s="42"/>
      <c r="AO22" s="36"/>
      <c r="AP22" s="34"/>
      <c r="AQ22" s="35"/>
      <c r="AR22" s="35"/>
      <c r="AS22" s="35"/>
      <c r="AT22" s="42"/>
      <c r="AU22" s="36"/>
      <c r="AV22" s="34"/>
      <c r="AW22" s="35"/>
      <c r="AX22" s="35"/>
      <c r="AY22" s="35"/>
      <c r="AZ22" s="42"/>
      <c r="BA22" s="36"/>
      <c r="BB22" s="34"/>
      <c r="BC22" s="35"/>
      <c r="BD22" s="35"/>
      <c r="BE22" s="35"/>
      <c r="BF22" s="42"/>
      <c r="BG22" s="36"/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-20767.400000000001</v>
      </c>
      <c r="D23">
        <v>15732.6</v>
      </c>
      <c r="E23">
        <v>5058.3</v>
      </c>
      <c r="F23">
        <f t="shared" si="60"/>
        <v>1.5732600000000001</v>
      </c>
      <c r="G23">
        <f t="shared" si="61"/>
        <v>-2.07674</v>
      </c>
      <c r="H23">
        <f t="shared" si="62"/>
        <v>3.6500000000000004</v>
      </c>
      <c r="I23">
        <f t="shared" si="64"/>
        <v>0.50583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0.1580919714676555</v>
      </c>
      <c r="P23" s="4">
        <v>3</v>
      </c>
      <c r="Q23" s="5">
        <f t="shared" si="67"/>
        <v>3.6500000000000004</v>
      </c>
      <c r="R23" s="5">
        <f t="shared" si="67"/>
        <v>0.50583</v>
      </c>
      <c r="S23" s="5">
        <f t="shared" si="68"/>
        <v>4.0551500000000003</v>
      </c>
      <c r="T23" s="5">
        <f t="shared" si="69"/>
        <v>0.243309</v>
      </c>
      <c r="U23" s="5">
        <f t="shared" si="70"/>
        <v>0.55549999999999999</v>
      </c>
      <c r="V23" s="5">
        <f t="shared" si="63"/>
        <v>0.1580919714676555</v>
      </c>
      <c r="W23" s="19"/>
      <c r="X23" s="34">
        <f t="shared" si="12"/>
        <v>5.7432847683128903E-2</v>
      </c>
      <c r="Y23" s="35">
        <f t="shared" si="13"/>
        <v>1.5925002578571432</v>
      </c>
      <c r="Z23" s="35">
        <f t="shared" si="13"/>
        <v>9.5550015471428593E-2</v>
      </c>
      <c r="AA23" s="35">
        <f t="shared" si="13"/>
        <v>0.21815072025440319</v>
      </c>
      <c r="AB23" s="42">
        <f t="shared" si="37"/>
        <v>0.19147218563738097</v>
      </c>
      <c r="AC23" s="36">
        <f t="shared" si="14"/>
        <v>1.2807899999999999</v>
      </c>
      <c r="AD23" s="34">
        <f t="shared" si="15"/>
        <v>3.8288565122085935E-2</v>
      </c>
      <c r="AE23" s="35">
        <f t="shared" si="16"/>
        <v>0.65640816214285713</v>
      </c>
      <c r="AF23" s="35">
        <f t="shared" si="16"/>
        <v>3.9384489728571427E-2</v>
      </c>
      <c r="AG23" s="35">
        <f t="shared" si="16"/>
        <v>8.9918926320939341E-2</v>
      </c>
      <c r="AH23" s="42">
        <f t="shared" si="38"/>
        <v>0.22225889401891058</v>
      </c>
      <c r="AI23" s="36">
        <f t="shared" si="39"/>
        <v>0.61281000000000008</v>
      </c>
      <c r="AJ23" s="34"/>
      <c r="AK23" s="35"/>
      <c r="AL23" s="35"/>
      <c r="AM23" s="35"/>
      <c r="AN23" s="42"/>
      <c r="AO23" s="36"/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-22851</v>
      </c>
      <c r="D24">
        <v>6612.1</v>
      </c>
      <c r="E24">
        <v>4839.6000000000004</v>
      </c>
      <c r="F24">
        <f t="shared" si="60"/>
        <v>0.66121000000000008</v>
      </c>
      <c r="G24">
        <f t="shared" si="61"/>
        <v>-2.2850999999999999</v>
      </c>
      <c r="H24">
        <f t="shared" si="62"/>
        <v>2.94631</v>
      </c>
      <c r="I24">
        <f t="shared" si="64"/>
        <v>0.48396000000000006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0.10943008695708491</v>
      </c>
      <c r="P24" s="4">
        <v>4</v>
      </c>
      <c r="Q24" s="5">
        <f t="shared" si="67"/>
        <v>2.94631</v>
      </c>
      <c r="R24" s="5">
        <f t="shared" si="67"/>
        <v>0.48396000000000006</v>
      </c>
      <c r="S24" s="5">
        <f t="shared" si="68"/>
        <v>2.4550128074999997</v>
      </c>
      <c r="T24" s="5">
        <f t="shared" si="69"/>
        <v>0.14730076844999998</v>
      </c>
      <c r="U24" s="5">
        <f t="shared" si="70"/>
        <v>0.33630312431506848</v>
      </c>
      <c r="V24" s="5">
        <f t="shared" si="63"/>
        <v>0.10943008695708491</v>
      </c>
      <c r="W24" s="19"/>
      <c r="X24" s="37">
        <f t="shared" si="12"/>
        <v>3.7037181101287876E-2</v>
      </c>
      <c r="Y24" s="38">
        <f t="shared" si="13"/>
        <v>0.86173921428571421</v>
      </c>
      <c r="Z24" s="38">
        <f t="shared" si="13"/>
        <v>5.1704352857142852E-2</v>
      </c>
      <c r="AA24" s="38">
        <f t="shared" si="13"/>
        <v>0.11804646771037181</v>
      </c>
      <c r="AB24" s="43">
        <f t="shared" si="37"/>
        <v>0.15186665438806524</v>
      </c>
      <c r="AC24" s="39">
        <f t="shared" si="14"/>
        <v>0.82456000000000007</v>
      </c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-26067.599999999999</v>
      </c>
      <c r="D25">
        <v>-12.8</v>
      </c>
      <c r="E25">
        <v>5063.3999999999996</v>
      </c>
      <c r="F25">
        <f t="shared" si="60"/>
        <v>-1.2800000000000001E-3</v>
      </c>
      <c r="G25">
        <f t="shared" si="61"/>
        <v>-2.60676</v>
      </c>
      <c r="H25">
        <f t="shared" si="62"/>
        <v>2.60548</v>
      </c>
      <c r="I25">
        <f t="shared" si="64"/>
        <v>0.50634000000000001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7.9108775200242218E-2</v>
      </c>
      <c r="P25" s="4">
        <v>4</v>
      </c>
      <c r="Q25" s="5">
        <f t="shared" si="67"/>
        <v>2.60548</v>
      </c>
      <c r="R25" s="5">
        <f t="shared" si="67"/>
        <v>0.50634000000000001</v>
      </c>
      <c r="S25" s="5">
        <f t="shared" si="68"/>
        <v>2.1710162100000003</v>
      </c>
      <c r="T25" s="5">
        <f t="shared" si="69"/>
        <v>0.13026097260000002</v>
      </c>
      <c r="U25" s="5">
        <f t="shared" si="70"/>
        <v>0.29739948082191786</v>
      </c>
      <c r="V25" s="5">
        <f t="shared" si="63"/>
        <v>7.9108775200242218E-2</v>
      </c>
      <c r="W25" s="19"/>
      <c r="X25" s="20"/>
      <c r="Y25" s="21"/>
      <c r="Z25" s="18"/>
      <c r="AA25" s="22">
        <f>MAX(AA14:AA24)</f>
        <v>1.7914372767123292</v>
      </c>
      <c r="AB25" s="17"/>
      <c r="AC25" s="26">
        <f>MIN(AC14:AC24)</f>
        <v>0.41781000000000001</v>
      </c>
      <c r="AG25" s="22">
        <f>MAX(AG14:AG24)</f>
        <v>1.0918664493150685</v>
      </c>
      <c r="AI25" s="26">
        <f>MIN(AI14:AI24)</f>
        <v>0.41701000000000005</v>
      </c>
      <c r="AM25" s="22">
        <f>MAX(AM14:AM24)</f>
        <v>0.86271585068493151</v>
      </c>
      <c r="AO25" s="26">
        <f>MIN(AO14:AO24)</f>
        <v>0.51724999999999999</v>
      </c>
      <c r="AS25" s="22">
        <f>MAX(AS14:AS24)</f>
        <v>0.81404187534246586</v>
      </c>
      <c r="AU25" s="26">
        <f>MIN(AU14:AU24)</f>
        <v>0.60526000000000002</v>
      </c>
      <c r="AY25" s="22">
        <f>MAX(AY14:AY24)</f>
        <v>0.78918134794520567</v>
      </c>
      <c r="BA25" s="26">
        <f>MIN(BA14:BA24)</f>
        <v>0.63551999999999997</v>
      </c>
      <c r="BE25" s="22">
        <f>MAX(BE14:BE24)</f>
        <v>0.7266229164383563</v>
      </c>
      <c r="BG25" s="26">
        <f>MIN(BG14:BG24)</f>
        <v>0.50954999999999995</v>
      </c>
      <c r="BK25" s="22">
        <f>MAX(BK14:BK24)</f>
        <v>0.7952659753424659</v>
      </c>
      <c r="BM25" s="26">
        <f>MIN(BM14:BM24)</f>
        <v>0.70109999999999995</v>
      </c>
      <c r="BQ25" s="22">
        <f>MAX(BQ14:BQ24)</f>
        <v>0.75609637671232888</v>
      </c>
      <c r="BS25" s="26">
        <f>MIN(BS14:BS24)</f>
        <v>0.83682999999999996</v>
      </c>
      <c r="BW25" s="22">
        <f>MAX(BW14:BW24)</f>
        <v>0.80891605616438367</v>
      </c>
      <c r="BY25" s="26">
        <f>MIN(BY14:BY24)</f>
        <v>0.74095</v>
      </c>
      <c r="CC25" s="22">
        <f>MAX(CC14:CC24)</f>
        <v>0.89063543287671243</v>
      </c>
      <c r="CE25" s="26">
        <f>MIN(CE14:CE24)</f>
        <v>0.56313000000000002</v>
      </c>
      <c r="CI25" s="22">
        <f>MAX(CI14:CI24)</f>
        <v>0.77306728219178089</v>
      </c>
      <c r="CK25" s="26">
        <f>MIN(CK14:CK24)</f>
        <v>0.75339</v>
      </c>
      <c r="CO25" s="22">
        <f>MAX(CO14:CO24)</f>
        <v>0.81452127945205488</v>
      </c>
      <c r="CQ25" s="26">
        <f>MIN(CQ14:CQ24)</f>
        <v>0.50749999999999995</v>
      </c>
    </row>
    <row r="26" spans="2:95" x14ac:dyDescent="0.3">
      <c r="B26">
        <v>8</v>
      </c>
      <c r="C26">
        <v>-19715.400000000001</v>
      </c>
      <c r="D26">
        <v>-429.1</v>
      </c>
      <c r="E26">
        <v>5573.3</v>
      </c>
      <c r="F26">
        <f t="shared" si="60"/>
        <v>-4.2910000000000004E-2</v>
      </c>
      <c r="G26">
        <f t="shared" si="61"/>
        <v>-1.9715400000000001</v>
      </c>
      <c r="H26">
        <f t="shared" si="62"/>
        <v>1.9286300000000001</v>
      </c>
      <c r="I26">
        <f t="shared" si="64"/>
        <v>0.55732999999999999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6.6341851411621883E-2</v>
      </c>
      <c r="P26" s="4">
        <v>5</v>
      </c>
      <c r="Q26" s="5">
        <f t="shared" si="67"/>
        <v>1.9286300000000001</v>
      </c>
      <c r="R26" s="5">
        <f t="shared" si="67"/>
        <v>0.55732999999999999</v>
      </c>
      <c r="S26" s="5">
        <f t="shared" si="68"/>
        <v>1.285624758</v>
      </c>
      <c r="T26" s="5">
        <f t="shared" si="69"/>
        <v>7.713748547999999E-2</v>
      </c>
      <c r="U26" s="5">
        <f t="shared" si="70"/>
        <v>0.17611298054794522</v>
      </c>
      <c r="V26" s="5">
        <f t="shared" si="63"/>
        <v>6.6341851411621883E-2</v>
      </c>
      <c r="W26" s="19"/>
      <c r="X26" s="20"/>
      <c r="Y26" s="21"/>
      <c r="Z26" s="18"/>
    </row>
    <row r="27" spans="2:95" x14ac:dyDescent="0.3">
      <c r="B27">
        <v>9</v>
      </c>
      <c r="C27">
        <v>-2326.1</v>
      </c>
      <c r="D27">
        <v>2441.5</v>
      </c>
      <c r="E27">
        <v>6906.7</v>
      </c>
      <c r="F27">
        <f t="shared" si="60"/>
        <v>0.24415000000000001</v>
      </c>
      <c r="G27">
        <f t="shared" si="61"/>
        <v>-0.23260999999999998</v>
      </c>
      <c r="H27">
        <f t="shared" si="62"/>
        <v>0.47675999999999996</v>
      </c>
      <c r="I27">
        <f t="shared" si="64"/>
        <v>0.69067000000000001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5.3466814863302285E-2</v>
      </c>
      <c r="P27" s="4">
        <v>8</v>
      </c>
      <c r="Q27" s="5">
        <f t="shared" si="67"/>
        <v>0.47675999999999996</v>
      </c>
      <c r="R27" s="5">
        <f t="shared" si="67"/>
        <v>0.69067000000000001</v>
      </c>
      <c r="S27" s="5">
        <f t="shared" si="68"/>
        <v>0.19863013499999999</v>
      </c>
      <c r="T27" s="5">
        <f t="shared" si="69"/>
        <v>1.1917808099999998E-2</v>
      </c>
      <c r="U27" s="5">
        <f t="shared" si="70"/>
        <v>2.7209607534246574E-2</v>
      </c>
      <c r="V27" s="5">
        <f t="shared" si="63"/>
        <v>5.3466814863302285E-2</v>
      </c>
      <c r="W27" s="19"/>
      <c r="X27" s="20"/>
      <c r="Y27" s="21"/>
      <c r="Z27" s="17"/>
    </row>
    <row r="28" spans="2:95" x14ac:dyDescent="0.3">
      <c r="B28">
        <v>10</v>
      </c>
      <c r="C28">
        <v>-17318.7</v>
      </c>
      <c r="D28">
        <v>10253.200000000001</v>
      </c>
      <c r="E28">
        <v>6128.1</v>
      </c>
      <c r="F28">
        <f t="shared" si="60"/>
        <v>1.02532</v>
      </c>
      <c r="G28">
        <f t="shared" si="61"/>
        <v>-1.73187</v>
      </c>
      <c r="H28">
        <f t="shared" si="62"/>
        <v>2.75719</v>
      </c>
      <c r="I28">
        <f t="shared" si="64"/>
        <v>0.61281000000000008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3.8288565122085935E-2</v>
      </c>
      <c r="P28" s="4">
        <v>14</v>
      </c>
      <c r="Q28" s="5">
        <f t="shared" si="67"/>
        <v>2.75719</v>
      </c>
      <c r="R28" s="5">
        <f t="shared" si="67"/>
        <v>0.61281000000000008</v>
      </c>
      <c r="S28" s="5">
        <f t="shared" si="68"/>
        <v>0.65640816214285713</v>
      </c>
      <c r="T28" s="5">
        <f t="shared" si="69"/>
        <v>3.9384489728571427E-2</v>
      </c>
      <c r="U28" s="5">
        <f t="shared" si="70"/>
        <v>8.9918926320939341E-2</v>
      </c>
      <c r="V28" s="5">
        <f t="shared" si="63"/>
        <v>3.8288565122085935E-2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2.4691454067525247E-2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2.4691454067525247E-2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-8079.2</v>
      </c>
      <c r="D33">
        <v>37977.4</v>
      </c>
      <c r="E33">
        <v>10538.8</v>
      </c>
      <c r="F33">
        <f t="shared" ref="F33:F43" si="72">D33/10000</f>
        <v>3.7977400000000001</v>
      </c>
      <c r="G33">
        <f t="shared" ref="G33:G43" si="73">C33/10000</f>
        <v>-0.80791999999999997</v>
      </c>
      <c r="H33">
        <f t="shared" ref="H33:H43" si="74">F33-G33</f>
        <v>4.6056600000000003</v>
      </c>
      <c r="I33">
        <f>E33/10000</f>
        <v>1.0538799999999999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0.3539450045358154</v>
      </c>
      <c r="P33" s="2">
        <v>3</v>
      </c>
      <c r="Q33" s="8">
        <f>H33</f>
        <v>4.6056600000000003</v>
      </c>
      <c r="R33" s="8">
        <f>I33</f>
        <v>1.0538799999999999</v>
      </c>
      <c r="S33" s="8">
        <f>Q33/10^6*$Z$4*$Z$3/P33*10^12</f>
        <v>5.1168882600000014</v>
      </c>
      <c r="T33" s="8">
        <f>S33*0.06</f>
        <v>0.30701329560000007</v>
      </c>
      <c r="U33" s="8">
        <f>S33/$Z$1</f>
        <v>0.70094359726027422</v>
      </c>
      <c r="V33" s="12">
        <f t="shared" ref="V33:V43" si="75">O33</f>
        <v>0.3539450045358154</v>
      </c>
    </row>
    <row r="34" spans="2:22" x14ac:dyDescent="0.3">
      <c r="B34">
        <v>2</v>
      </c>
      <c r="C34">
        <v>-10169.5</v>
      </c>
      <c r="D34">
        <v>45517.7</v>
      </c>
      <c r="E34">
        <v>6087.4</v>
      </c>
      <c r="F34">
        <f t="shared" si="72"/>
        <v>4.5517699999999994</v>
      </c>
      <c r="G34">
        <f t="shared" si="73"/>
        <v>-1.01695</v>
      </c>
      <c r="H34">
        <f t="shared" si="74"/>
        <v>5.568719999999999</v>
      </c>
      <c r="I34">
        <f t="shared" ref="I34:I43" si="76">E34/10000</f>
        <v>0.60873999999999995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0.31396278180331183</v>
      </c>
      <c r="P34" s="4">
        <v>3</v>
      </c>
      <c r="Q34" s="5">
        <f t="shared" ref="Q34:R43" si="79">H34</f>
        <v>5.568719999999999</v>
      </c>
      <c r="R34" s="5">
        <f t="shared" si="79"/>
        <v>0.60873999999999995</v>
      </c>
      <c r="S34" s="5">
        <f t="shared" ref="S34:S43" si="80">Q34/10^6*$Z$4*$Z$3/P34*10^12</f>
        <v>6.1868479199999991</v>
      </c>
      <c r="T34" s="5">
        <f t="shared" ref="T34:T43" si="81">S34*0.06</f>
        <v>0.37121087519999996</v>
      </c>
      <c r="U34" s="5">
        <f t="shared" ref="U34:U43" si="82">S34/$Z$1</f>
        <v>0.84751341369862998</v>
      </c>
      <c r="V34" s="5">
        <f t="shared" si="75"/>
        <v>0.31396278180331183</v>
      </c>
    </row>
    <row r="35" spans="2:22" x14ac:dyDescent="0.3">
      <c r="B35">
        <v>3</v>
      </c>
      <c r="C35">
        <v>-15029.4</v>
      </c>
      <c r="D35">
        <v>41656.699999999997</v>
      </c>
      <c r="E35">
        <v>5500.3</v>
      </c>
      <c r="F35">
        <f t="shared" si="72"/>
        <v>4.1656699999999995</v>
      </c>
      <c r="G35">
        <f t="shared" si="73"/>
        <v>-1.5029399999999999</v>
      </c>
      <c r="H35">
        <f t="shared" si="74"/>
        <v>5.6686099999999993</v>
      </c>
      <c r="I35">
        <f t="shared" si="76"/>
        <v>0.55003000000000002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0.27085371918119666</v>
      </c>
      <c r="P35" s="4">
        <v>3</v>
      </c>
      <c r="Q35" s="5">
        <f t="shared" si="79"/>
        <v>5.6686099999999993</v>
      </c>
      <c r="R35" s="5">
        <f t="shared" si="79"/>
        <v>0.55003000000000002</v>
      </c>
      <c r="S35" s="5">
        <f t="shared" si="80"/>
        <v>6.2978257099999997</v>
      </c>
      <c r="T35" s="5">
        <f t="shared" si="81"/>
        <v>0.37786954259999994</v>
      </c>
      <c r="U35" s="5">
        <f t="shared" si="82"/>
        <v>0.86271585068493151</v>
      </c>
      <c r="V35" s="5">
        <f t="shared" si="75"/>
        <v>0.27085371918119666</v>
      </c>
    </row>
    <row r="36" spans="2:22" x14ac:dyDescent="0.3">
      <c r="B36">
        <v>4</v>
      </c>
      <c r="C36">
        <v>-19761.599999999999</v>
      </c>
      <c r="D36">
        <v>18785.400000000001</v>
      </c>
      <c r="E36">
        <v>5172.5</v>
      </c>
      <c r="F36">
        <f t="shared" si="72"/>
        <v>1.8785400000000001</v>
      </c>
      <c r="G36">
        <f t="shared" si="73"/>
        <v>-1.9761599999999999</v>
      </c>
      <c r="H36">
        <f t="shared" si="74"/>
        <v>3.8547000000000002</v>
      </c>
      <c r="I36">
        <f t="shared" si="76"/>
        <v>0.51724999999999999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0.16404951789089781</v>
      </c>
      <c r="P36" s="4">
        <v>3</v>
      </c>
      <c r="Q36" s="5">
        <f t="shared" si="79"/>
        <v>3.8547000000000002</v>
      </c>
      <c r="R36" s="5">
        <f t="shared" si="79"/>
        <v>0.51724999999999999</v>
      </c>
      <c r="S36" s="5">
        <f t="shared" si="80"/>
        <v>4.282571700000001</v>
      </c>
      <c r="T36" s="5">
        <f t="shared" si="81"/>
        <v>0.25695430200000002</v>
      </c>
      <c r="U36" s="5">
        <f t="shared" si="82"/>
        <v>0.5866536575342467</v>
      </c>
      <c r="V36" s="5">
        <f t="shared" si="75"/>
        <v>0.16404951789089781</v>
      </c>
    </row>
    <row r="37" spans="2:22" x14ac:dyDescent="0.3">
      <c r="B37">
        <v>5</v>
      </c>
      <c r="C37">
        <v>-21294.5</v>
      </c>
      <c r="D37">
        <v>-3555.8</v>
      </c>
      <c r="E37">
        <v>5296.3</v>
      </c>
      <c r="F37">
        <f t="shared" si="72"/>
        <v>-0.35558000000000001</v>
      </c>
      <c r="G37">
        <f t="shared" si="73"/>
        <v>-2.1294499999999998</v>
      </c>
      <c r="H37">
        <f t="shared" si="74"/>
        <v>1.7738699999999998</v>
      </c>
      <c r="I37">
        <f t="shared" si="76"/>
        <v>0.52963000000000005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0.11856897860074163</v>
      </c>
      <c r="P37" s="4">
        <v>3</v>
      </c>
      <c r="Q37" s="5">
        <f t="shared" si="79"/>
        <v>1.7738699999999998</v>
      </c>
      <c r="R37" s="5">
        <f t="shared" si="79"/>
        <v>0.52963000000000005</v>
      </c>
      <c r="S37" s="5">
        <f t="shared" si="80"/>
        <v>1.9707695700000001</v>
      </c>
      <c r="T37" s="5">
        <f t="shared" si="81"/>
        <v>0.1182461742</v>
      </c>
      <c r="U37" s="5">
        <f t="shared" si="82"/>
        <v>0.26996843424657535</v>
      </c>
      <c r="V37" s="5">
        <f t="shared" si="75"/>
        <v>0.11856897860074163</v>
      </c>
    </row>
    <row r="38" spans="2:22" x14ac:dyDescent="0.3">
      <c r="B38">
        <v>6</v>
      </c>
      <c r="C38">
        <v>-23706.9</v>
      </c>
      <c r="D38">
        <v>-3868.8</v>
      </c>
      <c r="E38">
        <v>5292.9</v>
      </c>
      <c r="F38">
        <f t="shared" si="72"/>
        <v>-0.38688</v>
      </c>
      <c r="G38">
        <f t="shared" si="73"/>
        <v>-2.3706900000000002</v>
      </c>
      <c r="H38">
        <f t="shared" si="74"/>
        <v>1.9838100000000001</v>
      </c>
      <c r="I38">
        <f t="shared" si="76"/>
        <v>0.52928999999999993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8.2072565217813684E-2</v>
      </c>
      <c r="P38" s="4">
        <v>4</v>
      </c>
      <c r="Q38" s="5">
        <f t="shared" si="79"/>
        <v>1.9838100000000001</v>
      </c>
      <c r="R38" s="5">
        <f t="shared" si="79"/>
        <v>0.52928999999999993</v>
      </c>
      <c r="S38" s="5">
        <f t="shared" si="80"/>
        <v>1.6530096825000002</v>
      </c>
      <c r="T38" s="5">
        <f t="shared" si="81"/>
        <v>9.9180580950000014E-2</v>
      </c>
      <c r="U38" s="5">
        <f t="shared" si="82"/>
        <v>0.22643968253424662</v>
      </c>
      <c r="V38" s="5">
        <f t="shared" si="75"/>
        <v>8.2072565217813684E-2</v>
      </c>
    </row>
    <row r="39" spans="2:22" x14ac:dyDescent="0.3">
      <c r="B39">
        <v>7</v>
      </c>
      <c r="C39">
        <v>-24070.400000000001</v>
      </c>
      <c r="D39">
        <v>-11447.3</v>
      </c>
      <c r="E39">
        <v>5471.6</v>
      </c>
      <c r="F39">
        <f t="shared" si="72"/>
        <v>-1.14473</v>
      </c>
      <c r="G39">
        <f t="shared" si="73"/>
        <v>-2.4070400000000003</v>
      </c>
      <c r="H39">
        <f t="shared" si="74"/>
        <v>1.2623100000000003</v>
      </c>
      <c r="I39">
        <f t="shared" si="76"/>
        <v>0.54716000000000009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5.9331581400181667E-2</v>
      </c>
      <c r="P39" s="4">
        <v>4</v>
      </c>
      <c r="Q39" s="5">
        <f t="shared" si="79"/>
        <v>1.2623100000000003</v>
      </c>
      <c r="R39" s="5">
        <f t="shared" si="79"/>
        <v>0.54716000000000009</v>
      </c>
      <c r="S39" s="5">
        <f t="shared" si="80"/>
        <v>1.0518198075000003</v>
      </c>
      <c r="T39" s="5">
        <f t="shared" si="81"/>
        <v>6.310918845000002E-2</v>
      </c>
      <c r="U39" s="5">
        <f t="shared" si="82"/>
        <v>0.14408490513698635</v>
      </c>
      <c r="V39" s="5">
        <f t="shared" si="75"/>
        <v>5.9331581400181667E-2</v>
      </c>
    </row>
    <row r="40" spans="2:22" x14ac:dyDescent="0.3">
      <c r="B40">
        <v>8</v>
      </c>
      <c r="C40">
        <v>0</v>
      </c>
      <c r="D40">
        <v>0</v>
      </c>
      <c r="E40">
        <v>0</v>
      </c>
      <c r="F40">
        <f t="shared" si="72"/>
        <v>0</v>
      </c>
      <c r="G40">
        <f t="shared" si="73"/>
        <v>0</v>
      </c>
      <c r="H40">
        <f t="shared" si="74"/>
        <v>0</v>
      </c>
      <c r="I40">
        <f t="shared" si="76"/>
        <v>0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4.9756388558716405E-2</v>
      </c>
      <c r="P40" s="4">
        <v>5</v>
      </c>
      <c r="Q40" s="5">
        <f t="shared" si="79"/>
        <v>0</v>
      </c>
      <c r="R40" s="5">
        <f t="shared" si="79"/>
        <v>0</v>
      </c>
      <c r="S40" s="5">
        <f t="shared" si="80"/>
        <v>0</v>
      </c>
      <c r="T40" s="5">
        <f t="shared" si="81"/>
        <v>0</v>
      </c>
      <c r="U40" s="5">
        <f t="shared" si="82"/>
        <v>0</v>
      </c>
      <c r="V40" s="5">
        <f t="shared" si="75"/>
        <v>4.9756388558716405E-2</v>
      </c>
    </row>
    <row r="41" spans="2:22" x14ac:dyDescent="0.3">
      <c r="B41">
        <v>9</v>
      </c>
      <c r="C41">
        <v>0</v>
      </c>
      <c r="D41">
        <v>0</v>
      </c>
      <c r="E41">
        <v>0</v>
      </c>
      <c r="F41">
        <f t="shared" si="72"/>
        <v>0</v>
      </c>
      <c r="G41">
        <f t="shared" si="73"/>
        <v>0</v>
      </c>
      <c r="H41">
        <f t="shared" si="74"/>
        <v>0</v>
      </c>
      <c r="I41">
        <f t="shared" si="76"/>
        <v>0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4.0100111147476712E-2</v>
      </c>
      <c r="P41" s="4">
        <v>8</v>
      </c>
      <c r="Q41" s="5">
        <f t="shared" si="79"/>
        <v>0</v>
      </c>
      <c r="R41" s="5">
        <f t="shared" si="79"/>
        <v>0</v>
      </c>
      <c r="S41" s="5">
        <f t="shared" si="80"/>
        <v>0</v>
      </c>
      <c r="T41" s="5">
        <f t="shared" si="81"/>
        <v>0</v>
      </c>
      <c r="U41" s="5">
        <f t="shared" si="82"/>
        <v>0</v>
      </c>
      <c r="V41" s="5">
        <f t="shared" si="75"/>
        <v>4.0100111147476712E-2</v>
      </c>
    </row>
    <row r="42" spans="2:22" x14ac:dyDescent="0.3">
      <c r="B42">
        <v>10</v>
      </c>
      <c r="C42">
        <v>0</v>
      </c>
      <c r="D42">
        <v>0</v>
      </c>
      <c r="E42">
        <v>0</v>
      </c>
      <c r="F42">
        <f t="shared" si="72"/>
        <v>0</v>
      </c>
      <c r="G42">
        <f t="shared" si="73"/>
        <v>0</v>
      </c>
      <c r="H42">
        <f t="shared" si="74"/>
        <v>0</v>
      </c>
      <c r="I42">
        <f t="shared" si="76"/>
        <v>0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2.8716423841564451E-2</v>
      </c>
      <c r="P42" s="4">
        <v>14</v>
      </c>
      <c r="Q42" s="5">
        <f t="shared" si="79"/>
        <v>0</v>
      </c>
      <c r="R42" s="5">
        <f t="shared" si="79"/>
        <v>0</v>
      </c>
      <c r="S42" s="5">
        <f t="shared" si="80"/>
        <v>0</v>
      </c>
      <c r="T42" s="5">
        <f t="shared" si="81"/>
        <v>0</v>
      </c>
      <c r="U42" s="5">
        <f t="shared" si="82"/>
        <v>0</v>
      </c>
      <c r="V42" s="5">
        <f t="shared" si="75"/>
        <v>2.8716423841564451E-2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1.8518590550643938E-2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1.8518590550643938E-2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5153.5</v>
      </c>
      <c r="D47">
        <v>52838.3</v>
      </c>
      <c r="E47">
        <v>13423</v>
      </c>
      <c r="F47">
        <f t="shared" ref="F47:F57" si="84">D47/10000</f>
        <v>5.28383</v>
      </c>
      <c r="G47">
        <f t="shared" ref="G47:G57" si="85">C47/10000</f>
        <v>0.51534999999999997</v>
      </c>
      <c r="H47">
        <f t="shared" ref="H47:H57" si="86">F47-G47</f>
        <v>4.7684800000000003</v>
      </c>
      <c r="I47">
        <f>E47/10000</f>
        <v>1.3423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0.28315600362865234</v>
      </c>
      <c r="P47" s="2">
        <v>3</v>
      </c>
      <c r="Q47" s="8">
        <f>H47</f>
        <v>4.7684800000000003</v>
      </c>
      <c r="R47" s="8">
        <f>I47</f>
        <v>1.3423</v>
      </c>
      <c r="S47" s="8">
        <f>Q47/10^6*$Z$4*$Z$3/P47*10^12</f>
        <v>5.2977812800000006</v>
      </c>
      <c r="T47" s="8">
        <f>S47*0.06</f>
        <v>0.31786687680000003</v>
      </c>
      <c r="U47" s="8">
        <f>S47/$Z$1</f>
        <v>0.72572346301369872</v>
      </c>
      <c r="V47" s="12">
        <f t="shared" ref="V47:V57" si="87">O47</f>
        <v>0.28315600362865234</v>
      </c>
    </row>
    <row r="48" spans="2:22" x14ac:dyDescent="0.3">
      <c r="B48">
        <v>2</v>
      </c>
      <c r="C48">
        <v>651.4</v>
      </c>
      <c r="D48">
        <v>53537.7</v>
      </c>
      <c r="E48">
        <v>7024.3</v>
      </c>
      <c r="F48">
        <f t="shared" si="84"/>
        <v>5.3537699999999999</v>
      </c>
      <c r="G48">
        <f t="shared" si="85"/>
        <v>6.5140000000000003E-2</v>
      </c>
      <c r="H48">
        <f t="shared" si="86"/>
        <v>5.2886299999999995</v>
      </c>
      <c r="I48">
        <f t="shared" ref="I48:I57" si="88">E48/10000</f>
        <v>0.70243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0.25117022544264944</v>
      </c>
      <c r="P48" s="4">
        <v>3</v>
      </c>
      <c r="Q48" s="5">
        <f t="shared" ref="Q48:R57" si="91">H48</f>
        <v>5.2886299999999995</v>
      </c>
      <c r="R48" s="5">
        <f t="shared" si="91"/>
        <v>0.70243</v>
      </c>
      <c r="S48" s="5">
        <f t="shared" ref="S48:S57" si="92">Q48/10^6*$Z$4*$Z$3/P48*10^12</f>
        <v>5.8756679299999988</v>
      </c>
      <c r="T48" s="5">
        <f t="shared" ref="T48:T57" si="93">S48*0.06</f>
        <v>0.35254007579999991</v>
      </c>
      <c r="U48" s="5">
        <f t="shared" ref="U48:U57" si="94">S48/$Z$1</f>
        <v>0.804886017808219</v>
      </c>
      <c r="V48" s="5">
        <f t="shared" si="87"/>
        <v>0.25117022544264944</v>
      </c>
    </row>
    <row r="49" spans="2:22" x14ac:dyDescent="0.3">
      <c r="B49">
        <v>3</v>
      </c>
      <c r="C49">
        <v>-2611.8000000000002</v>
      </c>
      <c r="D49">
        <v>50876.1</v>
      </c>
      <c r="E49">
        <v>6052.6</v>
      </c>
      <c r="F49">
        <f t="shared" si="84"/>
        <v>5.0876099999999997</v>
      </c>
      <c r="G49">
        <f t="shared" si="85"/>
        <v>-0.26118000000000002</v>
      </c>
      <c r="H49">
        <f t="shared" si="86"/>
        <v>5.3487900000000002</v>
      </c>
      <c r="I49">
        <f t="shared" si="88"/>
        <v>0.60526000000000002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0.21668297534495731</v>
      </c>
      <c r="P49" s="4">
        <v>3</v>
      </c>
      <c r="Q49" s="5">
        <f t="shared" si="91"/>
        <v>5.3487900000000002</v>
      </c>
      <c r="R49" s="5">
        <f t="shared" si="91"/>
        <v>0.60526000000000002</v>
      </c>
      <c r="S49" s="5">
        <f t="shared" si="92"/>
        <v>5.9425056900000008</v>
      </c>
      <c r="T49" s="5">
        <f t="shared" si="93"/>
        <v>0.35655034140000003</v>
      </c>
      <c r="U49" s="5">
        <f t="shared" si="94"/>
        <v>0.81404187534246586</v>
      </c>
      <c r="V49" s="5">
        <f t="shared" si="87"/>
        <v>0.21668297534495731</v>
      </c>
    </row>
    <row r="50" spans="2:22" x14ac:dyDescent="0.3">
      <c r="B50">
        <v>4</v>
      </c>
      <c r="C50">
        <v>-7050.2</v>
      </c>
      <c r="D50">
        <v>12786.7</v>
      </c>
      <c r="E50">
        <v>6366.1</v>
      </c>
      <c r="F50">
        <f t="shared" si="84"/>
        <v>1.27867</v>
      </c>
      <c r="G50">
        <f t="shared" si="85"/>
        <v>-0.70501999999999998</v>
      </c>
      <c r="H50">
        <f t="shared" si="86"/>
        <v>1.98369</v>
      </c>
      <c r="I50">
        <f t="shared" si="88"/>
        <v>0.63661000000000001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0.13123961431271824</v>
      </c>
      <c r="P50" s="4">
        <v>3</v>
      </c>
      <c r="Q50" s="5">
        <f t="shared" si="91"/>
        <v>1.98369</v>
      </c>
      <c r="R50" s="5">
        <f t="shared" si="91"/>
        <v>0.63661000000000001</v>
      </c>
      <c r="S50" s="5">
        <f t="shared" si="92"/>
        <v>2.2038795899999997</v>
      </c>
      <c r="T50" s="5">
        <f t="shared" si="93"/>
        <v>0.13223277539999997</v>
      </c>
      <c r="U50" s="5">
        <f t="shared" si="94"/>
        <v>0.3019013136986301</v>
      </c>
      <c r="V50" s="5">
        <f t="shared" si="87"/>
        <v>0.13123961431271824</v>
      </c>
    </row>
    <row r="51" spans="2:22" x14ac:dyDescent="0.3">
      <c r="B51">
        <v>5</v>
      </c>
      <c r="C51">
        <v>0</v>
      </c>
      <c r="D51">
        <v>0</v>
      </c>
      <c r="E51">
        <v>0</v>
      </c>
      <c r="F51">
        <f t="shared" si="84"/>
        <v>0</v>
      </c>
      <c r="G51">
        <f t="shared" si="85"/>
        <v>0</v>
      </c>
      <c r="H51">
        <f t="shared" si="86"/>
        <v>0</v>
      </c>
      <c r="I51">
        <f t="shared" si="88"/>
        <v>0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9.4855182880593289E-2</v>
      </c>
      <c r="P51" s="4">
        <v>3</v>
      </c>
      <c r="Q51" s="5">
        <f t="shared" si="91"/>
        <v>0</v>
      </c>
      <c r="R51" s="5">
        <f t="shared" si="91"/>
        <v>0</v>
      </c>
      <c r="S51" s="5">
        <f t="shared" si="92"/>
        <v>0</v>
      </c>
      <c r="T51" s="5">
        <f t="shared" si="93"/>
        <v>0</v>
      </c>
      <c r="U51" s="5">
        <f t="shared" si="94"/>
        <v>0</v>
      </c>
      <c r="V51" s="5">
        <f t="shared" si="87"/>
        <v>9.4855182880593289E-2</v>
      </c>
    </row>
    <row r="52" spans="2:22" x14ac:dyDescent="0.3">
      <c r="B52">
        <v>6</v>
      </c>
      <c r="C52">
        <v>0</v>
      </c>
      <c r="D52">
        <v>0</v>
      </c>
      <c r="E52">
        <v>0</v>
      </c>
      <c r="F52">
        <f t="shared" si="84"/>
        <v>0</v>
      </c>
      <c r="G52">
        <f t="shared" si="85"/>
        <v>0</v>
      </c>
      <c r="H52">
        <f t="shared" si="86"/>
        <v>0</v>
      </c>
      <c r="I52">
        <f t="shared" si="88"/>
        <v>0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6.5658052174250942E-2</v>
      </c>
      <c r="P52" s="4">
        <v>4</v>
      </c>
      <c r="Q52" s="5">
        <f t="shared" si="91"/>
        <v>0</v>
      </c>
      <c r="R52" s="5">
        <f t="shared" si="91"/>
        <v>0</v>
      </c>
      <c r="S52" s="5">
        <f t="shared" si="92"/>
        <v>0</v>
      </c>
      <c r="T52" s="5">
        <f t="shared" si="93"/>
        <v>0</v>
      </c>
      <c r="U52" s="5">
        <f t="shared" si="94"/>
        <v>0</v>
      </c>
      <c r="V52" s="5">
        <f t="shared" si="87"/>
        <v>6.5658052174250942E-2</v>
      </c>
    </row>
    <row r="53" spans="2:22" x14ac:dyDescent="0.3">
      <c r="B53">
        <v>7</v>
      </c>
      <c r="C53">
        <v>0</v>
      </c>
      <c r="D53">
        <v>0</v>
      </c>
      <c r="E53">
        <v>0</v>
      </c>
      <c r="F53">
        <f t="shared" si="84"/>
        <v>0</v>
      </c>
      <c r="G53">
        <f t="shared" si="85"/>
        <v>0</v>
      </c>
      <c r="H53">
        <f t="shared" si="86"/>
        <v>0</v>
      </c>
      <c r="I53">
        <f t="shared" si="88"/>
        <v>0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4.7465265120145331E-2</v>
      </c>
      <c r="P53" s="4">
        <v>4</v>
      </c>
      <c r="Q53" s="5">
        <f t="shared" si="91"/>
        <v>0</v>
      </c>
      <c r="R53" s="5">
        <f t="shared" si="91"/>
        <v>0</v>
      </c>
      <c r="S53" s="5">
        <f t="shared" si="92"/>
        <v>0</v>
      </c>
      <c r="T53" s="5">
        <f t="shared" si="93"/>
        <v>0</v>
      </c>
      <c r="U53" s="5">
        <f t="shared" si="94"/>
        <v>0</v>
      </c>
      <c r="V53" s="5">
        <f t="shared" si="87"/>
        <v>4.7465265120145331E-2</v>
      </c>
    </row>
    <row r="54" spans="2:22" x14ac:dyDescent="0.3">
      <c r="B54">
        <v>8</v>
      </c>
      <c r="C54">
        <v>0</v>
      </c>
      <c r="D54">
        <v>0</v>
      </c>
      <c r="E54">
        <v>0</v>
      </c>
      <c r="F54">
        <f t="shared" si="84"/>
        <v>0</v>
      </c>
      <c r="G54">
        <f t="shared" si="85"/>
        <v>0</v>
      </c>
      <c r="H54">
        <f t="shared" si="86"/>
        <v>0</v>
      </c>
      <c r="I54">
        <f t="shared" si="88"/>
        <v>0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3.9805110846973128E-2</v>
      </c>
      <c r="P54" s="4">
        <v>5</v>
      </c>
      <c r="Q54" s="5">
        <f t="shared" si="91"/>
        <v>0</v>
      </c>
      <c r="R54" s="5">
        <f t="shared" si="91"/>
        <v>0</v>
      </c>
      <c r="S54" s="5">
        <f t="shared" si="92"/>
        <v>0</v>
      </c>
      <c r="T54" s="5">
        <f t="shared" si="93"/>
        <v>0</v>
      </c>
      <c r="U54" s="5">
        <f t="shared" si="94"/>
        <v>0</v>
      </c>
      <c r="V54" s="5">
        <f t="shared" si="87"/>
        <v>3.9805110846973128E-2</v>
      </c>
    </row>
    <row r="55" spans="2:22" x14ac:dyDescent="0.3">
      <c r="B55">
        <v>9</v>
      </c>
      <c r="C55">
        <v>0</v>
      </c>
      <c r="D55">
        <v>0</v>
      </c>
      <c r="E55">
        <v>0</v>
      </c>
      <c r="F55">
        <f t="shared" si="84"/>
        <v>0</v>
      </c>
      <c r="G55">
        <f t="shared" si="85"/>
        <v>0</v>
      </c>
      <c r="H55">
        <f t="shared" si="86"/>
        <v>0</v>
      </c>
      <c r="I55">
        <f t="shared" si="88"/>
        <v>0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3.2080088917981371E-2</v>
      </c>
      <c r="P55" s="4">
        <v>8</v>
      </c>
      <c r="Q55" s="5">
        <f t="shared" si="91"/>
        <v>0</v>
      </c>
      <c r="R55" s="5">
        <f t="shared" si="91"/>
        <v>0</v>
      </c>
      <c r="S55" s="5">
        <f t="shared" si="92"/>
        <v>0</v>
      </c>
      <c r="T55" s="5">
        <f t="shared" si="93"/>
        <v>0</v>
      </c>
      <c r="U55" s="5">
        <f t="shared" si="94"/>
        <v>0</v>
      </c>
      <c r="V55" s="5">
        <f t="shared" si="87"/>
        <v>3.2080088917981371E-2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84"/>
        <v>0</v>
      </c>
      <c r="G56">
        <f t="shared" si="85"/>
        <v>0</v>
      </c>
      <c r="H56">
        <f t="shared" si="86"/>
        <v>0</v>
      </c>
      <c r="I56">
        <f t="shared" si="88"/>
        <v>0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2.2973139073251565E-2</v>
      </c>
      <c r="P56" s="4">
        <v>14</v>
      </c>
      <c r="Q56" s="5">
        <f t="shared" si="91"/>
        <v>0</v>
      </c>
      <c r="R56" s="5">
        <f t="shared" si="91"/>
        <v>0</v>
      </c>
      <c r="S56" s="5">
        <f t="shared" si="92"/>
        <v>0</v>
      </c>
      <c r="T56" s="5">
        <f t="shared" si="93"/>
        <v>0</v>
      </c>
      <c r="U56" s="5">
        <f t="shared" si="94"/>
        <v>0</v>
      </c>
      <c r="V56" s="5">
        <f t="shared" si="87"/>
        <v>2.2973139073251565E-2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1.4814872440515148E-2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1.4814872440515148E-2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7410.7</v>
      </c>
      <c r="D61">
        <v>52020.5</v>
      </c>
      <c r="E61">
        <v>7781.4</v>
      </c>
      <c r="F61">
        <f t="shared" ref="F61:F71" si="96">D61/10000</f>
        <v>5.2020499999999998</v>
      </c>
      <c r="G61">
        <f t="shared" ref="G61:G71" si="97">C61/10000</f>
        <v>0.74107000000000001</v>
      </c>
      <c r="H61">
        <f t="shared" ref="H61:H71" si="98">F61-G61</f>
        <v>4.4609800000000002</v>
      </c>
      <c r="I61">
        <f>E61/10000</f>
        <v>0.77813999999999994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0.23596333635721028</v>
      </c>
      <c r="P61" s="2">
        <v>3</v>
      </c>
      <c r="Q61" s="8">
        <f>H61</f>
        <v>4.4609800000000002</v>
      </c>
      <c r="R61" s="8">
        <f>I61</f>
        <v>0.77813999999999994</v>
      </c>
      <c r="S61" s="8">
        <f>Q61/10^6*$Z$4*$Z$3/P61*10^12</f>
        <v>4.9561487800000013</v>
      </c>
      <c r="T61" s="8">
        <f>S61*0.06</f>
        <v>0.29736892680000004</v>
      </c>
      <c r="U61" s="8">
        <f>S61/$Z$1</f>
        <v>0.67892449041095915</v>
      </c>
      <c r="V61" s="12">
        <f t="shared" ref="V61:V71" si="99">O61</f>
        <v>0.23596333635721028</v>
      </c>
    </row>
    <row r="62" spans="2:22" x14ac:dyDescent="0.3">
      <c r="B62">
        <v>2</v>
      </c>
      <c r="C62">
        <v>3914.1</v>
      </c>
      <c r="D62">
        <v>55768.5</v>
      </c>
      <c r="E62">
        <v>6363.5</v>
      </c>
      <c r="F62">
        <f t="shared" si="96"/>
        <v>5.5768500000000003</v>
      </c>
      <c r="G62">
        <f t="shared" si="97"/>
        <v>0.39140999999999998</v>
      </c>
      <c r="H62">
        <f t="shared" si="98"/>
        <v>5.1854400000000007</v>
      </c>
      <c r="I62">
        <f t="shared" ref="I62:I71" si="100">E62/10000</f>
        <v>0.63634999999999997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0.20930852120220789</v>
      </c>
      <c r="P62" s="4">
        <v>3</v>
      </c>
      <c r="Q62" s="5">
        <f t="shared" ref="Q62:R71" si="103">H62</f>
        <v>5.1854400000000007</v>
      </c>
      <c r="R62" s="5">
        <f t="shared" si="103"/>
        <v>0.63634999999999997</v>
      </c>
      <c r="S62" s="5">
        <f t="shared" ref="S62:S71" si="104">Q62/10^6*$Z$4*$Z$3/P62*10^12</f>
        <v>5.7610238400000009</v>
      </c>
      <c r="T62" s="5">
        <f t="shared" ref="T62:T71" si="105">S62*0.06</f>
        <v>0.34566143040000002</v>
      </c>
      <c r="U62" s="5">
        <f t="shared" ref="U62:U71" si="106">S62/$Z$1</f>
        <v>0.78918134794520567</v>
      </c>
      <c r="V62" s="5">
        <f t="shared" si="99"/>
        <v>0.20930852120220789</v>
      </c>
    </row>
    <row r="63" spans="2:22" x14ac:dyDescent="0.3">
      <c r="B63">
        <v>3</v>
      </c>
      <c r="C63">
        <v>1447.5</v>
      </c>
      <c r="D63">
        <v>49854.3</v>
      </c>
      <c r="E63">
        <v>7110</v>
      </c>
      <c r="F63">
        <f t="shared" si="96"/>
        <v>4.98543</v>
      </c>
      <c r="G63">
        <f t="shared" si="97"/>
        <v>0.14474999999999999</v>
      </c>
      <c r="H63">
        <f t="shared" si="98"/>
        <v>4.8406799999999999</v>
      </c>
      <c r="I63">
        <f t="shared" si="100"/>
        <v>0.71099999999999997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0.18056914612079775</v>
      </c>
      <c r="P63" s="4">
        <v>3</v>
      </c>
      <c r="Q63" s="5">
        <f t="shared" si="103"/>
        <v>4.8406799999999999</v>
      </c>
      <c r="R63" s="5">
        <f t="shared" si="103"/>
        <v>0.71099999999999997</v>
      </c>
      <c r="S63" s="5">
        <f t="shared" si="104"/>
        <v>5.3779954799999992</v>
      </c>
      <c r="T63" s="5">
        <f t="shared" si="105"/>
        <v>0.32267972879999995</v>
      </c>
      <c r="U63" s="5">
        <f t="shared" si="106"/>
        <v>0.73671170958904098</v>
      </c>
      <c r="V63" s="5">
        <f t="shared" si="99"/>
        <v>0.18056914612079775</v>
      </c>
    </row>
    <row r="64" spans="2:22" x14ac:dyDescent="0.3">
      <c r="B64">
        <v>4</v>
      </c>
      <c r="C64">
        <v>-4934.3999999999996</v>
      </c>
      <c r="D64">
        <v>13101.3</v>
      </c>
      <c r="E64">
        <v>6355.2</v>
      </c>
      <c r="F64">
        <f t="shared" si="96"/>
        <v>1.31013</v>
      </c>
      <c r="G64">
        <f t="shared" si="97"/>
        <v>-0.49343999999999999</v>
      </c>
      <c r="H64">
        <f t="shared" si="98"/>
        <v>1.8035700000000001</v>
      </c>
      <c r="I64">
        <f t="shared" si="100"/>
        <v>0.63551999999999997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0.10936634526059853</v>
      </c>
      <c r="P64" s="4">
        <v>3</v>
      </c>
      <c r="Q64" s="5">
        <f t="shared" si="103"/>
        <v>1.8035700000000001</v>
      </c>
      <c r="R64" s="5">
        <f t="shared" si="103"/>
        <v>0.63551999999999997</v>
      </c>
      <c r="S64" s="5">
        <f t="shared" si="104"/>
        <v>2.0037662700000003</v>
      </c>
      <c r="T64" s="5">
        <f t="shared" si="105"/>
        <v>0.12022597620000001</v>
      </c>
      <c r="U64" s="5">
        <f t="shared" si="106"/>
        <v>0.27448853013698638</v>
      </c>
      <c r="V64" s="5">
        <f t="shared" si="99"/>
        <v>0.10936634526059853</v>
      </c>
    </row>
    <row r="65" spans="2:22" x14ac:dyDescent="0.3">
      <c r="B65">
        <v>5</v>
      </c>
      <c r="C65">
        <v>0</v>
      </c>
      <c r="D65">
        <v>0</v>
      </c>
      <c r="E65">
        <v>0</v>
      </c>
      <c r="F65">
        <f t="shared" si="96"/>
        <v>0</v>
      </c>
      <c r="G65">
        <f t="shared" si="97"/>
        <v>0</v>
      </c>
      <c r="H65">
        <f t="shared" si="98"/>
        <v>0</v>
      </c>
      <c r="I65">
        <f t="shared" si="100"/>
        <v>0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7.9045985733827748E-2</v>
      </c>
      <c r="P65" s="4">
        <v>3</v>
      </c>
      <c r="Q65" s="5">
        <f t="shared" si="103"/>
        <v>0</v>
      </c>
      <c r="R65" s="5">
        <f t="shared" si="103"/>
        <v>0</v>
      </c>
      <c r="S65" s="5">
        <f t="shared" si="104"/>
        <v>0</v>
      </c>
      <c r="T65" s="5">
        <f t="shared" si="105"/>
        <v>0</v>
      </c>
      <c r="U65" s="5">
        <f t="shared" si="106"/>
        <v>0</v>
      </c>
      <c r="V65" s="5">
        <f t="shared" si="99"/>
        <v>7.9045985733827748E-2</v>
      </c>
    </row>
    <row r="66" spans="2:22" x14ac:dyDescent="0.3">
      <c r="B66">
        <v>6</v>
      </c>
      <c r="C66">
        <v>0</v>
      </c>
      <c r="D66">
        <v>0</v>
      </c>
      <c r="E66">
        <v>0</v>
      </c>
      <c r="F66">
        <f t="shared" si="96"/>
        <v>0</v>
      </c>
      <c r="G66">
        <f t="shared" si="97"/>
        <v>0</v>
      </c>
      <c r="H66">
        <f t="shared" si="98"/>
        <v>0</v>
      </c>
      <c r="I66">
        <f t="shared" si="100"/>
        <v>0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5.4715043478542454E-2</v>
      </c>
      <c r="P66" s="4">
        <v>4</v>
      </c>
      <c r="Q66" s="5">
        <f t="shared" si="103"/>
        <v>0</v>
      </c>
      <c r="R66" s="5">
        <f t="shared" si="103"/>
        <v>0</v>
      </c>
      <c r="S66" s="5">
        <f t="shared" si="104"/>
        <v>0</v>
      </c>
      <c r="T66" s="5">
        <f t="shared" si="105"/>
        <v>0</v>
      </c>
      <c r="U66" s="5">
        <f t="shared" si="106"/>
        <v>0</v>
      </c>
      <c r="V66" s="5">
        <f t="shared" si="99"/>
        <v>5.4715043478542454E-2</v>
      </c>
    </row>
    <row r="67" spans="2:22" x14ac:dyDescent="0.3">
      <c r="B67">
        <v>7</v>
      </c>
      <c r="C67">
        <v>0</v>
      </c>
      <c r="D67">
        <v>0</v>
      </c>
      <c r="E67">
        <v>0</v>
      </c>
      <c r="F67">
        <f t="shared" si="96"/>
        <v>0</v>
      </c>
      <c r="G67">
        <f t="shared" si="97"/>
        <v>0</v>
      </c>
      <c r="H67">
        <f t="shared" si="98"/>
        <v>0</v>
      </c>
      <c r="I67">
        <f t="shared" si="100"/>
        <v>0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3.9554387600121109E-2</v>
      </c>
      <c r="P67" s="4">
        <v>4</v>
      </c>
      <c r="Q67" s="5">
        <f t="shared" si="103"/>
        <v>0</v>
      </c>
      <c r="R67" s="5">
        <f t="shared" si="103"/>
        <v>0</v>
      </c>
      <c r="S67" s="5">
        <f t="shared" si="104"/>
        <v>0</v>
      </c>
      <c r="T67" s="5">
        <f t="shared" si="105"/>
        <v>0</v>
      </c>
      <c r="U67" s="5">
        <f t="shared" si="106"/>
        <v>0</v>
      </c>
      <c r="V67" s="5">
        <f t="shared" si="99"/>
        <v>3.9554387600121109E-2</v>
      </c>
    </row>
    <row r="68" spans="2:22" x14ac:dyDescent="0.3">
      <c r="B68">
        <v>8</v>
      </c>
      <c r="C68">
        <v>0</v>
      </c>
      <c r="D68">
        <v>0</v>
      </c>
      <c r="E68">
        <v>0</v>
      </c>
      <c r="F68">
        <f t="shared" si="96"/>
        <v>0</v>
      </c>
      <c r="G68">
        <f t="shared" si="97"/>
        <v>0</v>
      </c>
      <c r="H68">
        <f t="shared" si="98"/>
        <v>0</v>
      </c>
      <c r="I68">
        <f t="shared" si="100"/>
        <v>0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3.3170925705810941E-2</v>
      </c>
      <c r="P68" s="4">
        <v>5</v>
      </c>
      <c r="Q68" s="5">
        <f t="shared" si="103"/>
        <v>0</v>
      </c>
      <c r="R68" s="5">
        <f t="shared" si="103"/>
        <v>0</v>
      </c>
      <c r="S68" s="5">
        <f t="shared" si="104"/>
        <v>0</v>
      </c>
      <c r="T68" s="5">
        <f t="shared" si="105"/>
        <v>0</v>
      </c>
      <c r="U68" s="5">
        <f t="shared" si="106"/>
        <v>0</v>
      </c>
      <c r="V68" s="5">
        <f t="shared" si="99"/>
        <v>3.3170925705810941E-2</v>
      </c>
    </row>
    <row r="69" spans="2:22" x14ac:dyDescent="0.3">
      <c r="B69">
        <v>9</v>
      </c>
      <c r="C69">
        <v>0</v>
      </c>
      <c r="D69">
        <v>0</v>
      </c>
      <c r="E69">
        <v>0</v>
      </c>
      <c r="F69">
        <f t="shared" si="96"/>
        <v>0</v>
      </c>
      <c r="G69">
        <f t="shared" si="97"/>
        <v>0</v>
      </c>
      <c r="H69">
        <f t="shared" si="98"/>
        <v>0</v>
      </c>
      <c r="I69">
        <f t="shared" si="100"/>
        <v>0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2.6733407431651143E-2</v>
      </c>
      <c r="P69" s="4">
        <v>8</v>
      </c>
      <c r="Q69" s="5">
        <f t="shared" si="103"/>
        <v>0</v>
      </c>
      <c r="R69" s="5">
        <f t="shared" si="103"/>
        <v>0</v>
      </c>
      <c r="S69" s="5">
        <f t="shared" si="104"/>
        <v>0</v>
      </c>
      <c r="T69" s="5">
        <f t="shared" si="105"/>
        <v>0</v>
      </c>
      <c r="U69" s="5">
        <f t="shared" si="106"/>
        <v>0</v>
      </c>
      <c r="V69" s="5">
        <f t="shared" si="99"/>
        <v>2.6733407431651143E-2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96"/>
        <v>0</v>
      </c>
      <c r="G70">
        <f t="shared" si="97"/>
        <v>0</v>
      </c>
      <c r="H70">
        <f t="shared" si="98"/>
        <v>0</v>
      </c>
      <c r="I70">
        <f t="shared" si="100"/>
        <v>0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1.9144282561042968E-2</v>
      </c>
      <c r="P70" s="4">
        <v>14</v>
      </c>
      <c r="Q70" s="5">
        <f t="shared" si="103"/>
        <v>0</v>
      </c>
      <c r="R70" s="5">
        <f t="shared" si="103"/>
        <v>0</v>
      </c>
      <c r="S70" s="5">
        <f t="shared" si="104"/>
        <v>0</v>
      </c>
      <c r="T70" s="5">
        <f t="shared" si="105"/>
        <v>0</v>
      </c>
      <c r="U70" s="5">
        <f t="shared" si="106"/>
        <v>0</v>
      </c>
      <c r="V70" s="5">
        <f t="shared" si="99"/>
        <v>1.9144282561042968E-2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1.2345727033762624E-2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1.2345727033762624E-2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17166.900000000001</v>
      </c>
      <c r="D75">
        <v>60827.199999999997</v>
      </c>
      <c r="E75">
        <v>10016.700000000001</v>
      </c>
      <c r="F75">
        <f t="shared" ref="F75:F85" si="108">D75/10000</f>
        <v>6.0827200000000001</v>
      </c>
      <c r="G75">
        <f t="shared" ref="G75:G85" si="109">C75/10000</f>
        <v>1.71669</v>
      </c>
      <c r="H75">
        <f t="shared" ref="H75:H85" si="110">F75-G75</f>
        <v>4.3660300000000003</v>
      </c>
      <c r="I75">
        <f>E75/10000</f>
        <v>1.0016700000000001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0.20225428830618022</v>
      </c>
      <c r="P75" s="2">
        <v>3</v>
      </c>
      <c r="Q75" s="8">
        <f>H75</f>
        <v>4.3660300000000003</v>
      </c>
      <c r="R75" s="8">
        <f>I75</f>
        <v>1.0016700000000001</v>
      </c>
      <c r="S75" s="8">
        <f>Q75/10^6*$Z$4*$Z$3/P75*10^12</f>
        <v>4.8506593300000009</v>
      </c>
      <c r="T75" s="8">
        <f>S75*0.06</f>
        <v>0.29103955980000007</v>
      </c>
      <c r="U75" s="8">
        <f>S75/$Z$1</f>
        <v>0.66447388082191794</v>
      </c>
      <c r="V75" s="12">
        <f t="shared" ref="V75:V85" si="111">O75</f>
        <v>0.20225428830618022</v>
      </c>
    </row>
    <row r="76" spans="2:22" x14ac:dyDescent="0.3">
      <c r="B76">
        <v>2</v>
      </c>
      <c r="C76">
        <v>16615.599999999999</v>
      </c>
      <c r="D76">
        <v>64359.5</v>
      </c>
      <c r="E76">
        <v>6675.3</v>
      </c>
      <c r="F76">
        <f t="shared" si="108"/>
        <v>6.4359500000000001</v>
      </c>
      <c r="G76">
        <f t="shared" si="109"/>
        <v>1.6615599999999999</v>
      </c>
      <c r="H76">
        <f t="shared" si="110"/>
        <v>4.7743900000000004</v>
      </c>
      <c r="I76">
        <f t="shared" ref="I76:I85" si="112">E76/10000</f>
        <v>0.66753000000000007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0.17940730388760676</v>
      </c>
      <c r="P76" s="4">
        <v>3</v>
      </c>
      <c r="Q76" s="5">
        <f t="shared" ref="Q76:R85" si="115">H76</f>
        <v>4.7743900000000004</v>
      </c>
      <c r="R76" s="5">
        <f t="shared" si="115"/>
        <v>0.66753000000000007</v>
      </c>
      <c r="S76" s="5">
        <f t="shared" ref="S76:S85" si="116">Q76/10^6*$Z$4*$Z$3/P76*10^12</f>
        <v>5.3043472900000008</v>
      </c>
      <c r="T76" s="5">
        <f t="shared" ref="T76:T85" si="117">S76*0.06</f>
        <v>0.31826083740000005</v>
      </c>
      <c r="U76" s="5">
        <f t="shared" ref="U76:U85" si="118">S76/$Z$1</f>
        <v>0.7266229164383563</v>
      </c>
      <c r="V76" s="5">
        <f t="shared" si="111"/>
        <v>0.17940730388760676</v>
      </c>
    </row>
    <row r="77" spans="2:22" x14ac:dyDescent="0.3">
      <c r="B77">
        <v>3</v>
      </c>
      <c r="C77">
        <v>13884</v>
      </c>
      <c r="D77">
        <v>60665</v>
      </c>
      <c r="E77">
        <v>8162.3</v>
      </c>
      <c r="F77">
        <f t="shared" si="108"/>
        <v>6.0664999999999996</v>
      </c>
      <c r="G77">
        <f t="shared" si="109"/>
        <v>1.3884000000000001</v>
      </c>
      <c r="H77">
        <f t="shared" si="110"/>
        <v>4.6780999999999997</v>
      </c>
      <c r="I77">
        <f t="shared" si="112"/>
        <v>0.81623000000000001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0.15477355381782668</v>
      </c>
      <c r="P77" s="4">
        <v>3</v>
      </c>
      <c r="Q77" s="5">
        <f t="shared" si="115"/>
        <v>4.6780999999999997</v>
      </c>
      <c r="R77" s="5">
        <f t="shared" si="115"/>
        <v>0.81623000000000001</v>
      </c>
      <c r="S77" s="5">
        <f t="shared" si="116"/>
        <v>5.1973690999999986</v>
      </c>
      <c r="T77" s="5">
        <f t="shared" si="117"/>
        <v>0.31184214599999993</v>
      </c>
      <c r="U77" s="5">
        <f t="shared" si="118"/>
        <v>0.71196836986301348</v>
      </c>
      <c r="V77" s="5">
        <f t="shared" si="111"/>
        <v>0.15477355381782668</v>
      </c>
    </row>
    <row r="78" spans="2:22" x14ac:dyDescent="0.3">
      <c r="B78">
        <v>4</v>
      </c>
      <c r="C78">
        <v>9047.7000000000007</v>
      </c>
      <c r="D78">
        <v>25011.200000000001</v>
      </c>
      <c r="E78">
        <v>5095.5</v>
      </c>
      <c r="F78">
        <f t="shared" si="108"/>
        <v>2.5011200000000002</v>
      </c>
      <c r="G78">
        <f t="shared" si="109"/>
        <v>0.90477000000000007</v>
      </c>
      <c r="H78">
        <f t="shared" si="110"/>
        <v>1.5963500000000002</v>
      </c>
      <c r="I78">
        <f t="shared" si="112"/>
        <v>0.50954999999999995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9.3742581651941603E-2</v>
      </c>
      <c r="P78" s="4">
        <v>3</v>
      </c>
      <c r="Q78" s="5">
        <f t="shared" si="115"/>
        <v>1.5963500000000002</v>
      </c>
      <c r="R78" s="5">
        <f t="shared" si="115"/>
        <v>0.50954999999999995</v>
      </c>
      <c r="S78" s="5">
        <f t="shared" si="116"/>
        <v>1.7735448500000004</v>
      </c>
      <c r="T78" s="5">
        <f t="shared" si="117"/>
        <v>0.10641269100000002</v>
      </c>
      <c r="U78" s="5">
        <f t="shared" si="118"/>
        <v>0.24295134931506857</v>
      </c>
      <c r="V78" s="5">
        <f t="shared" si="111"/>
        <v>9.3742581651941603E-2</v>
      </c>
    </row>
    <row r="79" spans="2:22" x14ac:dyDescent="0.3">
      <c r="B79">
        <v>5</v>
      </c>
      <c r="C79">
        <v>0</v>
      </c>
      <c r="D79">
        <v>0</v>
      </c>
      <c r="E79">
        <v>0</v>
      </c>
      <c r="F79">
        <f t="shared" si="108"/>
        <v>0</v>
      </c>
      <c r="G79">
        <f t="shared" si="109"/>
        <v>0</v>
      </c>
      <c r="H79">
        <f t="shared" si="110"/>
        <v>0</v>
      </c>
      <c r="I79">
        <f t="shared" si="112"/>
        <v>0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6.7753702057566645E-2</v>
      </c>
      <c r="P79" s="4">
        <v>3</v>
      </c>
      <c r="Q79" s="5">
        <f t="shared" si="115"/>
        <v>0</v>
      </c>
      <c r="R79" s="5">
        <f t="shared" si="115"/>
        <v>0</v>
      </c>
      <c r="S79" s="5">
        <f t="shared" si="116"/>
        <v>0</v>
      </c>
      <c r="T79" s="5">
        <f t="shared" si="117"/>
        <v>0</v>
      </c>
      <c r="U79" s="5">
        <f t="shared" si="118"/>
        <v>0</v>
      </c>
      <c r="V79" s="5">
        <f t="shared" si="111"/>
        <v>6.7753702057566645E-2</v>
      </c>
    </row>
    <row r="80" spans="2:22" x14ac:dyDescent="0.3">
      <c r="B80">
        <v>6</v>
      </c>
      <c r="C80">
        <v>0</v>
      </c>
      <c r="D80">
        <v>0</v>
      </c>
      <c r="E80">
        <v>0</v>
      </c>
      <c r="F80">
        <f t="shared" si="108"/>
        <v>0</v>
      </c>
      <c r="G80">
        <f t="shared" si="109"/>
        <v>0</v>
      </c>
      <c r="H80">
        <f t="shared" si="110"/>
        <v>0</v>
      </c>
      <c r="I80">
        <f t="shared" si="112"/>
        <v>0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4.6898608695893532E-2</v>
      </c>
      <c r="P80" s="4">
        <v>4</v>
      </c>
      <c r="Q80" s="5">
        <f t="shared" si="115"/>
        <v>0</v>
      </c>
      <c r="R80" s="5">
        <f t="shared" si="115"/>
        <v>0</v>
      </c>
      <c r="S80" s="5">
        <f t="shared" si="116"/>
        <v>0</v>
      </c>
      <c r="T80" s="5">
        <f t="shared" si="117"/>
        <v>0</v>
      </c>
      <c r="U80" s="5">
        <f t="shared" si="118"/>
        <v>0</v>
      </c>
      <c r="V80" s="5">
        <f t="shared" si="111"/>
        <v>4.6898608695893532E-2</v>
      </c>
    </row>
    <row r="81" spans="2:22" x14ac:dyDescent="0.3">
      <c r="B81">
        <v>7</v>
      </c>
      <c r="C81">
        <v>0</v>
      </c>
      <c r="D81">
        <v>0</v>
      </c>
      <c r="E81">
        <v>0</v>
      </c>
      <c r="F81">
        <f t="shared" si="108"/>
        <v>0</v>
      </c>
      <c r="G81">
        <f t="shared" si="109"/>
        <v>0</v>
      </c>
      <c r="H81">
        <f t="shared" si="110"/>
        <v>0</v>
      </c>
      <c r="I81">
        <f t="shared" si="112"/>
        <v>0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3.3903760800103808E-2</v>
      </c>
      <c r="P81" s="4">
        <v>4</v>
      </c>
      <c r="Q81" s="5">
        <f t="shared" si="115"/>
        <v>0</v>
      </c>
      <c r="R81" s="5">
        <f t="shared" si="115"/>
        <v>0</v>
      </c>
      <c r="S81" s="5">
        <f t="shared" si="116"/>
        <v>0</v>
      </c>
      <c r="T81" s="5">
        <f t="shared" si="117"/>
        <v>0</v>
      </c>
      <c r="U81" s="5">
        <f t="shared" si="118"/>
        <v>0</v>
      </c>
      <c r="V81" s="5">
        <f t="shared" si="111"/>
        <v>3.3903760800103808E-2</v>
      </c>
    </row>
    <row r="82" spans="2:22" x14ac:dyDescent="0.3">
      <c r="B82">
        <v>8</v>
      </c>
      <c r="C82">
        <v>0</v>
      </c>
      <c r="D82">
        <v>0</v>
      </c>
      <c r="E82">
        <v>0</v>
      </c>
      <c r="F82">
        <f t="shared" si="108"/>
        <v>0</v>
      </c>
      <c r="G82">
        <f t="shared" si="109"/>
        <v>0</v>
      </c>
      <c r="H82">
        <f t="shared" si="110"/>
        <v>0</v>
      </c>
      <c r="I82">
        <f t="shared" si="112"/>
        <v>0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2.843222203355223E-2</v>
      </c>
      <c r="P82" s="4">
        <v>5</v>
      </c>
      <c r="Q82" s="5">
        <f t="shared" si="115"/>
        <v>0</v>
      </c>
      <c r="R82" s="5">
        <f t="shared" si="115"/>
        <v>0</v>
      </c>
      <c r="S82" s="5">
        <f t="shared" si="116"/>
        <v>0</v>
      </c>
      <c r="T82" s="5">
        <f t="shared" si="117"/>
        <v>0</v>
      </c>
      <c r="U82" s="5">
        <f t="shared" si="118"/>
        <v>0</v>
      </c>
      <c r="V82" s="5">
        <f t="shared" si="111"/>
        <v>2.843222203355223E-2</v>
      </c>
    </row>
    <row r="83" spans="2:22" x14ac:dyDescent="0.3">
      <c r="B83">
        <v>9</v>
      </c>
      <c r="C83">
        <v>0</v>
      </c>
      <c r="D83">
        <v>0</v>
      </c>
      <c r="E83">
        <v>0</v>
      </c>
      <c r="F83">
        <f t="shared" si="108"/>
        <v>0</v>
      </c>
      <c r="G83">
        <f t="shared" si="109"/>
        <v>0</v>
      </c>
      <c r="H83">
        <f t="shared" si="110"/>
        <v>0</v>
      </c>
      <c r="I83">
        <f t="shared" si="112"/>
        <v>0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2.2914349227129548E-2</v>
      </c>
      <c r="P83" s="4">
        <v>8</v>
      </c>
      <c r="Q83" s="5">
        <f t="shared" si="115"/>
        <v>0</v>
      </c>
      <c r="R83" s="5">
        <f t="shared" si="115"/>
        <v>0</v>
      </c>
      <c r="S83" s="5">
        <f t="shared" si="116"/>
        <v>0</v>
      </c>
      <c r="T83" s="5">
        <f t="shared" si="117"/>
        <v>0</v>
      </c>
      <c r="U83" s="5">
        <f t="shared" si="118"/>
        <v>0</v>
      </c>
      <c r="V83" s="5">
        <f t="shared" si="111"/>
        <v>2.2914349227129548E-2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08"/>
        <v>0</v>
      </c>
      <c r="G84">
        <f t="shared" si="109"/>
        <v>0</v>
      </c>
      <c r="H84">
        <f t="shared" si="110"/>
        <v>0</v>
      </c>
      <c r="I84">
        <f t="shared" si="112"/>
        <v>0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1.6409385052322544E-2</v>
      </c>
      <c r="P84" s="4">
        <v>14</v>
      </c>
      <c r="Q84" s="5">
        <f t="shared" si="115"/>
        <v>0</v>
      </c>
      <c r="R84" s="5">
        <f t="shared" si="115"/>
        <v>0</v>
      </c>
      <c r="S84" s="5">
        <f t="shared" si="116"/>
        <v>0</v>
      </c>
      <c r="T84" s="5">
        <f t="shared" si="117"/>
        <v>0</v>
      </c>
      <c r="U84" s="5">
        <f t="shared" si="118"/>
        <v>0</v>
      </c>
      <c r="V84" s="5">
        <f t="shared" si="111"/>
        <v>1.6409385052322544E-2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1.0582051743225107E-2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1.0582051743225107E-2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3813.1</v>
      </c>
      <c r="D89">
        <v>55648.9</v>
      </c>
      <c r="E89">
        <v>16453</v>
      </c>
      <c r="F89">
        <f t="shared" ref="F89:F99" si="120">D89/10000</f>
        <v>5.5648900000000001</v>
      </c>
      <c r="G89">
        <f t="shared" ref="G89:G99" si="121">C89/10000</f>
        <v>0.38130999999999998</v>
      </c>
      <c r="H89">
        <f t="shared" ref="H89:H99" si="122">F89-G89</f>
        <v>5.1835800000000001</v>
      </c>
      <c r="I89">
        <f>E89/10000</f>
        <v>1.6453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0.1769725022679077</v>
      </c>
      <c r="P89" s="2">
        <v>3</v>
      </c>
      <c r="Q89" s="8">
        <f>H89</f>
        <v>5.1835800000000001</v>
      </c>
      <c r="R89" s="8">
        <f>I89</f>
        <v>1.6453</v>
      </c>
      <c r="S89" s="8">
        <f>Q89/10^6*$Z$4*$Z$3/P89*10^12</f>
        <v>5.75895738</v>
      </c>
      <c r="T89" s="8">
        <f>S89*0.06</f>
        <v>0.34553744279999998</v>
      </c>
      <c r="U89" s="8">
        <f>S89/$Z$1</f>
        <v>0.7888982712328767</v>
      </c>
      <c r="V89" s="12">
        <f t="shared" ref="V89:V99" si="123">O89</f>
        <v>0.1769725022679077</v>
      </c>
    </row>
    <row r="90" spans="2:22" x14ac:dyDescent="0.3">
      <c r="B90">
        <v>2</v>
      </c>
      <c r="C90">
        <v>13381.3</v>
      </c>
      <c r="D90">
        <v>65635.5</v>
      </c>
      <c r="E90">
        <v>7779.3</v>
      </c>
      <c r="F90">
        <f t="shared" si="120"/>
        <v>6.5635500000000002</v>
      </c>
      <c r="G90">
        <f t="shared" si="121"/>
        <v>1.3381299999999998</v>
      </c>
      <c r="H90">
        <f t="shared" si="122"/>
        <v>5.2254200000000006</v>
      </c>
      <c r="I90">
        <f t="shared" ref="I90:I99" si="124">E90/10000</f>
        <v>0.77793000000000001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0.15698139090165592</v>
      </c>
      <c r="P90" s="4">
        <v>3</v>
      </c>
      <c r="Q90" s="5">
        <f t="shared" ref="Q90:R99" si="127">H90</f>
        <v>5.2254200000000006</v>
      </c>
      <c r="R90" s="5">
        <f t="shared" si="127"/>
        <v>0.77793000000000001</v>
      </c>
      <c r="S90" s="5">
        <f t="shared" ref="S90:S99" si="128">Q90/10^6*$Z$4*$Z$3/P90*10^12</f>
        <v>5.8054416200000007</v>
      </c>
      <c r="T90" s="5">
        <f t="shared" ref="T90:T99" si="129">S90*0.06</f>
        <v>0.34832649720000003</v>
      </c>
      <c r="U90" s="5">
        <f t="shared" ref="U90:U99" si="130">S90/$Z$1</f>
        <v>0.7952659753424659</v>
      </c>
      <c r="V90" s="5">
        <f t="shared" si="123"/>
        <v>0.15698139090165592</v>
      </c>
    </row>
    <row r="91" spans="2:22" x14ac:dyDescent="0.3">
      <c r="B91">
        <v>3</v>
      </c>
      <c r="C91">
        <v>9298.2999999999993</v>
      </c>
      <c r="D91">
        <v>51256.7</v>
      </c>
      <c r="E91">
        <v>7011</v>
      </c>
      <c r="F91">
        <f t="shared" si="120"/>
        <v>5.1256699999999995</v>
      </c>
      <c r="G91">
        <f t="shared" si="121"/>
        <v>0.92982999999999993</v>
      </c>
      <c r="H91">
        <f t="shared" si="122"/>
        <v>4.1958399999999996</v>
      </c>
      <c r="I91">
        <f t="shared" si="124"/>
        <v>0.70109999999999995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0.13542685959059833</v>
      </c>
      <c r="P91" s="4">
        <v>3</v>
      </c>
      <c r="Q91" s="5">
        <f t="shared" si="127"/>
        <v>4.1958399999999996</v>
      </c>
      <c r="R91" s="5">
        <f t="shared" si="127"/>
        <v>0.70109999999999995</v>
      </c>
      <c r="S91" s="5">
        <f t="shared" si="128"/>
        <v>4.6615782399999999</v>
      </c>
      <c r="T91" s="5">
        <f t="shared" si="129"/>
        <v>0.2796946944</v>
      </c>
      <c r="U91" s="5">
        <f t="shared" si="130"/>
        <v>0.63857236164383557</v>
      </c>
      <c r="V91" s="5">
        <f t="shared" si="123"/>
        <v>0.13542685959059833</v>
      </c>
    </row>
    <row r="92" spans="2:22" x14ac:dyDescent="0.3">
      <c r="B92">
        <v>4</v>
      </c>
      <c r="C92">
        <v>0</v>
      </c>
      <c r="D92">
        <v>0</v>
      </c>
      <c r="E92">
        <v>0</v>
      </c>
      <c r="F92">
        <f t="shared" si="120"/>
        <v>0</v>
      </c>
      <c r="G92">
        <f t="shared" si="121"/>
        <v>0</v>
      </c>
      <c r="H92">
        <f t="shared" si="122"/>
        <v>0</v>
      </c>
      <c r="I92">
        <f t="shared" si="124"/>
        <v>0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8.2024758945448903E-2</v>
      </c>
      <c r="P92" s="4">
        <v>3</v>
      </c>
      <c r="Q92" s="5">
        <f t="shared" si="127"/>
        <v>0</v>
      </c>
      <c r="R92" s="5">
        <f t="shared" si="127"/>
        <v>0</v>
      </c>
      <c r="S92" s="5">
        <f t="shared" si="128"/>
        <v>0</v>
      </c>
      <c r="T92" s="5">
        <f t="shared" si="129"/>
        <v>0</v>
      </c>
      <c r="U92" s="5">
        <f t="shared" si="130"/>
        <v>0</v>
      </c>
      <c r="V92" s="5">
        <f t="shared" si="123"/>
        <v>8.2024758945448903E-2</v>
      </c>
    </row>
    <row r="93" spans="2:22" x14ac:dyDescent="0.3">
      <c r="B93">
        <v>5</v>
      </c>
      <c r="C93">
        <v>0</v>
      </c>
      <c r="D93">
        <v>0</v>
      </c>
      <c r="E93">
        <v>0</v>
      </c>
      <c r="F93">
        <f t="shared" si="120"/>
        <v>0</v>
      </c>
      <c r="G93">
        <f t="shared" si="121"/>
        <v>0</v>
      </c>
      <c r="H93">
        <f t="shared" si="122"/>
        <v>0</v>
      </c>
      <c r="I93">
        <f t="shared" si="124"/>
        <v>0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5.9284489300370814E-2</v>
      </c>
      <c r="P93" s="4">
        <v>3</v>
      </c>
      <c r="Q93" s="5">
        <f t="shared" si="127"/>
        <v>0</v>
      </c>
      <c r="R93" s="5">
        <f t="shared" si="127"/>
        <v>0</v>
      </c>
      <c r="S93" s="5">
        <f t="shared" si="128"/>
        <v>0</v>
      </c>
      <c r="T93" s="5">
        <f t="shared" si="129"/>
        <v>0</v>
      </c>
      <c r="U93" s="5">
        <f t="shared" si="130"/>
        <v>0</v>
      </c>
      <c r="V93" s="5">
        <f t="shared" si="123"/>
        <v>5.9284489300370814E-2</v>
      </c>
    </row>
    <row r="94" spans="2:22" x14ac:dyDescent="0.3">
      <c r="B94">
        <v>6</v>
      </c>
      <c r="C94">
        <v>0</v>
      </c>
      <c r="D94">
        <v>0</v>
      </c>
      <c r="E94">
        <v>0</v>
      </c>
      <c r="F94">
        <f t="shared" si="120"/>
        <v>0</v>
      </c>
      <c r="G94">
        <f t="shared" si="121"/>
        <v>0</v>
      </c>
      <c r="H94">
        <f t="shared" si="122"/>
        <v>0</v>
      </c>
      <c r="I94">
        <f t="shared" si="124"/>
        <v>0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4.1036282608906842E-2</v>
      </c>
      <c r="P94" s="4">
        <v>4</v>
      </c>
      <c r="Q94" s="5">
        <f t="shared" si="127"/>
        <v>0</v>
      </c>
      <c r="R94" s="5">
        <f t="shared" si="127"/>
        <v>0</v>
      </c>
      <c r="S94" s="5">
        <f t="shared" si="128"/>
        <v>0</v>
      </c>
      <c r="T94" s="5">
        <f t="shared" si="129"/>
        <v>0</v>
      </c>
      <c r="U94" s="5">
        <f t="shared" si="130"/>
        <v>0</v>
      </c>
      <c r="V94" s="5">
        <f t="shared" si="123"/>
        <v>4.1036282608906842E-2</v>
      </c>
    </row>
    <row r="95" spans="2:22" x14ac:dyDescent="0.3">
      <c r="B95">
        <v>7</v>
      </c>
      <c r="C95">
        <v>0</v>
      </c>
      <c r="D95">
        <v>0</v>
      </c>
      <c r="E95">
        <v>0</v>
      </c>
      <c r="F95">
        <f t="shared" si="120"/>
        <v>0</v>
      </c>
      <c r="G95">
        <f t="shared" si="121"/>
        <v>0</v>
      </c>
      <c r="H95">
        <f t="shared" si="122"/>
        <v>0</v>
      </c>
      <c r="I95">
        <f t="shared" si="124"/>
        <v>0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2.9665790700090833E-2</v>
      </c>
      <c r="P95" s="4">
        <v>4</v>
      </c>
      <c r="Q95" s="5">
        <f t="shared" si="127"/>
        <v>0</v>
      </c>
      <c r="R95" s="5">
        <f t="shared" si="127"/>
        <v>0</v>
      </c>
      <c r="S95" s="5">
        <f t="shared" si="128"/>
        <v>0</v>
      </c>
      <c r="T95" s="5">
        <f t="shared" si="129"/>
        <v>0</v>
      </c>
      <c r="U95" s="5">
        <f t="shared" si="130"/>
        <v>0</v>
      </c>
      <c r="V95" s="5">
        <f t="shared" si="123"/>
        <v>2.9665790700090833E-2</v>
      </c>
    </row>
    <row r="96" spans="2:22" x14ac:dyDescent="0.3">
      <c r="B96">
        <v>8</v>
      </c>
      <c r="C96">
        <v>0</v>
      </c>
      <c r="D96">
        <v>0</v>
      </c>
      <c r="E96">
        <v>0</v>
      </c>
      <c r="F96">
        <f t="shared" si="120"/>
        <v>0</v>
      </c>
      <c r="G96">
        <f t="shared" si="121"/>
        <v>0</v>
      </c>
      <c r="H96">
        <f t="shared" si="122"/>
        <v>0</v>
      </c>
      <c r="I96">
        <f t="shared" si="124"/>
        <v>0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2.4878194279358203E-2</v>
      </c>
      <c r="P96" s="4">
        <v>5</v>
      </c>
      <c r="Q96" s="5">
        <f t="shared" si="127"/>
        <v>0</v>
      </c>
      <c r="R96" s="5">
        <f t="shared" si="127"/>
        <v>0</v>
      </c>
      <c r="S96" s="5">
        <f t="shared" si="128"/>
        <v>0</v>
      </c>
      <c r="T96" s="5">
        <f t="shared" si="129"/>
        <v>0</v>
      </c>
      <c r="U96" s="5">
        <f t="shared" si="130"/>
        <v>0</v>
      </c>
      <c r="V96" s="5">
        <f t="shared" si="123"/>
        <v>2.4878194279358203E-2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20"/>
        <v>0</v>
      </c>
      <c r="G97">
        <f t="shared" si="121"/>
        <v>0</v>
      </c>
      <c r="H97">
        <f t="shared" si="122"/>
        <v>0</v>
      </c>
      <c r="I97">
        <f t="shared" si="124"/>
        <v>0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2.0050055573738356E-2</v>
      </c>
      <c r="P97" s="4">
        <v>8</v>
      </c>
      <c r="Q97" s="5">
        <f t="shared" si="127"/>
        <v>0</v>
      </c>
      <c r="R97" s="5">
        <f t="shared" si="127"/>
        <v>0</v>
      </c>
      <c r="S97" s="5">
        <f t="shared" si="128"/>
        <v>0</v>
      </c>
      <c r="T97" s="5">
        <f t="shared" si="129"/>
        <v>0</v>
      </c>
      <c r="U97" s="5">
        <f t="shared" si="130"/>
        <v>0</v>
      </c>
      <c r="V97" s="5">
        <f t="shared" si="123"/>
        <v>2.0050055573738356E-2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1.4358211920782226E-2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1.4358211920782226E-2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9.2592952753219691E-3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9.2592952753219691E-3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-7404.5</v>
      </c>
      <c r="D103">
        <v>42276</v>
      </c>
      <c r="E103">
        <v>14549</v>
      </c>
      <c r="F103">
        <f t="shared" ref="F103:F113" si="132">D103/10000</f>
        <v>4.2275999999999998</v>
      </c>
      <c r="G103">
        <f t="shared" ref="G103:G113" si="133">C103/10000</f>
        <v>-0.74045000000000005</v>
      </c>
      <c r="H103">
        <f t="shared" ref="H103:H113" si="134">F103-G103</f>
        <v>4.9680499999999999</v>
      </c>
      <c r="I103">
        <f>E103/10000</f>
        <v>1.4549000000000001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0.15730889090480685</v>
      </c>
      <c r="P103" s="2">
        <v>3</v>
      </c>
      <c r="Q103" s="8">
        <f>H103</f>
        <v>4.9680499999999999</v>
      </c>
      <c r="R103" s="8">
        <f>I103</f>
        <v>1.4549000000000001</v>
      </c>
      <c r="S103" s="8">
        <f>Q103/10^6*$Z$4*$Z$3/P103*10^12</f>
        <v>5.5195035500000005</v>
      </c>
      <c r="T103" s="8">
        <f>S103*0.06</f>
        <v>0.33117021299999999</v>
      </c>
      <c r="U103" s="8">
        <f>S103/$Z$1</f>
        <v>0.75609637671232888</v>
      </c>
      <c r="V103" s="12">
        <f t="shared" ref="V103:V113" si="135">O103</f>
        <v>0.15730889090480685</v>
      </c>
    </row>
    <row r="104" spans="2:22" x14ac:dyDescent="0.3">
      <c r="B104">
        <v>2</v>
      </c>
      <c r="C104">
        <v>5578.4</v>
      </c>
      <c r="D104">
        <v>48486.1</v>
      </c>
      <c r="E104">
        <v>8559.7999999999993</v>
      </c>
      <c r="F104">
        <f t="shared" si="132"/>
        <v>4.8486099999999999</v>
      </c>
      <c r="G104">
        <f t="shared" si="133"/>
        <v>0.55784</v>
      </c>
      <c r="H104">
        <f t="shared" si="134"/>
        <v>4.2907700000000002</v>
      </c>
      <c r="I104">
        <f t="shared" ref="I104:I113" si="136">E104/10000</f>
        <v>0.85597999999999996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0.13953901413480524</v>
      </c>
      <c r="P104" s="4">
        <v>3</v>
      </c>
      <c r="Q104" s="5">
        <f t="shared" ref="Q104:R113" si="139">H104</f>
        <v>4.2907700000000002</v>
      </c>
      <c r="R104" s="5">
        <f t="shared" si="139"/>
        <v>0.85597999999999996</v>
      </c>
      <c r="S104" s="5">
        <f t="shared" ref="S104:S113" si="140">Q104/10^6*$Z$4*$Z$3/P104*10^12</f>
        <v>4.7670454700000011</v>
      </c>
      <c r="T104" s="5">
        <f t="shared" ref="T104:T113" si="141">S104*0.06</f>
        <v>0.28602272820000008</v>
      </c>
      <c r="U104" s="5">
        <f t="shared" ref="U104:U113" si="142">S104/$Z$1</f>
        <v>0.65301992739726045</v>
      </c>
      <c r="V104" s="5">
        <f t="shared" si="135"/>
        <v>0.13953901413480524</v>
      </c>
    </row>
    <row r="105" spans="2:22" x14ac:dyDescent="0.3">
      <c r="B105">
        <v>3</v>
      </c>
      <c r="C105">
        <v>-2199.4</v>
      </c>
      <c r="D105">
        <v>39910.1</v>
      </c>
      <c r="E105">
        <v>8368.2999999999993</v>
      </c>
      <c r="F105">
        <f t="shared" si="132"/>
        <v>3.9910099999999997</v>
      </c>
      <c r="G105">
        <f t="shared" si="133"/>
        <v>-0.21994</v>
      </c>
      <c r="H105">
        <f t="shared" si="134"/>
        <v>4.2109499999999995</v>
      </c>
      <c r="I105">
        <f t="shared" si="136"/>
        <v>0.83682999999999996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0.12037943074719851</v>
      </c>
      <c r="P105" s="4">
        <v>3</v>
      </c>
      <c r="Q105" s="5">
        <f t="shared" si="139"/>
        <v>4.2109499999999995</v>
      </c>
      <c r="R105" s="5">
        <f t="shared" si="139"/>
        <v>0.83682999999999996</v>
      </c>
      <c r="S105" s="5">
        <f t="shared" si="140"/>
        <v>4.6783654499999994</v>
      </c>
      <c r="T105" s="5">
        <f t="shared" si="141"/>
        <v>0.28070192699999996</v>
      </c>
      <c r="U105" s="5">
        <f t="shared" si="142"/>
        <v>0.64087197945205476</v>
      </c>
      <c r="V105" s="5">
        <f t="shared" si="135"/>
        <v>0.12037943074719851</v>
      </c>
    </row>
    <row r="106" spans="2:22" x14ac:dyDescent="0.3">
      <c r="B106">
        <v>4</v>
      </c>
      <c r="C106">
        <v>0</v>
      </c>
      <c r="D106">
        <v>0</v>
      </c>
      <c r="E106">
        <v>0</v>
      </c>
      <c r="F106">
        <f t="shared" si="132"/>
        <v>0</v>
      </c>
      <c r="G106">
        <f t="shared" si="133"/>
        <v>0</v>
      </c>
      <c r="H106">
        <f t="shared" si="134"/>
        <v>0</v>
      </c>
      <c r="I106">
        <f t="shared" si="136"/>
        <v>0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7.2910896840399017E-2</v>
      </c>
      <c r="P106" s="4">
        <v>3</v>
      </c>
      <c r="Q106" s="5">
        <f t="shared" si="139"/>
        <v>0</v>
      </c>
      <c r="R106" s="5">
        <f t="shared" si="139"/>
        <v>0</v>
      </c>
      <c r="S106" s="5">
        <f t="shared" si="140"/>
        <v>0</v>
      </c>
      <c r="T106" s="5">
        <f t="shared" si="141"/>
        <v>0</v>
      </c>
      <c r="U106" s="5">
        <f t="shared" si="142"/>
        <v>0</v>
      </c>
      <c r="V106" s="5">
        <f t="shared" si="135"/>
        <v>7.2910896840399017E-2</v>
      </c>
    </row>
    <row r="107" spans="2:22" x14ac:dyDescent="0.3">
      <c r="B107">
        <v>5</v>
      </c>
      <c r="C107">
        <v>0</v>
      </c>
      <c r="D107">
        <v>0</v>
      </c>
      <c r="E107">
        <v>0</v>
      </c>
      <c r="F107">
        <f t="shared" si="132"/>
        <v>0</v>
      </c>
      <c r="G107">
        <f t="shared" si="133"/>
        <v>0</v>
      </c>
      <c r="H107">
        <f t="shared" si="134"/>
        <v>0</v>
      </c>
      <c r="I107">
        <f t="shared" si="136"/>
        <v>0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5.269732382255183E-2</v>
      </c>
      <c r="P107" s="4">
        <v>3</v>
      </c>
      <c r="Q107" s="5">
        <f t="shared" si="139"/>
        <v>0</v>
      </c>
      <c r="R107" s="5">
        <f t="shared" si="139"/>
        <v>0</v>
      </c>
      <c r="S107" s="5">
        <f t="shared" si="140"/>
        <v>0</v>
      </c>
      <c r="T107" s="5">
        <f t="shared" si="141"/>
        <v>0</v>
      </c>
      <c r="U107" s="5">
        <f t="shared" si="142"/>
        <v>0</v>
      </c>
      <c r="V107" s="5">
        <f t="shared" si="135"/>
        <v>5.269732382255183E-2</v>
      </c>
    </row>
    <row r="108" spans="2:22" x14ac:dyDescent="0.3">
      <c r="B108">
        <v>6</v>
      </c>
      <c r="C108">
        <v>0</v>
      </c>
      <c r="D108">
        <v>0</v>
      </c>
      <c r="E108">
        <v>0</v>
      </c>
      <c r="F108">
        <f t="shared" si="132"/>
        <v>0</v>
      </c>
      <c r="G108">
        <f t="shared" si="133"/>
        <v>0</v>
      </c>
      <c r="H108">
        <f t="shared" si="134"/>
        <v>0</v>
      </c>
      <c r="I108">
        <f t="shared" si="136"/>
        <v>0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3.6476695652361633E-2</v>
      </c>
      <c r="P108" s="4">
        <v>4</v>
      </c>
      <c r="Q108" s="5">
        <f t="shared" si="139"/>
        <v>0</v>
      </c>
      <c r="R108" s="5">
        <f t="shared" si="139"/>
        <v>0</v>
      </c>
      <c r="S108" s="5">
        <f t="shared" si="140"/>
        <v>0</v>
      </c>
      <c r="T108" s="5">
        <f t="shared" si="141"/>
        <v>0</v>
      </c>
      <c r="U108" s="5">
        <f t="shared" si="142"/>
        <v>0</v>
      </c>
      <c r="V108" s="5">
        <f t="shared" si="135"/>
        <v>3.6476695652361633E-2</v>
      </c>
    </row>
    <row r="109" spans="2:22" x14ac:dyDescent="0.3">
      <c r="B109">
        <v>7</v>
      </c>
      <c r="C109">
        <v>0</v>
      </c>
      <c r="D109">
        <v>0</v>
      </c>
      <c r="E109">
        <v>0</v>
      </c>
      <c r="F109">
        <f t="shared" si="132"/>
        <v>0</v>
      </c>
      <c r="G109">
        <f t="shared" si="133"/>
        <v>0</v>
      </c>
      <c r="H109">
        <f t="shared" si="134"/>
        <v>0</v>
      </c>
      <c r="I109">
        <f t="shared" si="136"/>
        <v>0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2.6369591733414074E-2</v>
      </c>
      <c r="P109" s="4">
        <v>4</v>
      </c>
      <c r="Q109" s="5">
        <f t="shared" si="139"/>
        <v>0</v>
      </c>
      <c r="R109" s="5">
        <f t="shared" si="139"/>
        <v>0</v>
      </c>
      <c r="S109" s="5">
        <f t="shared" si="140"/>
        <v>0</v>
      </c>
      <c r="T109" s="5">
        <f t="shared" si="141"/>
        <v>0</v>
      </c>
      <c r="U109" s="5">
        <f t="shared" si="142"/>
        <v>0</v>
      </c>
      <c r="V109" s="5">
        <f t="shared" si="135"/>
        <v>2.6369591733414074E-2</v>
      </c>
    </row>
    <row r="110" spans="2:22" x14ac:dyDescent="0.3">
      <c r="B110">
        <v>8</v>
      </c>
      <c r="C110">
        <v>0</v>
      </c>
      <c r="D110">
        <v>0</v>
      </c>
      <c r="E110">
        <v>0</v>
      </c>
      <c r="F110">
        <f t="shared" si="132"/>
        <v>0</v>
      </c>
      <c r="G110">
        <f t="shared" si="133"/>
        <v>0</v>
      </c>
      <c r="H110">
        <f t="shared" si="134"/>
        <v>0</v>
      </c>
      <c r="I110">
        <f t="shared" si="136"/>
        <v>0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2.2113950470540624E-2</v>
      </c>
      <c r="P110" s="4">
        <v>5</v>
      </c>
      <c r="Q110" s="5">
        <f t="shared" si="139"/>
        <v>0</v>
      </c>
      <c r="R110" s="5">
        <f t="shared" si="139"/>
        <v>0</v>
      </c>
      <c r="S110" s="5">
        <f t="shared" si="140"/>
        <v>0</v>
      </c>
      <c r="T110" s="5">
        <f t="shared" si="141"/>
        <v>0</v>
      </c>
      <c r="U110" s="5">
        <f t="shared" si="142"/>
        <v>0</v>
      </c>
      <c r="V110" s="5">
        <f t="shared" si="135"/>
        <v>2.2113950470540624E-2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32"/>
        <v>0</v>
      </c>
      <c r="G111">
        <f t="shared" si="133"/>
        <v>0</v>
      </c>
      <c r="H111">
        <f t="shared" si="134"/>
        <v>0</v>
      </c>
      <c r="I111">
        <f t="shared" si="136"/>
        <v>0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1.7822271621100762E-2</v>
      </c>
      <c r="P111" s="4">
        <v>8</v>
      </c>
      <c r="Q111" s="5">
        <f t="shared" si="139"/>
        <v>0</v>
      </c>
      <c r="R111" s="5">
        <f t="shared" si="139"/>
        <v>0</v>
      </c>
      <c r="S111" s="5">
        <f t="shared" si="140"/>
        <v>0</v>
      </c>
      <c r="T111" s="5">
        <f t="shared" si="141"/>
        <v>0</v>
      </c>
      <c r="U111" s="5">
        <f t="shared" si="142"/>
        <v>0</v>
      </c>
      <c r="V111" s="5">
        <f t="shared" si="135"/>
        <v>1.7822271621100762E-2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1.2762855040695312E-2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1.2762855040695312E-2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8.230484689175083E-3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8.230484689175083E-3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-3273</v>
      </c>
      <c r="D117">
        <v>39857.5</v>
      </c>
      <c r="E117">
        <v>17417.2</v>
      </c>
      <c r="F117">
        <f t="shared" ref="F117:F127" si="144">D117/10000</f>
        <v>3.9857499999999999</v>
      </c>
      <c r="G117">
        <f t="shared" ref="G117:G127" si="145">C117/10000</f>
        <v>-0.32729999999999998</v>
      </c>
      <c r="H117">
        <f t="shared" ref="H117:H127" si="146">F117-G117</f>
        <v>4.3130499999999996</v>
      </c>
      <c r="I117">
        <f>E117/10000</f>
        <v>1.7417200000000002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0.14157800181432617</v>
      </c>
      <c r="P117" s="2">
        <v>3</v>
      </c>
      <c r="Q117" s="8">
        <f>H117</f>
        <v>4.3130499999999996</v>
      </c>
      <c r="R117" s="8">
        <f>I117</f>
        <v>1.7417200000000002</v>
      </c>
      <c r="S117" s="8">
        <f>Q117/10^6*$Z$4*$Z$3/P117*10^12</f>
        <v>4.7917985499999993</v>
      </c>
      <c r="T117" s="8">
        <f>S117*0.06</f>
        <v>0.28750791299999995</v>
      </c>
      <c r="U117" s="8">
        <f>S117/$Z$1</f>
        <v>0.65641076027397249</v>
      </c>
      <c r="V117" s="12">
        <f t="shared" ref="V117:V127" si="147">O117</f>
        <v>0.14157800181432617</v>
      </c>
    </row>
    <row r="118" spans="2:22" x14ac:dyDescent="0.3">
      <c r="B118">
        <v>2</v>
      </c>
      <c r="C118">
        <v>-1278.4000000000001</v>
      </c>
      <c r="D118">
        <v>51872.7</v>
      </c>
      <c r="E118">
        <v>10082.200000000001</v>
      </c>
      <c r="F118">
        <f t="shared" si="144"/>
        <v>5.1872699999999998</v>
      </c>
      <c r="G118">
        <f t="shared" si="145"/>
        <v>-0.12784000000000001</v>
      </c>
      <c r="H118">
        <f t="shared" si="146"/>
        <v>5.3151099999999998</v>
      </c>
      <c r="I118">
        <f t="shared" ref="I118:I127" si="148">E118/10000</f>
        <v>1.0082200000000001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0.12558511272132472</v>
      </c>
      <c r="P118" s="4">
        <v>3</v>
      </c>
      <c r="Q118" s="5">
        <f t="shared" ref="Q118:R127" si="151">H118</f>
        <v>5.3151099999999998</v>
      </c>
      <c r="R118" s="5">
        <f t="shared" si="151"/>
        <v>1.0082200000000001</v>
      </c>
      <c r="S118" s="5">
        <f t="shared" ref="S118:S127" si="152">Q118/10^6*$Z$4*$Z$3/P118*10^12</f>
        <v>5.9050872100000005</v>
      </c>
      <c r="T118" s="5">
        <f t="shared" ref="T118:T127" si="153">S118*0.06</f>
        <v>0.35430523260000002</v>
      </c>
      <c r="U118" s="5">
        <f t="shared" ref="U118:U127" si="154">S118/$Z$1</f>
        <v>0.80891605616438367</v>
      </c>
      <c r="V118" s="5">
        <f t="shared" si="147"/>
        <v>0.12558511272132472</v>
      </c>
    </row>
    <row r="119" spans="2:22" x14ac:dyDescent="0.3">
      <c r="B119">
        <v>3</v>
      </c>
      <c r="C119">
        <v>-2844.4</v>
      </c>
      <c r="D119">
        <v>43733.9</v>
      </c>
      <c r="E119">
        <v>7409.5</v>
      </c>
      <c r="F119">
        <f t="shared" si="144"/>
        <v>4.3733900000000006</v>
      </c>
      <c r="G119">
        <f t="shared" si="145"/>
        <v>-0.28444000000000003</v>
      </c>
      <c r="H119">
        <f t="shared" si="146"/>
        <v>4.6578300000000006</v>
      </c>
      <c r="I119">
        <f t="shared" si="148"/>
        <v>0.74095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0.10834148767247866</v>
      </c>
      <c r="P119" s="4">
        <v>3</v>
      </c>
      <c r="Q119" s="5">
        <f t="shared" si="151"/>
        <v>4.6578300000000006</v>
      </c>
      <c r="R119" s="5">
        <f t="shared" si="151"/>
        <v>0.74095</v>
      </c>
      <c r="S119" s="5">
        <f t="shared" si="152"/>
        <v>5.174849130000001</v>
      </c>
      <c r="T119" s="5">
        <f t="shared" si="153"/>
        <v>0.31049094780000003</v>
      </c>
      <c r="U119" s="5">
        <f t="shared" si="154"/>
        <v>0.70888344246575363</v>
      </c>
      <c r="V119" s="5">
        <f t="shared" si="147"/>
        <v>0.10834148767247866</v>
      </c>
    </row>
    <row r="120" spans="2:22" x14ac:dyDescent="0.3">
      <c r="B120">
        <v>4</v>
      </c>
      <c r="C120">
        <v>0</v>
      </c>
      <c r="D120">
        <v>0</v>
      </c>
      <c r="E120">
        <v>0</v>
      </c>
      <c r="F120">
        <f t="shared" si="144"/>
        <v>0</v>
      </c>
      <c r="G120">
        <f t="shared" si="145"/>
        <v>0</v>
      </c>
      <c r="H120">
        <f t="shared" si="146"/>
        <v>0</v>
      </c>
      <c r="I120">
        <f t="shared" si="148"/>
        <v>0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6.5619807156359122E-2</v>
      </c>
      <c r="P120" s="4">
        <v>3</v>
      </c>
      <c r="Q120" s="5">
        <f t="shared" si="151"/>
        <v>0</v>
      </c>
      <c r="R120" s="5">
        <f t="shared" si="151"/>
        <v>0</v>
      </c>
      <c r="S120" s="5">
        <f t="shared" si="152"/>
        <v>0</v>
      </c>
      <c r="T120" s="5">
        <f t="shared" si="153"/>
        <v>0</v>
      </c>
      <c r="U120" s="5">
        <f t="shared" si="154"/>
        <v>0</v>
      </c>
      <c r="V120" s="5">
        <f t="shared" si="147"/>
        <v>6.5619807156359122E-2</v>
      </c>
    </row>
    <row r="121" spans="2:22" x14ac:dyDescent="0.3">
      <c r="B121">
        <v>5</v>
      </c>
      <c r="C121">
        <v>0</v>
      </c>
      <c r="D121">
        <v>0</v>
      </c>
      <c r="E121">
        <v>0</v>
      </c>
      <c r="F121">
        <f t="shared" si="144"/>
        <v>0</v>
      </c>
      <c r="G121">
        <f t="shared" si="145"/>
        <v>0</v>
      </c>
      <c r="H121">
        <f t="shared" si="146"/>
        <v>0</v>
      </c>
      <c r="I121">
        <f t="shared" si="148"/>
        <v>0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4.7427591440296644E-2</v>
      </c>
      <c r="P121" s="4">
        <v>3</v>
      </c>
      <c r="Q121" s="5">
        <f t="shared" si="151"/>
        <v>0</v>
      </c>
      <c r="R121" s="5">
        <f t="shared" si="151"/>
        <v>0</v>
      </c>
      <c r="S121" s="5">
        <f t="shared" si="152"/>
        <v>0</v>
      </c>
      <c r="T121" s="5">
        <f t="shared" si="153"/>
        <v>0</v>
      </c>
      <c r="U121" s="5">
        <f t="shared" si="154"/>
        <v>0</v>
      </c>
      <c r="V121" s="5">
        <f t="shared" si="147"/>
        <v>4.7427591440296644E-2</v>
      </c>
    </row>
    <row r="122" spans="2:22" x14ac:dyDescent="0.3">
      <c r="B122">
        <v>6</v>
      </c>
      <c r="C122">
        <v>0</v>
      </c>
      <c r="D122">
        <v>0</v>
      </c>
      <c r="E122">
        <v>0</v>
      </c>
      <c r="F122">
        <f t="shared" si="144"/>
        <v>0</v>
      </c>
      <c r="G122">
        <f t="shared" si="145"/>
        <v>0</v>
      </c>
      <c r="H122">
        <f t="shared" si="146"/>
        <v>0</v>
      </c>
      <c r="I122">
        <f t="shared" si="148"/>
        <v>0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3.2829026087125471E-2</v>
      </c>
      <c r="P122" s="4">
        <v>4</v>
      </c>
      <c r="Q122" s="5">
        <f t="shared" si="151"/>
        <v>0</v>
      </c>
      <c r="R122" s="5">
        <f t="shared" si="151"/>
        <v>0</v>
      </c>
      <c r="S122" s="5">
        <f t="shared" si="152"/>
        <v>0</v>
      </c>
      <c r="T122" s="5">
        <f t="shared" si="153"/>
        <v>0</v>
      </c>
      <c r="U122" s="5">
        <f t="shared" si="154"/>
        <v>0</v>
      </c>
      <c r="V122" s="5">
        <f t="shared" si="147"/>
        <v>3.2829026087125471E-2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44"/>
        <v>0</v>
      </c>
      <c r="G123">
        <f t="shared" si="145"/>
        <v>0</v>
      </c>
      <c r="H123">
        <f t="shared" si="146"/>
        <v>0</v>
      </c>
      <c r="I123">
        <f t="shared" si="148"/>
        <v>0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2.3732632560072665E-2</v>
      </c>
      <c r="P123" s="4">
        <v>4</v>
      </c>
      <c r="Q123" s="5">
        <f t="shared" si="151"/>
        <v>0</v>
      </c>
      <c r="R123" s="5">
        <f t="shared" si="151"/>
        <v>0</v>
      </c>
      <c r="S123" s="5">
        <f t="shared" si="152"/>
        <v>0</v>
      </c>
      <c r="T123" s="5">
        <f t="shared" si="153"/>
        <v>0</v>
      </c>
      <c r="U123" s="5">
        <f t="shared" si="154"/>
        <v>0</v>
      </c>
      <c r="V123" s="5">
        <f t="shared" si="147"/>
        <v>2.3732632560072665E-2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44"/>
        <v>0</v>
      </c>
      <c r="G124">
        <f t="shared" si="145"/>
        <v>0</v>
      </c>
      <c r="H124">
        <f t="shared" si="146"/>
        <v>0</v>
      </c>
      <c r="I124">
        <f t="shared" si="148"/>
        <v>0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1.9902555423486564E-2</v>
      </c>
      <c r="P124" s="4">
        <v>5</v>
      </c>
      <c r="Q124" s="5">
        <f t="shared" si="151"/>
        <v>0</v>
      </c>
      <c r="R124" s="5">
        <f t="shared" si="151"/>
        <v>0</v>
      </c>
      <c r="S124" s="5">
        <f t="shared" si="152"/>
        <v>0</v>
      </c>
      <c r="T124" s="5">
        <f t="shared" si="153"/>
        <v>0</v>
      </c>
      <c r="U124" s="5">
        <f t="shared" si="154"/>
        <v>0</v>
      </c>
      <c r="V124" s="5">
        <f t="shared" si="147"/>
        <v>1.9902555423486564E-2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44"/>
        <v>0</v>
      </c>
      <c r="G125">
        <f t="shared" si="145"/>
        <v>0</v>
      </c>
      <c r="H125">
        <f t="shared" si="146"/>
        <v>0</v>
      </c>
      <c r="I125">
        <f t="shared" si="148"/>
        <v>0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1.6040044458990686E-2</v>
      </c>
      <c r="P125" s="4">
        <v>8</v>
      </c>
      <c r="Q125" s="5">
        <f t="shared" si="151"/>
        <v>0</v>
      </c>
      <c r="R125" s="5">
        <f t="shared" si="151"/>
        <v>0</v>
      </c>
      <c r="S125" s="5">
        <f t="shared" si="152"/>
        <v>0</v>
      </c>
      <c r="T125" s="5">
        <f t="shared" si="153"/>
        <v>0</v>
      </c>
      <c r="U125" s="5">
        <f t="shared" si="154"/>
        <v>0</v>
      </c>
      <c r="V125" s="5">
        <f t="shared" si="147"/>
        <v>1.6040044458990686E-2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1.1486569536625782E-2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1.1486569536625782E-2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7.4074362202575742E-3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7.4074362202575742E-3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-4020.3</v>
      </c>
      <c r="D131">
        <v>39310.6</v>
      </c>
      <c r="E131">
        <v>13981.8</v>
      </c>
      <c r="F131">
        <f t="shared" ref="F131:F141" si="156">D131/10000</f>
        <v>3.93106</v>
      </c>
      <c r="G131">
        <f t="shared" ref="G131:G141" si="157">C131/10000</f>
        <v>-0.40203</v>
      </c>
      <c r="H131">
        <f t="shared" ref="H131:H141" si="158">F131-G131</f>
        <v>4.3330900000000003</v>
      </c>
      <c r="I131">
        <f>E131/10000</f>
        <v>1.39818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9.4385334542884114E-2</v>
      </c>
      <c r="P131" s="2">
        <v>3</v>
      </c>
      <c r="Q131" s="8">
        <f>H131</f>
        <v>4.3330900000000003</v>
      </c>
      <c r="R131" s="8">
        <f>I131</f>
        <v>1.39818</v>
      </c>
      <c r="S131" s="8">
        <f>Q131/10^6*$Z$4*$Z$3/P131*10^12</f>
        <v>4.81406299</v>
      </c>
      <c r="T131" s="8">
        <f>S131*0.06</f>
        <v>0.2888437794</v>
      </c>
      <c r="U131" s="8">
        <f>S131/$Z$1</f>
        <v>0.65946068356164389</v>
      </c>
      <c r="V131" s="12">
        <f t="shared" ref="V131:V141" si="159">O131</f>
        <v>9.4385334542884114E-2</v>
      </c>
    </row>
    <row r="132" spans="2:22" x14ac:dyDescent="0.3">
      <c r="B132">
        <v>2</v>
      </c>
      <c r="C132">
        <v>-5132.5</v>
      </c>
      <c r="D132">
        <v>53388.1</v>
      </c>
      <c r="E132">
        <v>9945.4</v>
      </c>
      <c r="F132">
        <f t="shared" si="156"/>
        <v>5.3388099999999996</v>
      </c>
      <c r="G132">
        <f t="shared" si="157"/>
        <v>-0.51324999999999998</v>
      </c>
      <c r="H132">
        <f t="shared" si="158"/>
        <v>5.8520599999999998</v>
      </c>
      <c r="I132">
        <f t="shared" ref="I132:I141" si="160">E132/10000</f>
        <v>0.99453999999999998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8.3723408480883152E-2</v>
      </c>
      <c r="P132" s="4">
        <v>3</v>
      </c>
      <c r="Q132" s="5">
        <f t="shared" ref="Q132:R141" si="163">H132</f>
        <v>5.8520599999999998</v>
      </c>
      <c r="R132" s="5">
        <f t="shared" si="163"/>
        <v>0.99453999999999998</v>
      </c>
      <c r="S132" s="5">
        <f t="shared" ref="S132:S141" si="164">Q132/10^6*$Z$4*$Z$3/P132*10^12</f>
        <v>6.5016386600000002</v>
      </c>
      <c r="T132" s="5">
        <f t="shared" ref="T132:T141" si="165">S132*0.06</f>
        <v>0.39009831960000002</v>
      </c>
      <c r="U132" s="5">
        <f t="shared" ref="U132:U141" si="166">S132/$Z$1</f>
        <v>0.89063543287671243</v>
      </c>
      <c r="V132" s="5">
        <f t="shared" si="159"/>
        <v>8.3723408480883152E-2</v>
      </c>
    </row>
    <row r="133" spans="2:22" x14ac:dyDescent="0.3">
      <c r="B133">
        <v>3</v>
      </c>
      <c r="C133">
        <v>-4479.6000000000004</v>
      </c>
      <c r="D133">
        <v>48155.4</v>
      </c>
      <c r="E133">
        <v>8261.4</v>
      </c>
      <c r="F133">
        <f t="shared" si="156"/>
        <v>4.8155400000000004</v>
      </c>
      <c r="G133">
        <f t="shared" si="157"/>
        <v>-0.44796000000000002</v>
      </c>
      <c r="H133">
        <f t="shared" si="158"/>
        <v>5.2635000000000005</v>
      </c>
      <c r="I133">
        <f t="shared" si="160"/>
        <v>0.82613999999999999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7.2227658448319104E-2</v>
      </c>
      <c r="P133" s="4">
        <v>3</v>
      </c>
      <c r="Q133" s="5">
        <f t="shared" si="163"/>
        <v>5.2635000000000005</v>
      </c>
      <c r="R133" s="5">
        <f t="shared" si="163"/>
        <v>0.82613999999999999</v>
      </c>
      <c r="S133" s="5">
        <f t="shared" si="164"/>
        <v>5.8477485000000007</v>
      </c>
      <c r="T133" s="5">
        <f t="shared" si="165"/>
        <v>0.35086491000000003</v>
      </c>
      <c r="U133" s="5">
        <f t="shared" si="166"/>
        <v>0.8010614383561645</v>
      </c>
      <c r="V133" s="5">
        <f t="shared" si="159"/>
        <v>7.2227658448319104E-2</v>
      </c>
    </row>
    <row r="134" spans="2:22" x14ac:dyDescent="0.3">
      <c r="B134">
        <v>4</v>
      </c>
      <c r="C134">
        <v>-11564.8</v>
      </c>
      <c r="D134">
        <v>23053.599999999999</v>
      </c>
      <c r="E134">
        <v>5631.3</v>
      </c>
      <c r="F134">
        <f t="shared" si="156"/>
        <v>2.3053599999999999</v>
      </c>
      <c r="G134">
        <f t="shared" si="157"/>
        <v>-1.15648</v>
      </c>
      <c r="H134">
        <f t="shared" si="158"/>
        <v>3.4618399999999996</v>
      </c>
      <c r="I134">
        <f t="shared" si="160"/>
        <v>0.56313000000000002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4.374653810423941E-2</v>
      </c>
      <c r="P134" s="4">
        <v>3</v>
      </c>
      <c r="Q134" s="5">
        <f t="shared" si="163"/>
        <v>3.4618399999999996</v>
      </c>
      <c r="R134" s="5">
        <f t="shared" si="163"/>
        <v>0.56313000000000002</v>
      </c>
      <c r="S134" s="5">
        <f t="shared" si="164"/>
        <v>3.8461042399999994</v>
      </c>
      <c r="T134" s="5">
        <f t="shared" si="165"/>
        <v>0.23076625439999995</v>
      </c>
      <c r="U134" s="5">
        <f t="shared" si="166"/>
        <v>0.52686359452054787</v>
      </c>
      <c r="V134" s="5">
        <f t="shared" si="159"/>
        <v>4.374653810423941E-2</v>
      </c>
    </row>
    <row r="135" spans="2:22" x14ac:dyDescent="0.3">
      <c r="B135">
        <v>5</v>
      </c>
      <c r="C135">
        <v>0</v>
      </c>
      <c r="D135">
        <v>0</v>
      </c>
      <c r="E135">
        <v>0</v>
      </c>
      <c r="F135">
        <f t="shared" si="156"/>
        <v>0</v>
      </c>
      <c r="G135">
        <f t="shared" si="157"/>
        <v>0</v>
      </c>
      <c r="H135">
        <f t="shared" si="158"/>
        <v>0</v>
      </c>
      <c r="I135">
        <f t="shared" si="160"/>
        <v>0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3.1618394293531096E-2</v>
      </c>
      <c r="P135" s="4">
        <v>3</v>
      </c>
      <c r="Q135" s="5">
        <f t="shared" si="163"/>
        <v>0</v>
      </c>
      <c r="R135" s="5">
        <f t="shared" si="163"/>
        <v>0</v>
      </c>
      <c r="S135" s="5">
        <f t="shared" si="164"/>
        <v>0</v>
      </c>
      <c r="T135" s="5">
        <f t="shared" si="165"/>
        <v>0</v>
      </c>
      <c r="U135" s="5">
        <f t="shared" si="166"/>
        <v>0</v>
      </c>
      <c r="V135" s="5">
        <f t="shared" si="159"/>
        <v>3.1618394293531096E-2</v>
      </c>
    </row>
    <row r="136" spans="2:22" x14ac:dyDescent="0.3">
      <c r="B136">
        <v>6</v>
      </c>
      <c r="C136">
        <v>0</v>
      </c>
      <c r="D136">
        <v>0</v>
      </c>
      <c r="E136">
        <v>0</v>
      </c>
      <c r="F136">
        <f t="shared" si="156"/>
        <v>0</v>
      </c>
      <c r="G136">
        <f t="shared" si="157"/>
        <v>0</v>
      </c>
      <c r="H136">
        <f t="shared" si="158"/>
        <v>0</v>
      </c>
      <c r="I136">
        <f t="shared" si="160"/>
        <v>0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2.1886017391416983E-2</v>
      </c>
      <c r="P136" s="4">
        <v>4</v>
      </c>
      <c r="Q136" s="5">
        <f t="shared" si="163"/>
        <v>0</v>
      </c>
      <c r="R136" s="5">
        <f t="shared" si="163"/>
        <v>0</v>
      </c>
      <c r="S136" s="5">
        <f t="shared" si="164"/>
        <v>0</v>
      </c>
      <c r="T136" s="5">
        <f t="shared" si="165"/>
        <v>0</v>
      </c>
      <c r="U136" s="5">
        <f t="shared" si="166"/>
        <v>0</v>
      </c>
      <c r="V136" s="5">
        <f t="shared" si="159"/>
        <v>2.1886017391416983E-2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1.5821755040048444E-2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1.5821755040048444E-2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1.3268370282324376E-2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1.3268370282324376E-2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1.0693362972660459E-2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1.0693362972660459E-2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7.657713024417187E-3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7.657713024417187E-3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4.9382908135050503E-3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4.9382908135050503E-3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1687.6</v>
      </c>
      <c r="D145">
        <v>44321.599999999999</v>
      </c>
      <c r="E145">
        <v>20252</v>
      </c>
      <c r="F145">
        <f t="shared" ref="F145:F155" si="168">D145/10000</f>
        <v>4.4321599999999997</v>
      </c>
      <c r="G145">
        <f t="shared" ref="G145:G155" si="169">C145/10000</f>
        <v>0.16875999999999999</v>
      </c>
      <c r="H145">
        <f t="shared" ref="H145:H155" si="170">F145-G145</f>
        <v>4.2633999999999999</v>
      </c>
      <c r="I145">
        <f>E145/10000</f>
        <v>2.0251999999999999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7.0789000907163085E-2</v>
      </c>
      <c r="P145" s="2">
        <v>3</v>
      </c>
      <c r="Q145" s="8">
        <f>H145</f>
        <v>4.2633999999999999</v>
      </c>
      <c r="R145" s="8">
        <f>I145</f>
        <v>2.0251999999999999</v>
      </c>
      <c r="S145" s="8">
        <f>Q145/10^6*$Z$4*$Z$3/P145*10^12</f>
        <v>4.7366373999999993</v>
      </c>
      <c r="T145" s="8">
        <f>S145*0.06</f>
        <v>0.28419824399999993</v>
      </c>
      <c r="U145" s="8">
        <f>S145/$Z$1</f>
        <v>0.6488544383561643</v>
      </c>
      <c r="V145" s="12">
        <f t="shared" ref="V145:V155" si="171">O145</f>
        <v>7.0789000907163085E-2</v>
      </c>
    </row>
    <row r="146" spans="2:22" x14ac:dyDescent="0.3">
      <c r="B146">
        <v>2</v>
      </c>
      <c r="C146">
        <v>6588.2</v>
      </c>
      <c r="D146">
        <v>56307.8</v>
      </c>
      <c r="E146">
        <v>10054.6</v>
      </c>
      <c r="F146">
        <f t="shared" si="168"/>
        <v>5.6307800000000006</v>
      </c>
      <c r="G146">
        <f t="shared" si="169"/>
        <v>0.65881999999999996</v>
      </c>
      <c r="H146">
        <f t="shared" si="170"/>
        <v>4.971960000000001</v>
      </c>
      <c r="I146">
        <f t="shared" ref="I146:I155" si="172">E146/10000</f>
        <v>1.00546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6.279255636066236E-2</v>
      </c>
      <c r="P146" s="4">
        <v>3</v>
      </c>
      <c r="Q146" s="5">
        <f t="shared" ref="Q146:R155" si="175">H146</f>
        <v>4.971960000000001</v>
      </c>
      <c r="R146" s="5">
        <f t="shared" si="175"/>
        <v>1.00546</v>
      </c>
      <c r="S146" s="5">
        <f t="shared" ref="S146:S155" si="176">Q146/10^6*$Z$4*$Z$3/P146*10^12</f>
        <v>5.5238475600000028</v>
      </c>
      <c r="T146" s="5">
        <f t="shared" ref="T146:T155" si="177">S146*0.06</f>
        <v>0.33143085360000013</v>
      </c>
      <c r="U146" s="5">
        <f t="shared" ref="U146:U155" si="178">S146/$Z$1</f>
        <v>0.75669144657534282</v>
      </c>
      <c r="V146" s="5">
        <f t="shared" si="171"/>
        <v>6.279255636066236E-2</v>
      </c>
    </row>
    <row r="147" spans="2:22" x14ac:dyDescent="0.3">
      <c r="B147">
        <v>3</v>
      </c>
      <c r="C147">
        <v>8991.1</v>
      </c>
      <c r="D147">
        <v>59786.7</v>
      </c>
      <c r="E147">
        <v>9258.2999999999993</v>
      </c>
      <c r="F147">
        <f t="shared" si="168"/>
        <v>5.9786700000000002</v>
      </c>
      <c r="G147">
        <f t="shared" si="169"/>
        <v>0.89911000000000008</v>
      </c>
      <c r="H147">
        <f t="shared" si="170"/>
        <v>5.0795599999999999</v>
      </c>
      <c r="I147">
        <f t="shared" si="172"/>
        <v>0.92582999999999993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5.4170743836239328E-2</v>
      </c>
      <c r="P147" s="4">
        <v>3</v>
      </c>
      <c r="Q147" s="5">
        <f t="shared" si="175"/>
        <v>5.0795599999999999</v>
      </c>
      <c r="R147" s="5">
        <f t="shared" si="175"/>
        <v>0.92582999999999993</v>
      </c>
      <c r="S147" s="5">
        <f t="shared" si="176"/>
        <v>5.6433911600000002</v>
      </c>
      <c r="T147" s="5">
        <f t="shared" si="177"/>
        <v>0.33860346959999998</v>
      </c>
      <c r="U147" s="5">
        <f t="shared" si="178"/>
        <v>0.77306728219178089</v>
      </c>
      <c r="V147" s="5">
        <f t="shared" si="171"/>
        <v>5.4170743836239328E-2</v>
      </c>
    </row>
    <row r="148" spans="2:22" x14ac:dyDescent="0.3">
      <c r="B148">
        <v>4</v>
      </c>
      <c r="C148">
        <v>7800.8</v>
      </c>
      <c r="D148">
        <v>32483.8</v>
      </c>
      <c r="E148">
        <v>7533.9</v>
      </c>
      <c r="F148">
        <f t="shared" si="168"/>
        <v>3.24838</v>
      </c>
      <c r="G148">
        <f t="shared" si="169"/>
        <v>0.78008</v>
      </c>
      <c r="H148">
        <f t="shared" si="170"/>
        <v>2.4683000000000002</v>
      </c>
      <c r="I148">
        <f t="shared" si="172"/>
        <v>0.75339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3.2809903578179561E-2</v>
      </c>
      <c r="P148" s="4">
        <v>3</v>
      </c>
      <c r="Q148" s="5">
        <f t="shared" si="175"/>
        <v>2.4683000000000002</v>
      </c>
      <c r="R148" s="5">
        <f t="shared" si="175"/>
        <v>0.75339</v>
      </c>
      <c r="S148" s="5">
        <f t="shared" si="176"/>
        <v>2.7422813000000001</v>
      </c>
      <c r="T148" s="5">
        <f t="shared" si="177"/>
        <v>0.164536878</v>
      </c>
      <c r="U148" s="5">
        <f t="shared" si="178"/>
        <v>0.37565497260273978</v>
      </c>
      <c r="V148" s="5">
        <f t="shared" si="171"/>
        <v>3.2809903578179561E-2</v>
      </c>
    </row>
    <row r="149" spans="2:22" x14ac:dyDescent="0.3">
      <c r="B149">
        <v>5</v>
      </c>
      <c r="C149">
        <v>0</v>
      </c>
      <c r="D149">
        <v>0</v>
      </c>
      <c r="E149">
        <v>0</v>
      </c>
      <c r="F149">
        <f t="shared" si="168"/>
        <v>0</v>
      </c>
      <c r="G149">
        <f t="shared" si="169"/>
        <v>0</v>
      </c>
      <c r="H149">
        <f t="shared" si="170"/>
        <v>0</v>
      </c>
      <c r="I149">
        <f t="shared" si="172"/>
        <v>0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2.3713795720148322E-2</v>
      </c>
      <c r="P149" s="4">
        <v>3</v>
      </c>
      <c r="Q149" s="5">
        <f t="shared" si="175"/>
        <v>0</v>
      </c>
      <c r="R149" s="5">
        <f t="shared" si="175"/>
        <v>0</v>
      </c>
      <c r="S149" s="5">
        <f t="shared" si="176"/>
        <v>0</v>
      </c>
      <c r="T149" s="5">
        <f t="shared" si="177"/>
        <v>0</v>
      </c>
      <c r="U149" s="5">
        <f t="shared" si="178"/>
        <v>0</v>
      </c>
      <c r="V149" s="5">
        <f t="shared" si="171"/>
        <v>2.3713795720148322E-2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1.6414513043562735E-2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1.6414513043562735E-2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1.1866316280036333E-2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1.1866316280036333E-2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9.9512777117432821E-3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9.9512777117432821E-3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8.0200222294953428E-3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8.0200222294953428E-3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5.7432847683128911E-3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5.7432847683128911E-3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3.7037181101287871E-3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3.7037181101287871E-3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5159</v>
      </c>
      <c r="D159">
        <v>42012.2</v>
      </c>
      <c r="E159">
        <v>19681.099999999999</v>
      </c>
      <c r="F159">
        <f t="shared" ref="F159:F169" si="180">D159/10000</f>
        <v>4.2012199999999993</v>
      </c>
      <c r="G159">
        <f t="shared" ref="G159:G169" si="181">C159/10000</f>
        <v>0.51590000000000003</v>
      </c>
      <c r="H159">
        <f t="shared" ref="H159:H169" si="182">F159-G159</f>
        <v>3.685319999999999</v>
      </c>
      <c r="I159">
        <f>E159/10000</f>
        <v>1.9681099999999998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5.6631200725730468E-2</v>
      </c>
      <c r="P159" s="2">
        <v>3</v>
      </c>
      <c r="Q159" s="8">
        <f>H159</f>
        <v>3.685319999999999</v>
      </c>
      <c r="R159" s="8">
        <f>I159</f>
        <v>1.9681099999999998</v>
      </c>
      <c r="S159" s="8">
        <f>Q159/10^6*$Z$4*$Z$3/P159*10^12</f>
        <v>4.0943905199999984</v>
      </c>
      <c r="T159" s="8">
        <f>S159*0.06</f>
        <v>0.24566343119999989</v>
      </c>
      <c r="U159" s="8">
        <f>S159/$Z$1</f>
        <v>0.56087541369862992</v>
      </c>
      <c r="V159" s="12">
        <f t="shared" ref="V159:V169" si="183">O159</f>
        <v>5.6631200725730468E-2</v>
      </c>
    </row>
    <row r="160" spans="2:22" x14ac:dyDescent="0.3">
      <c r="B160">
        <v>2</v>
      </c>
      <c r="C160">
        <v>1236.9000000000001</v>
      </c>
      <c r="D160">
        <v>54756.3</v>
      </c>
      <c r="E160">
        <v>9930</v>
      </c>
      <c r="F160">
        <f t="shared" si="180"/>
        <v>5.4756300000000007</v>
      </c>
      <c r="G160">
        <f t="shared" si="181"/>
        <v>0.12369000000000001</v>
      </c>
      <c r="H160">
        <f t="shared" si="182"/>
        <v>5.3519400000000008</v>
      </c>
      <c r="I160">
        <f t="shared" ref="I160:I169" si="184">E160/10000</f>
        <v>0.99299999999999999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5.023404508852989E-2</v>
      </c>
      <c r="P160" s="4">
        <v>3</v>
      </c>
      <c r="Q160" s="5">
        <f t="shared" ref="Q160:R169" si="187">H160</f>
        <v>5.3519400000000008</v>
      </c>
      <c r="R160" s="5">
        <f t="shared" si="187"/>
        <v>0.99299999999999999</v>
      </c>
      <c r="S160" s="5">
        <f t="shared" ref="S160:S169" si="188">Q160/10^6*$Z$4*$Z$3/P160*10^12</f>
        <v>5.9460053400000001</v>
      </c>
      <c r="T160" s="5">
        <f t="shared" ref="T160:T169" si="189">S160*0.06</f>
        <v>0.3567603204</v>
      </c>
      <c r="U160" s="5">
        <f t="shared" ref="U160:U169" si="190">S160/$Z$1</f>
        <v>0.81452127945205488</v>
      </c>
      <c r="V160" s="5">
        <f t="shared" si="183"/>
        <v>5.023404508852989E-2</v>
      </c>
    </row>
    <row r="161" spans="2:22" x14ac:dyDescent="0.3">
      <c r="B161">
        <v>3</v>
      </c>
      <c r="C161">
        <v>3129.5</v>
      </c>
      <c r="D161">
        <v>48787.5</v>
      </c>
      <c r="E161">
        <v>9739.9</v>
      </c>
      <c r="F161">
        <f t="shared" si="180"/>
        <v>4.8787500000000001</v>
      </c>
      <c r="G161">
        <f t="shared" si="181"/>
        <v>0.31295000000000001</v>
      </c>
      <c r="H161">
        <f t="shared" si="182"/>
        <v>4.5658000000000003</v>
      </c>
      <c r="I161">
        <f t="shared" si="184"/>
        <v>0.97398999999999991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4.3336595068991464E-2</v>
      </c>
      <c r="P161" s="4">
        <v>3</v>
      </c>
      <c r="Q161" s="5">
        <f t="shared" si="187"/>
        <v>4.5658000000000003</v>
      </c>
      <c r="R161" s="5">
        <f t="shared" si="187"/>
        <v>0.97398999999999991</v>
      </c>
      <c r="S161" s="5">
        <f t="shared" si="188"/>
        <v>5.0726038000000013</v>
      </c>
      <c r="T161" s="5">
        <f t="shared" si="189"/>
        <v>0.30435622800000006</v>
      </c>
      <c r="U161" s="5">
        <f t="shared" si="190"/>
        <v>0.69487723287671255</v>
      </c>
      <c r="V161" s="5">
        <f t="shared" si="183"/>
        <v>4.3336595068991464E-2</v>
      </c>
    </row>
    <row r="162" spans="2:22" x14ac:dyDescent="0.3">
      <c r="B162">
        <v>4</v>
      </c>
      <c r="C162">
        <v>105.2</v>
      </c>
      <c r="D162">
        <v>26378</v>
      </c>
      <c r="E162">
        <v>5075</v>
      </c>
      <c r="F162">
        <f t="shared" si="180"/>
        <v>2.6377999999999999</v>
      </c>
      <c r="G162">
        <f t="shared" si="181"/>
        <v>1.052E-2</v>
      </c>
      <c r="H162">
        <f t="shared" si="182"/>
        <v>2.6272799999999998</v>
      </c>
      <c r="I162">
        <f t="shared" si="184"/>
        <v>0.50749999999999995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2.6247922862543648E-2</v>
      </c>
      <c r="P162" s="4">
        <v>3</v>
      </c>
      <c r="Q162" s="5">
        <f t="shared" si="187"/>
        <v>2.6272799999999998</v>
      </c>
      <c r="R162" s="5">
        <f t="shared" si="187"/>
        <v>0.50749999999999995</v>
      </c>
      <c r="S162" s="5">
        <f t="shared" si="188"/>
        <v>2.9189080799999996</v>
      </c>
      <c r="T162" s="5">
        <f t="shared" si="189"/>
        <v>0.17513448479999996</v>
      </c>
      <c r="U162" s="5">
        <f t="shared" si="190"/>
        <v>0.39985042191780817</v>
      </c>
      <c r="V162" s="5">
        <f t="shared" si="183"/>
        <v>2.6247922862543648E-2</v>
      </c>
    </row>
    <row r="163" spans="2:22" x14ac:dyDescent="0.3">
      <c r="B163">
        <v>5</v>
      </c>
      <c r="C163">
        <v>0</v>
      </c>
      <c r="D163">
        <v>0</v>
      </c>
      <c r="E163">
        <v>0</v>
      </c>
      <c r="F163">
        <f t="shared" si="180"/>
        <v>0</v>
      </c>
      <c r="G163">
        <f t="shared" si="181"/>
        <v>0</v>
      </c>
      <c r="H163">
        <f t="shared" si="182"/>
        <v>0</v>
      </c>
      <c r="I163">
        <f t="shared" si="184"/>
        <v>0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1.897103657611866E-2</v>
      </c>
      <c r="P163" s="4">
        <v>3</v>
      </c>
      <c r="Q163" s="5">
        <f t="shared" si="187"/>
        <v>0</v>
      </c>
      <c r="R163" s="5">
        <f t="shared" si="187"/>
        <v>0</v>
      </c>
      <c r="S163" s="5">
        <f t="shared" si="188"/>
        <v>0</v>
      </c>
      <c r="T163" s="5">
        <f t="shared" si="189"/>
        <v>0</v>
      </c>
      <c r="U163" s="5">
        <f t="shared" si="190"/>
        <v>0</v>
      </c>
      <c r="V163" s="5">
        <f t="shared" si="183"/>
        <v>1.897103657611866E-2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1.3131610434850189E-2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1.3131610434850189E-2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9.4930530240290665E-3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9.4930530240290665E-3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7.961022169394625E-3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7.961022169394625E-3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6.4160177835962742E-3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6.4160177835962742E-3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4.5946278146503121E-3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4.5946278146503121E-3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2.9629744881030299E-3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2.9629744881030299E-3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CQ170"/>
  <sheetViews>
    <sheetView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3319.8</v>
      </c>
      <c r="D5">
        <v>88701.5</v>
      </c>
      <c r="E5">
        <v>9228.6</v>
      </c>
      <c r="F5">
        <f t="shared" ref="F5:F15" si="0">D5/10000</f>
        <v>8.8701500000000006</v>
      </c>
      <c r="G5">
        <f t="shared" ref="G5:G15" si="1">C5/10000</f>
        <v>0.33198</v>
      </c>
      <c r="H5">
        <f t="shared" ref="H5:H15" si="2">F5-G5</f>
        <v>8.5381700000000009</v>
      </c>
      <c r="I5">
        <f>E5/10000</f>
        <v>0.92286000000000001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0.61940375793767699</v>
      </c>
      <c r="P5" s="2">
        <v>3</v>
      </c>
      <c r="Q5" s="8">
        <f>H5</f>
        <v>8.5381700000000009</v>
      </c>
      <c r="R5" s="8">
        <f>I5</f>
        <v>0.92286000000000001</v>
      </c>
      <c r="S5" s="8">
        <f>Q5/10^6*$Z$4*$Z$3/P5*10^12</f>
        <v>9.4859068699999991</v>
      </c>
      <c r="T5" s="8">
        <f>S5*0.06</f>
        <v>0.56915441219999996</v>
      </c>
      <c r="U5" s="8">
        <f>S5/$Z$1</f>
        <v>1.299439297260274</v>
      </c>
      <c r="V5" s="12">
        <f t="shared" ref="V5:V15" si="4">O5</f>
        <v>0.61940375793767699</v>
      </c>
    </row>
    <row r="6" spans="2:95" x14ac:dyDescent="0.3">
      <c r="B6">
        <v>2</v>
      </c>
      <c r="C6">
        <v>832.9</v>
      </c>
      <c r="D6">
        <v>99827.8</v>
      </c>
      <c r="E6">
        <v>4214.6000000000004</v>
      </c>
      <c r="F6">
        <f t="shared" si="0"/>
        <v>9.98278</v>
      </c>
      <c r="G6">
        <f t="shared" si="1"/>
        <v>8.3290000000000003E-2</v>
      </c>
      <c r="H6">
        <f t="shared" si="2"/>
        <v>9.8994900000000001</v>
      </c>
      <c r="I6">
        <f t="shared" ref="I6:I15" si="5">E6/10000</f>
        <v>0.42146000000000006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0.54943486815579567</v>
      </c>
      <c r="P6" s="4">
        <v>3</v>
      </c>
      <c r="Q6" s="5">
        <f t="shared" ref="Q6:R15" si="7">H6</f>
        <v>9.8994900000000001</v>
      </c>
      <c r="R6" s="5">
        <f t="shared" si="7"/>
        <v>0.42146000000000006</v>
      </c>
      <c r="S6" s="5">
        <f t="shared" ref="S6:S15" si="8">Q6/10^6*$Z$4*$Z$3/P6*10^12</f>
        <v>10.998333390000001</v>
      </c>
      <c r="T6" s="5">
        <f t="shared" ref="T6:T15" si="9">S6*0.06</f>
        <v>0.65990000339999999</v>
      </c>
      <c r="U6" s="5">
        <f t="shared" ref="U6:U15" si="10">S6/$Z$1</f>
        <v>1.5066210123287673</v>
      </c>
      <c r="V6" s="5">
        <f t="shared" si="4"/>
        <v>0.54943486815579567</v>
      </c>
    </row>
    <row r="7" spans="2:95" x14ac:dyDescent="0.3">
      <c r="B7">
        <v>3</v>
      </c>
      <c r="C7">
        <v>-2095.4</v>
      </c>
      <c r="D7">
        <v>94893.2</v>
      </c>
      <c r="E7">
        <v>5890.2</v>
      </c>
      <c r="F7">
        <f t="shared" si="0"/>
        <v>9.4893199999999993</v>
      </c>
      <c r="G7">
        <f t="shared" si="1"/>
        <v>-0.20954</v>
      </c>
      <c r="H7">
        <f t="shared" si="2"/>
        <v>9.6988599999999998</v>
      </c>
      <c r="I7">
        <f t="shared" si="5"/>
        <v>0.58901999999999999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0.47399400856709412</v>
      </c>
      <c r="P7" s="4">
        <v>3</v>
      </c>
      <c r="Q7" s="5">
        <f t="shared" si="7"/>
        <v>9.6988599999999998</v>
      </c>
      <c r="R7" s="5">
        <f t="shared" si="7"/>
        <v>0.58901999999999999</v>
      </c>
      <c r="S7" s="5">
        <f t="shared" si="8"/>
        <v>10.77543346</v>
      </c>
      <c r="T7" s="5">
        <f t="shared" si="9"/>
        <v>0.64652600760000001</v>
      </c>
      <c r="U7" s="5">
        <f t="shared" si="10"/>
        <v>1.4760867753424658</v>
      </c>
      <c r="V7" s="5">
        <f t="shared" si="4"/>
        <v>0.47399400856709412</v>
      </c>
      <c r="Y7" t="s">
        <v>41</v>
      </c>
      <c r="Z7">
        <v>8</v>
      </c>
    </row>
    <row r="8" spans="2:95" x14ac:dyDescent="0.3">
      <c r="B8">
        <v>4</v>
      </c>
      <c r="C8">
        <v>1345.5</v>
      </c>
      <c r="D8">
        <v>80074.899999999994</v>
      </c>
      <c r="E8">
        <v>3661.3</v>
      </c>
      <c r="F8">
        <f t="shared" si="0"/>
        <v>8.0074899999999989</v>
      </c>
      <c r="G8">
        <f t="shared" si="1"/>
        <v>0.13455</v>
      </c>
      <c r="H8">
        <f t="shared" si="2"/>
        <v>7.8729399999999989</v>
      </c>
      <c r="I8">
        <f t="shared" si="5"/>
        <v>0.36613000000000001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0.28708665630907115</v>
      </c>
      <c r="P8" s="4">
        <v>3</v>
      </c>
      <c r="Q8" s="5">
        <f t="shared" si="7"/>
        <v>7.8729399999999989</v>
      </c>
      <c r="R8" s="5">
        <f t="shared" si="7"/>
        <v>0.36613000000000001</v>
      </c>
      <c r="S8" s="5">
        <f t="shared" si="8"/>
        <v>8.746836339999998</v>
      </c>
      <c r="T8" s="5">
        <f t="shared" si="9"/>
        <v>0.52481018039999983</v>
      </c>
      <c r="U8" s="5">
        <f t="shared" si="10"/>
        <v>1.1981967589041094</v>
      </c>
      <c r="V8" s="5">
        <f t="shared" si="4"/>
        <v>0.28708665630907115</v>
      </c>
    </row>
    <row r="9" spans="2:95" x14ac:dyDescent="0.3">
      <c r="B9">
        <v>5</v>
      </c>
      <c r="C9">
        <v>-1682.4</v>
      </c>
      <c r="D9">
        <v>50605.1</v>
      </c>
      <c r="E9">
        <v>4107.3</v>
      </c>
      <c r="F9">
        <f t="shared" si="0"/>
        <v>5.0605099999999998</v>
      </c>
      <c r="G9">
        <f t="shared" si="1"/>
        <v>-0.16824</v>
      </c>
      <c r="H9">
        <f t="shared" si="2"/>
        <v>5.2287499999999998</v>
      </c>
      <c r="I9">
        <f t="shared" si="5"/>
        <v>0.41073000000000004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0.20749571255129784</v>
      </c>
      <c r="P9" s="4">
        <v>3</v>
      </c>
      <c r="Q9" s="5">
        <f t="shared" si="7"/>
        <v>5.2287499999999998</v>
      </c>
      <c r="R9" s="5">
        <f t="shared" si="7"/>
        <v>0.41073000000000004</v>
      </c>
      <c r="S9" s="5">
        <f t="shared" si="8"/>
        <v>5.8091412499999997</v>
      </c>
      <c r="T9" s="5">
        <f t="shared" si="9"/>
        <v>0.34854847499999997</v>
      </c>
      <c r="U9" s="5">
        <f t="shared" si="10"/>
        <v>0.79577277397260271</v>
      </c>
      <c r="V9" s="5">
        <f t="shared" si="4"/>
        <v>0.20749571255129784</v>
      </c>
    </row>
    <row r="10" spans="2:95" ht="15" thickBot="1" x14ac:dyDescent="0.35">
      <c r="B10">
        <v>6</v>
      </c>
      <c r="C10">
        <v>-1563.2</v>
      </c>
      <c r="D10">
        <v>44753.599999999999</v>
      </c>
      <c r="E10">
        <v>4273.7</v>
      </c>
      <c r="F10">
        <f t="shared" si="0"/>
        <v>4.4753600000000002</v>
      </c>
      <c r="G10">
        <f t="shared" si="1"/>
        <v>-0.15632000000000001</v>
      </c>
      <c r="H10">
        <f t="shared" si="2"/>
        <v>4.6316800000000002</v>
      </c>
      <c r="I10">
        <f t="shared" si="5"/>
        <v>0.42736999999999997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0.14362698913117394</v>
      </c>
      <c r="P10" s="4">
        <v>4</v>
      </c>
      <c r="Q10" s="5">
        <f t="shared" si="7"/>
        <v>4.6316800000000002</v>
      </c>
      <c r="R10" s="5">
        <f t="shared" si="7"/>
        <v>0.42736999999999997</v>
      </c>
      <c r="S10" s="5">
        <f t="shared" si="8"/>
        <v>3.8593473600000001</v>
      </c>
      <c r="T10" s="5">
        <f t="shared" si="9"/>
        <v>0.23156084160000001</v>
      </c>
      <c r="U10" s="5">
        <f t="shared" si="10"/>
        <v>0.52867772054794526</v>
      </c>
      <c r="V10" s="5">
        <f t="shared" si="4"/>
        <v>0.14362698913117394</v>
      </c>
    </row>
    <row r="11" spans="2:95" ht="15.6" thickTop="1" thickBot="1" x14ac:dyDescent="0.35">
      <c r="B11">
        <v>7</v>
      </c>
      <c r="C11">
        <v>-4441.8</v>
      </c>
      <c r="D11">
        <v>34566.1</v>
      </c>
      <c r="E11">
        <v>4582.3999999999996</v>
      </c>
      <c r="F11">
        <f t="shared" si="0"/>
        <v>3.45661</v>
      </c>
      <c r="G11">
        <f t="shared" si="1"/>
        <v>-0.44418000000000002</v>
      </c>
      <c r="H11">
        <f t="shared" si="2"/>
        <v>3.9007899999999998</v>
      </c>
      <c r="I11">
        <f t="shared" si="5"/>
        <v>0.45823999999999998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0.10383026745031791</v>
      </c>
      <c r="P11" s="4">
        <v>4</v>
      </c>
      <c r="Q11" s="5">
        <f t="shared" si="7"/>
        <v>3.9007899999999998</v>
      </c>
      <c r="R11" s="5">
        <f t="shared" si="7"/>
        <v>0.45823999999999998</v>
      </c>
      <c r="S11" s="5">
        <f t="shared" si="8"/>
        <v>3.2503332675000003</v>
      </c>
      <c r="T11" s="5">
        <f t="shared" si="9"/>
        <v>0.19501999605000001</v>
      </c>
      <c r="U11" s="5">
        <f t="shared" si="10"/>
        <v>0.44525113253424664</v>
      </c>
      <c r="V11" s="5">
        <f t="shared" si="4"/>
        <v>0.10383026745031791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882.2</v>
      </c>
      <c r="D12">
        <v>32873.5</v>
      </c>
      <c r="E12">
        <v>6533.4</v>
      </c>
      <c r="F12">
        <f t="shared" si="0"/>
        <v>3.28735</v>
      </c>
      <c r="G12">
        <f t="shared" si="1"/>
        <v>8.8220000000000007E-2</v>
      </c>
      <c r="H12">
        <f t="shared" si="2"/>
        <v>3.1991299999999998</v>
      </c>
      <c r="I12">
        <f t="shared" si="5"/>
        <v>0.65333999999999992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8.7073679977753712E-2</v>
      </c>
      <c r="P12" s="4">
        <v>5</v>
      </c>
      <c r="Q12" s="5">
        <f t="shared" si="7"/>
        <v>3.1991299999999998</v>
      </c>
      <c r="R12" s="5">
        <f t="shared" si="7"/>
        <v>0.65333999999999992</v>
      </c>
      <c r="S12" s="5">
        <f t="shared" si="8"/>
        <v>2.1325400580000005</v>
      </c>
      <c r="T12" s="5">
        <f t="shared" si="9"/>
        <v>0.12795240348000003</v>
      </c>
      <c r="U12" s="5">
        <f t="shared" si="10"/>
        <v>0.29212877506849322</v>
      </c>
      <c r="V12" s="5">
        <f t="shared" si="4"/>
        <v>8.7073679977753712E-2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3086.4</v>
      </c>
      <c r="D13">
        <v>43329.5</v>
      </c>
      <c r="E13">
        <v>9583.4</v>
      </c>
      <c r="F13">
        <f t="shared" si="0"/>
        <v>4.3329500000000003</v>
      </c>
      <c r="G13">
        <f t="shared" si="1"/>
        <v>0.30864000000000003</v>
      </c>
      <c r="H13">
        <f t="shared" si="2"/>
        <v>4.0243099999999998</v>
      </c>
      <c r="I13">
        <f t="shared" si="5"/>
        <v>0.95833999999999997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7.0175194508084252E-2</v>
      </c>
      <c r="P13" s="4">
        <v>8</v>
      </c>
      <c r="Q13" s="5">
        <f t="shared" si="7"/>
        <v>4.0243099999999998</v>
      </c>
      <c r="R13" s="5">
        <f t="shared" si="7"/>
        <v>0.95833999999999997</v>
      </c>
      <c r="S13" s="5">
        <f t="shared" si="8"/>
        <v>1.6766281537499998</v>
      </c>
      <c r="T13" s="5">
        <f t="shared" si="9"/>
        <v>0.10059768922499998</v>
      </c>
      <c r="U13" s="5">
        <f t="shared" si="10"/>
        <v>0.22967508955479451</v>
      </c>
      <c r="V13" s="5">
        <f t="shared" si="4"/>
        <v>7.0175194508084252E-2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5398.1</v>
      </c>
      <c r="D14">
        <v>46919</v>
      </c>
      <c r="E14">
        <v>7958.8</v>
      </c>
      <c r="F14">
        <f t="shared" si="0"/>
        <v>4.6919000000000004</v>
      </c>
      <c r="G14">
        <f t="shared" si="1"/>
        <v>0.53981000000000001</v>
      </c>
      <c r="H14">
        <f t="shared" si="2"/>
        <v>4.1520900000000003</v>
      </c>
      <c r="I14">
        <f t="shared" si="5"/>
        <v>0.79588000000000003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5.0253741722737791E-2</v>
      </c>
      <c r="P14" s="4">
        <v>14</v>
      </c>
      <c r="Q14" s="5">
        <f t="shared" si="7"/>
        <v>4.1520900000000003</v>
      </c>
      <c r="R14" s="5">
        <f t="shared" si="7"/>
        <v>0.79588000000000003</v>
      </c>
      <c r="S14" s="5">
        <f t="shared" si="8"/>
        <v>0.98849399785714298</v>
      </c>
      <c r="T14" s="5">
        <f t="shared" si="9"/>
        <v>5.9309639871428579E-2</v>
      </c>
      <c r="U14" s="5">
        <f t="shared" si="10"/>
        <v>0.13541013669275931</v>
      </c>
      <c r="V14" s="5">
        <f t="shared" si="4"/>
        <v>5.0253741722737791E-2</v>
      </c>
      <c r="X14" s="31">
        <f t="shared" ref="X14:X24" si="12">O5</f>
        <v>0.61940375793767699</v>
      </c>
      <c r="Y14" s="32">
        <f t="shared" ref="Y14:AA24" si="13">S5</f>
        <v>9.4859068699999991</v>
      </c>
      <c r="Z14" s="32">
        <f t="shared" si="13"/>
        <v>0.56915441219999996</v>
      </c>
      <c r="AA14" s="32">
        <f t="shared" si="13"/>
        <v>1.299439297260274</v>
      </c>
      <c r="AB14" s="41">
        <f>I5/H5</f>
        <v>0.10808639322009282</v>
      </c>
      <c r="AC14" s="33">
        <f t="shared" ref="AC14:AC24" si="14">R5</f>
        <v>0.92286000000000001</v>
      </c>
      <c r="AD14" s="31">
        <f t="shared" ref="AD14:AD23" si="15">O19</f>
        <v>0.41293583862511801</v>
      </c>
      <c r="AE14" s="32">
        <f t="shared" ref="AE14:AG23" si="16">S19</f>
        <v>5.3929717600000009</v>
      </c>
      <c r="AF14" s="32">
        <f t="shared" si="16"/>
        <v>0.32357830560000006</v>
      </c>
      <c r="AG14" s="32">
        <f t="shared" si="16"/>
        <v>0.73876325479452065</v>
      </c>
      <c r="AH14" s="41">
        <f>I19/H19</f>
        <v>0.22883670913196105</v>
      </c>
      <c r="AI14" s="33">
        <f>R19</f>
        <v>1.1108100000000001</v>
      </c>
      <c r="AJ14" s="31">
        <f t="shared" ref="AJ14:AJ18" si="17">O33</f>
        <v>0.3097018789688385</v>
      </c>
      <c r="AK14" s="32">
        <f t="shared" ref="AK14:AM18" si="18">S33</f>
        <v>3.4969724900000001</v>
      </c>
      <c r="AL14" s="32">
        <f t="shared" si="18"/>
        <v>0.20981834939999999</v>
      </c>
      <c r="AM14" s="32">
        <f t="shared" si="18"/>
        <v>0.47903732739726029</v>
      </c>
      <c r="AN14" s="41">
        <f>I33/H33</f>
        <v>0.3260272144720246</v>
      </c>
      <c r="AO14" s="33">
        <f>R33</f>
        <v>1.0262</v>
      </c>
      <c r="AP14" s="31">
        <f t="shared" ref="AP14:AP17" si="19">O47</f>
        <v>0.24776150317507079</v>
      </c>
      <c r="AQ14" s="32">
        <f t="shared" ref="AQ14:AS17" si="20">S47</f>
        <v>4.0574275500000008</v>
      </c>
      <c r="AR14" s="32">
        <f t="shared" si="20"/>
        <v>0.24344565300000004</v>
      </c>
      <c r="AS14" s="32">
        <f t="shared" si="20"/>
        <v>0.55581199315068508</v>
      </c>
      <c r="AT14" s="41">
        <f>I47/H47</f>
        <v>0.31543927383250503</v>
      </c>
      <c r="AU14" s="33">
        <f>R47</f>
        <v>1.1519999999999999</v>
      </c>
      <c r="AV14" s="31">
        <f t="shared" ref="AV14:AV17" si="21">O61</f>
        <v>0.20646791931255901</v>
      </c>
      <c r="AW14" s="32">
        <f t="shared" ref="AW14:AY17" si="22">S61</f>
        <v>4.5040495499999995</v>
      </c>
      <c r="AX14" s="32">
        <f t="shared" si="22"/>
        <v>0.27024297299999994</v>
      </c>
      <c r="AY14" s="32">
        <f t="shared" si="22"/>
        <v>0.61699308904109584</v>
      </c>
      <c r="AZ14" s="41">
        <f>I61/H61</f>
        <v>0.30717430717430716</v>
      </c>
      <c r="BA14" s="33">
        <f>R61</f>
        <v>1.2453000000000001</v>
      </c>
      <c r="BB14" s="31">
        <f t="shared" ref="BB14:BB16" si="23">O75</f>
        <v>0.1769725022679077</v>
      </c>
      <c r="BC14" s="32">
        <f t="shared" ref="BC14:BE16" si="24">S75</f>
        <v>4.9364285299999997</v>
      </c>
      <c r="BD14" s="32">
        <f t="shared" si="24"/>
        <v>0.29618571179999997</v>
      </c>
      <c r="BE14" s="32">
        <f t="shared" si="24"/>
        <v>0.67622308630136985</v>
      </c>
      <c r="BF14" s="41">
        <f>I75/H75</f>
        <v>0.32615237113541279</v>
      </c>
      <c r="BG14" s="33">
        <f>R75</f>
        <v>1.4491700000000001</v>
      </c>
      <c r="BH14" s="31">
        <f t="shared" ref="BH14:BH16" si="25">O89</f>
        <v>0.15485093948441925</v>
      </c>
      <c r="BI14" s="32">
        <f t="shared" ref="BI14:BK16" si="26">S89</f>
        <v>3.4602206099999995</v>
      </c>
      <c r="BJ14" s="32">
        <f t="shared" si="26"/>
        <v>0.20761323659999997</v>
      </c>
      <c r="BK14" s="32">
        <f t="shared" si="26"/>
        <v>0.47400282328767118</v>
      </c>
      <c r="BL14" s="41">
        <f>I89/H89</f>
        <v>0.5423260801859684</v>
      </c>
      <c r="BM14" s="33">
        <f>R89</f>
        <v>1.6890799999999999</v>
      </c>
      <c r="BN14" s="31">
        <f t="shared" ref="BN14:BN16" si="27">O103</f>
        <v>0.13764527954170599</v>
      </c>
      <c r="BO14" s="32">
        <f t="shared" ref="BO14:BQ16" si="28">S103</f>
        <v>2.8163183400000023</v>
      </c>
      <c r="BP14" s="32">
        <f t="shared" si="28"/>
        <v>0.16897910040000014</v>
      </c>
      <c r="BQ14" s="32">
        <f t="shared" si="28"/>
        <v>0.38579703287671263</v>
      </c>
      <c r="BR14" s="41">
        <f>I103/H103</f>
        <v>0.50282057957979254</v>
      </c>
      <c r="BS14" s="33">
        <f>R103</f>
        <v>1.2746200000000001</v>
      </c>
      <c r="BT14" s="31">
        <f t="shared" ref="BT14:BT16" si="29">O117</f>
        <v>0.12388075158753539</v>
      </c>
      <c r="BU14" s="32">
        <f t="shared" ref="BU14:BW16" si="30">S117</f>
        <v>2.5236365000000003</v>
      </c>
      <c r="BV14" s="32">
        <f t="shared" si="30"/>
        <v>0.15141819000000001</v>
      </c>
      <c r="BW14" s="32">
        <f t="shared" si="30"/>
        <v>0.34570363013698635</v>
      </c>
      <c r="BX14" s="41">
        <f>I117/H117</f>
        <v>0.51134492626018058</v>
      </c>
      <c r="BY14" s="33">
        <f>R117</f>
        <v>1.1615200000000001</v>
      </c>
      <c r="BZ14" s="31">
        <f t="shared" ref="BZ14:BZ18" si="31">O131</f>
        <v>8.25871677250236E-2</v>
      </c>
      <c r="CA14" s="32">
        <f t="shared" ref="CA14:CC18" si="32">S131</f>
        <v>3.3818062300000005</v>
      </c>
      <c r="CB14" s="32">
        <f t="shared" si="32"/>
        <v>0.20290837380000001</v>
      </c>
      <c r="CC14" s="32">
        <f t="shared" si="32"/>
        <v>0.46326112739726033</v>
      </c>
      <c r="CD14" s="41">
        <f>I131/H131</f>
        <v>0.47885792380245268</v>
      </c>
      <c r="CE14" s="33">
        <f>R131</f>
        <v>1.4576100000000001</v>
      </c>
      <c r="CF14" s="31">
        <f t="shared" ref="CF14:CF18" si="33">O145</f>
        <v>6.1940375793767696E-2</v>
      </c>
      <c r="CG14" s="32">
        <f t="shared" ref="CG14:CI18" si="34">S145</f>
        <v>3.06456018</v>
      </c>
      <c r="CH14" s="32">
        <f t="shared" si="34"/>
        <v>0.1838736108</v>
      </c>
      <c r="CI14" s="32">
        <f t="shared" si="34"/>
        <v>0.41980276438356162</v>
      </c>
      <c r="CJ14" s="41">
        <f>I145/H145</f>
        <v>0.62358340765231768</v>
      </c>
      <c r="CK14" s="33">
        <f>R145</f>
        <v>1.7200799999999998</v>
      </c>
      <c r="CL14" s="31">
        <f t="shared" ref="CL14:CL17" si="35">O159</f>
        <v>4.955230063501416E-2</v>
      </c>
      <c r="CM14" s="32">
        <f t="shared" ref="CM14:CO17" si="36">S159</f>
        <v>3.27331708</v>
      </c>
      <c r="CN14" s="32">
        <f t="shared" si="36"/>
        <v>0.19639902479999999</v>
      </c>
      <c r="CO14" s="32">
        <f t="shared" si="36"/>
        <v>0.44839960000000001</v>
      </c>
      <c r="CP14" s="41">
        <f>I159/H159</f>
        <v>0.5849410103588254</v>
      </c>
      <c r="CQ14" s="33">
        <f>R159</f>
        <v>1.7234</v>
      </c>
    </row>
    <row r="15" spans="2:95" ht="15" thickBot="1" x14ac:dyDescent="0.35">
      <c r="B15">
        <v>11</v>
      </c>
      <c r="C15">
        <v>6337.6</v>
      </c>
      <c r="D15">
        <v>40922.6</v>
      </c>
      <c r="E15">
        <v>5758</v>
      </c>
      <c r="F15">
        <f t="shared" si="0"/>
        <v>4.0922599999999996</v>
      </c>
      <c r="G15">
        <f t="shared" si="1"/>
        <v>0.63375999999999999</v>
      </c>
      <c r="H15">
        <f t="shared" si="2"/>
        <v>3.4584999999999995</v>
      </c>
      <c r="I15">
        <f t="shared" si="5"/>
        <v>0.57579999999999998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3.2407533463626889E-2</v>
      </c>
      <c r="P15" s="7">
        <v>21</v>
      </c>
      <c r="Q15" s="6">
        <f t="shared" si="7"/>
        <v>3.4584999999999995</v>
      </c>
      <c r="R15" s="6">
        <f t="shared" si="7"/>
        <v>0.57579999999999998</v>
      </c>
      <c r="S15" s="6">
        <f t="shared" si="8"/>
        <v>0.54891335714285716</v>
      </c>
      <c r="T15" s="6">
        <f t="shared" si="9"/>
        <v>3.2934801428571428E-2</v>
      </c>
      <c r="U15" s="6">
        <f t="shared" si="10"/>
        <v>7.5193610567514682E-2</v>
      </c>
      <c r="V15" s="6">
        <f t="shared" si="4"/>
        <v>3.2407533463626889E-2</v>
      </c>
      <c r="X15" s="34">
        <f t="shared" si="12"/>
        <v>0.54943486815579567</v>
      </c>
      <c r="Y15" s="35">
        <f t="shared" si="13"/>
        <v>10.998333390000001</v>
      </c>
      <c r="Z15" s="35">
        <f t="shared" si="13"/>
        <v>0.65990000339999999</v>
      </c>
      <c r="AA15" s="35">
        <f t="shared" si="13"/>
        <v>1.5066210123287673</v>
      </c>
      <c r="AB15" s="42">
        <f t="shared" ref="AB15:AB24" si="37">I6/H6</f>
        <v>4.2573910373160641E-2</v>
      </c>
      <c r="AC15" s="36">
        <f t="shared" si="14"/>
        <v>0.42146000000000006</v>
      </c>
      <c r="AD15" s="34">
        <f t="shared" si="15"/>
        <v>0.3662899121038638</v>
      </c>
      <c r="AE15" s="35">
        <f t="shared" si="16"/>
        <v>7.7618459599999996</v>
      </c>
      <c r="AF15" s="35">
        <f t="shared" si="16"/>
        <v>0.46571075759999997</v>
      </c>
      <c r="AG15" s="35">
        <f t="shared" si="16"/>
        <v>1.0632665698630137</v>
      </c>
      <c r="AH15" s="42">
        <f t="shared" ref="AH15:AH23" si="38">I20/H20</f>
        <v>7.5836343961662445E-2</v>
      </c>
      <c r="AI15" s="36">
        <f t="shared" ref="AI15:AI23" si="39">R20</f>
        <v>0.52981999999999996</v>
      </c>
      <c r="AJ15" s="34">
        <f t="shared" si="17"/>
        <v>0.27471743407789784</v>
      </c>
      <c r="AK15" s="35">
        <f t="shared" si="18"/>
        <v>5.6176492899999992</v>
      </c>
      <c r="AL15" s="35">
        <f t="shared" si="18"/>
        <v>0.33705895739999991</v>
      </c>
      <c r="AM15" s="35">
        <f t="shared" si="18"/>
        <v>0.76954099863013692</v>
      </c>
      <c r="AN15" s="42">
        <f t="shared" ref="AN15:AN18" si="40">I34/H34</f>
        <v>0.11167453459879481</v>
      </c>
      <c r="AO15" s="36">
        <f t="shared" ref="AO15:AO18" si="41">R34</f>
        <v>0.56467000000000001</v>
      </c>
      <c r="AP15" s="34">
        <f t="shared" si="19"/>
        <v>0.21977394726231828</v>
      </c>
      <c r="AQ15" s="35">
        <f t="shared" si="20"/>
        <v>4.7469363700000011</v>
      </c>
      <c r="AR15" s="35">
        <f t="shared" si="20"/>
        <v>0.28481618220000005</v>
      </c>
      <c r="AS15" s="35">
        <f t="shared" si="20"/>
        <v>0.65026525616438369</v>
      </c>
      <c r="AT15" s="42">
        <f t="shared" ref="AT15:AT17" si="42">I48/H48</f>
        <v>0.13327263748428966</v>
      </c>
      <c r="AU15" s="36">
        <f t="shared" ref="AU15:AU17" si="43">R48</f>
        <v>0.56942999999999999</v>
      </c>
      <c r="AV15" s="34">
        <f t="shared" si="21"/>
        <v>0.1831449560519319</v>
      </c>
      <c r="AW15" s="35">
        <f t="shared" si="22"/>
        <v>4.3860058000000013</v>
      </c>
      <c r="AX15" s="35">
        <f t="shared" si="22"/>
        <v>0.26316034800000004</v>
      </c>
      <c r="AY15" s="35">
        <f t="shared" si="22"/>
        <v>0.60082271232876727</v>
      </c>
      <c r="AZ15" s="42">
        <f t="shared" ref="AZ15:AZ17" si="44">I62/H62</f>
        <v>0.20188712700744715</v>
      </c>
      <c r="BA15" s="36">
        <f t="shared" ref="BA15:BA17" si="45">R62</f>
        <v>0.79701</v>
      </c>
      <c r="BB15" s="34">
        <f t="shared" si="23"/>
        <v>0.15698139090165592</v>
      </c>
      <c r="BC15" s="35">
        <f t="shared" si="24"/>
        <v>4.9138974500000012</v>
      </c>
      <c r="BD15" s="35">
        <f t="shared" si="24"/>
        <v>0.29483384700000004</v>
      </c>
      <c r="BE15" s="35">
        <f t="shared" si="24"/>
        <v>0.67313663698630155</v>
      </c>
      <c r="BF15" s="42">
        <f t="shared" ref="BF15:BF16" si="46">I76/H76</f>
        <v>0.18439050859720321</v>
      </c>
      <c r="BG15" s="36">
        <f t="shared" ref="BG15:BG16" si="47">R76</f>
        <v>0.81555</v>
      </c>
      <c r="BH15" s="34">
        <f t="shared" si="25"/>
        <v>0.13735871703894892</v>
      </c>
      <c r="BI15" s="35">
        <f t="shared" si="26"/>
        <v>3.8416046899999992</v>
      </c>
      <c r="BJ15" s="35">
        <f t="shared" si="26"/>
        <v>0.23049628139999995</v>
      </c>
      <c r="BK15" s="35">
        <f t="shared" si="26"/>
        <v>0.52624721780821904</v>
      </c>
      <c r="BL15" s="42">
        <f t="shared" ref="BL15:BL16" si="48">I90/H90</f>
        <v>0.24163989137570532</v>
      </c>
      <c r="BM15" s="36">
        <f t="shared" ref="BM15:BM16" si="49">R90</f>
        <v>0.83553999999999995</v>
      </c>
      <c r="BN15" s="34">
        <f t="shared" si="27"/>
        <v>0.12209663736795459</v>
      </c>
      <c r="BO15" s="35">
        <f t="shared" si="28"/>
        <v>2.7703340499999989</v>
      </c>
      <c r="BP15" s="35">
        <f t="shared" si="28"/>
        <v>0.16622004299999993</v>
      </c>
      <c r="BQ15" s="35">
        <f t="shared" si="28"/>
        <v>0.37949781506849301</v>
      </c>
      <c r="BR15" s="42">
        <f t="shared" ref="BR15:BR16" si="50">I104/H104</f>
        <v>0.34971025245132453</v>
      </c>
      <c r="BS15" s="36">
        <f t="shared" ref="BS15:BS16" si="51">R104</f>
        <v>0.87202000000000002</v>
      </c>
      <c r="BT15" s="34">
        <f t="shared" si="29"/>
        <v>0.10988697363115914</v>
      </c>
      <c r="BU15" s="35">
        <f t="shared" si="30"/>
        <v>4.1211767300000002</v>
      </c>
      <c r="BV15" s="35">
        <f t="shared" si="30"/>
        <v>0.24727060379999999</v>
      </c>
      <c r="BW15" s="35">
        <f t="shared" si="30"/>
        <v>0.5645447575342466</v>
      </c>
      <c r="BX15" s="42">
        <f t="shared" ref="BX15:BX16" si="52">I118/H118</f>
        <v>0.26971798901718053</v>
      </c>
      <c r="BY15" s="36">
        <f t="shared" ref="BY15:BY16" si="53">R118</f>
        <v>1.0004999999999999</v>
      </c>
      <c r="BZ15" s="34">
        <f t="shared" si="31"/>
        <v>7.3257982420772763E-2</v>
      </c>
      <c r="CA15" s="35">
        <f t="shared" si="32"/>
        <v>5.5105155600000009</v>
      </c>
      <c r="CB15" s="35">
        <f t="shared" si="32"/>
        <v>0.33063093360000007</v>
      </c>
      <c r="CC15" s="35">
        <f t="shared" si="32"/>
        <v>0.75486514520547954</v>
      </c>
      <c r="CD15" s="42">
        <f t="shared" ref="CD15:CD18" si="54">I132/H132</f>
        <v>0.177301833079299</v>
      </c>
      <c r="CE15" s="36">
        <f t="shared" ref="CE15:CE18" si="55">R132</f>
        <v>0.87941000000000003</v>
      </c>
      <c r="CF15" s="34">
        <f t="shared" si="33"/>
        <v>5.4943486815579569E-2</v>
      </c>
      <c r="CG15" s="35">
        <f t="shared" si="34"/>
        <v>4.8633691699999995</v>
      </c>
      <c r="CH15" s="35">
        <f t="shared" si="34"/>
        <v>0.29180215019999994</v>
      </c>
      <c r="CI15" s="35">
        <f t="shared" si="34"/>
        <v>0.66621495479452053</v>
      </c>
      <c r="CJ15" s="42">
        <f t="shared" ref="CJ15:CJ18" si="56">I146/H146</f>
        <v>0.1847482678350737</v>
      </c>
      <c r="CK15" s="36">
        <f t="shared" ref="CK15:CK18" si="57">R146</f>
        <v>0.80873000000000006</v>
      </c>
      <c r="CL15" s="34">
        <f t="shared" si="35"/>
        <v>4.3954789452463651E-2</v>
      </c>
      <c r="CM15" s="35">
        <f t="shared" si="36"/>
        <v>4.3670076999999994</v>
      </c>
      <c r="CN15" s="35">
        <f t="shared" si="36"/>
        <v>0.26202046199999995</v>
      </c>
      <c r="CO15" s="35">
        <f t="shared" si="36"/>
        <v>0.59822023287671222</v>
      </c>
      <c r="CP15" s="42">
        <f t="shared" ref="CP15:CP17" si="58">I160/H160</f>
        <v>0.23750731421884147</v>
      </c>
      <c r="CQ15" s="36">
        <f t="shared" ref="CQ15:CQ17" si="59">R160</f>
        <v>0.93357000000000012</v>
      </c>
    </row>
    <row r="16" spans="2:95" ht="15" thickTop="1" x14ac:dyDescent="0.3">
      <c r="X16" s="34">
        <f t="shared" si="12"/>
        <v>0.47399400856709412</v>
      </c>
      <c r="Y16" s="35">
        <f t="shared" si="13"/>
        <v>10.77543346</v>
      </c>
      <c r="Z16" s="35">
        <f t="shared" si="13"/>
        <v>0.64652600760000001</v>
      </c>
      <c r="AA16" s="35">
        <f t="shared" si="13"/>
        <v>1.4760867753424658</v>
      </c>
      <c r="AB16" s="42">
        <f t="shared" si="37"/>
        <v>6.0730848780165915E-2</v>
      </c>
      <c r="AC16" s="36">
        <f t="shared" si="14"/>
        <v>0.58901999999999999</v>
      </c>
      <c r="AD16" s="34">
        <f t="shared" si="15"/>
        <v>0.31599600571139608</v>
      </c>
      <c r="AE16" s="35">
        <f t="shared" si="16"/>
        <v>7.2482639899999999</v>
      </c>
      <c r="AF16" s="35">
        <f t="shared" si="16"/>
        <v>0.43489583939999998</v>
      </c>
      <c r="AG16" s="35">
        <f t="shared" si="16"/>
        <v>0.99291287534246575</v>
      </c>
      <c r="AH16" s="42">
        <f t="shared" si="38"/>
        <v>8.511072042231177E-2</v>
      </c>
      <c r="AI16" s="36">
        <f t="shared" si="39"/>
        <v>0.55526999999999993</v>
      </c>
      <c r="AJ16" s="34">
        <f t="shared" si="17"/>
        <v>0.23699700428354706</v>
      </c>
      <c r="AK16" s="35">
        <f t="shared" si="18"/>
        <v>5.7530913000000004</v>
      </c>
      <c r="AL16" s="35">
        <f t="shared" si="18"/>
        <v>0.34518547799999999</v>
      </c>
      <c r="AM16" s="35">
        <f t="shared" si="18"/>
        <v>0.78809469863013704</v>
      </c>
      <c r="AN16" s="42">
        <f t="shared" si="40"/>
        <v>7.6861132031747867E-2</v>
      </c>
      <c r="AO16" s="36">
        <f t="shared" si="41"/>
        <v>0.39800999999999997</v>
      </c>
      <c r="AP16" s="34">
        <f t="shared" si="19"/>
        <v>0.18959760342683765</v>
      </c>
      <c r="AQ16" s="35">
        <f t="shared" si="20"/>
        <v>4.2252552099999994</v>
      </c>
      <c r="AR16" s="35">
        <f t="shared" si="20"/>
        <v>0.25351531259999993</v>
      </c>
      <c r="AS16" s="35">
        <f t="shared" si="20"/>
        <v>0.57880208356164375</v>
      </c>
      <c r="AT16" s="42">
        <f t="shared" si="42"/>
        <v>0.14194172663951346</v>
      </c>
      <c r="AU16" s="36">
        <f t="shared" si="43"/>
        <v>0.53981999999999997</v>
      </c>
      <c r="AV16" s="34">
        <f t="shared" si="21"/>
        <v>0.15799800285569804</v>
      </c>
      <c r="AW16" s="35">
        <f t="shared" si="22"/>
        <v>3.7407592200000006</v>
      </c>
      <c r="AX16" s="35">
        <f t="shared" si="22"/>
        <v>0.22444555320000004</v>
      </c>
      <c r="AY16" s="35">
        <f t="shared" si="22"/>
        <v>0.51243276986301378</v>
      </c>
      <c r="AZ16" s="42">
        <f t="shared" si="44"/>
        <v>0.16853478743815006</v>
      </c>
      <c r="BA16" s="36">
        <f t="shared" si="45"/>
        <v>0.56746000000000008</v>
      </c>
      <c r="BB16" s="34">
        <f t="shared" si="23"/>
        <v>0.13542685959059833</v>
      </c>
      <c r="BC16" s="35">
        <f t="shared" si="24"/>
        <v>3.3825283800000006</v>
      </c>
      <c r="BD16" s="35">
        <f t="shared" si="24"/>
        <v>0.20295170280000002</v>
      </c>
      <c r="BE16" s="35">
        <f t="shared" si="24"/>
        <v>0.46336005205479464</v>
      </c>
      <c r="BF16" s="42">
        <f t="shared" si="46"/>
        <v>0.24703571592797691</v>
      </c>
      <c r="BG16" s="36">
        <f t="shared" si="47"/>
        <v>0.75212000000000001</v>
      </c>
      <c r="BH16" s="34">
        <f t="shared" si="25"/>
        <v>0.11849850214177353</v>
      </c>
      <c r="BI16" s="35">
        <f t="shared" si="26"/>
        <v>2.7571242599999994</v>
      </c>
      <c r="BJ16" s="35">
        <f t="shared" si="26"/>
        <v>0.16542745559999997</v>
      </c>
      <c r="BK16" s="35">
        <f t="shared" si="26"/>
        <v>0.37768825479452051</v>
      </c>
      <c r="BL16" s="42">
        <f t="shared" si="48"/>
        <v>0.32497602411289223</v>
      </c>
      <c r="BM16" s="36">
        <f t="shared" si="49"/>
        <v>0.80647999999999997</v>
      </c>
      <c r="BN16" s="34">
        <f t="shared" si="27"/>
        <v>0.1053320019037987</v>
      </c>
      <c r="BO16" s="35">
        <f t="shared" si="28"/>
        <v>2.1608172300000001</v>
      </c>
      <c r="BP16" s="35">
        <f t="shared" si="28"/>
        <v>0.12964903380000001</v>
      </c>
      <c r="BQ16" s="35">
        <f t="shared" si="28"/>
        <v>0.29600236027397264</v>
      </c>
      <c r="BR16" s="42">
        <f t="shared" si="50"/>
        <v>0.46044330644290532</v>
      </c>
      <c r="BS16" s="36">
        <f t="shared" si="51"/>
        <v>0.89552999999999994</v>
      </c>
      <c r="BT16" s="34">
        <f t="shared" si="29"/>
        <v>9.4798801713418826E-2</v>
      </c>
      <c r="BU16" s="35">
        <f t="shared" si="30"/>
        <v>2.7285937799999997</v>
      </c>
      <c r="BV16" s="35">
        <f t="shared" si="30"/>
        <v>0.16371562679999999</v>
      </c>
      <c r="BW16" s="35">
        <f t="shared" si="30"/>
        <v>0.37377996986301365</v>
      </c>
      <c r="BX16" s="42">
        <f t="shared" si="52"/>
        <v>0.30595526022198877</v>
      </c>
      <c r="BY16" s="36">
        <f t="shared" si="53"/>
        <v>0.75141999999999998</v>
      </c>
      <c r="BZ16" s="34">
        <f t="shared" si="31"/>
        <v>6.3199201142279213E-2</v>
      </c>
      <c r="CA16" s="35">
        <f t="shared" si="32"/>
        <v>5.8649912200000003</v>
      </c>
      <c r="CB16" s="35">
        <f t="shared" si="32"/>
        <v>0.35189947319999998</v>
      </c>
      <c r="CC16" s="35">
        <f t="shared" si="32"/>
        <v>0.8034234547945206</v>
      </c>
      <c r="CD16" s="42">
        <f t="shared" si="54"/>
        <v>0.10575068857477336</v>
      </c>
      <c r="CE16" s="36">
        <f t="shared" si="55"/>
        <v>0.55826000000000009</v>
      </c>
      <c r="CF16" s="34">
        <f t="shared" si="33"/>
        <v>4.7399400856709413E-2</v>
      </c>
      <c r="CG16" s="35">
        <f t="shared" si="34"/>
        <v>6.0534723699999997</v>
      </c>
      <c r="CH16" s="35">
        <f t="shared" si="34"/>
        <v>0.36320834219999998</v>
      </c>
      <c r="CI16" s="35">
        <f t="shared" si="34"/>
        <v>0.82924279041095883</v>
      </c>
      <c r="CJ16" s="42">
        <f t="shared" si="56"/>
        <v>0.11166761796915578</v>
      </c>
      <c r="CK16" s="36">
        <f t="shared" si="57"/>
        <v>0.60843999999999998</v>
      </c>
      <c r="CL16" s="34">
        <f t="shared" si="35"/>
        <v>3.7919520685367532E-2</v>
      </c>
      <c r="CM16" s="35">
        <f t="shared" si="36"/>
        <v>4.446999700000001</v>
      </c>
      <c r="CN16" s="35">
        <f t="shared" si="36"/>
        <v>0.26681998200000007</v>
      </c>
      <c r="CO16" s="35">
        <f t="shared" si="36"/>
        <v>0.60917804109589058</v>
      </c>
      <c r="CP16" s="42">
        <f t="shared" si="58"/>
        <v>0.14018787318559972</v>
      </c>
      <c r="CQ16" s="36">
        <f t="shared" si="59"/>
        <v>0.56113000000000002</v>
      </c>
    </row>
    <row r="17" spans="2:95" ht="15" thickBot="1" x14ac:dyDescent="0.35">
      <c r="X17" s="34">
        <f t="shared" si="12"/>
        <v>0.28708665630907115</v>
      </c>
      <c r="Y17" s="35">
        <f t="shared" si="13"/>
        <v>8.746836339999998</v>
      </c>
      <c r="Z17" s="35">
        <f t="shared" si="13"/>
        <v>0.52481018039999983</v>
      </c>
      <c r="AA17" s="35">
        <f t="shared" si="13"/>
        <v>1.1981967589041094</v>
      </c>
      <c r="AB17" s="42">
        <f t="shared" si="37"/>
        <v>4.650486349445062E-2</v>
      </c>
      <c r="AC17" s="36">
        <f t="shared" si="14"/>
        <v>0.36613000000000001</v>
      </c>
      <c r="AD17" s="34">
        <f t="shared" si="15"/>
        <v>0.19139110420604744</v>
      </c>
      <c r="AE17" s="35">
        <f t="shared" si="16"/>
        <v>5.5634880400000002</v>
      </c>
      <c r="AF17" s="35">
        <f t="shared" si="16"/>
        <v>0.33380928240000002</v>
      </c>
      <c r="AG17" s="35">
        <f t="shared" si="16"/>
        <v>0.76212164931506854</v>
      </c>
      <c r="AH17" s="42">
        <f t="shared" si="38"/>
        <v>8.9676973584363079E-2</v>
      </c>
      <c r="AI17" s="36">
        <f t="shared" si="39"/>
        <v>0.44906999999999997</v>
      </c>
      <c r="AJ17" s="34">
        <f t="shared" si="17"/>
        <v>0.14354332815453558</v>
      </c>
      <c r="AK17" s="35">
        <f t="shared" si="18"/>
        <v>3.1824817200000011</v>
      </c>
      <c r="AL17" s="35">
        <f t="shared" si="18"/>
        <v>0.19094890320000005</v>
      </c>
      <c r="AM17" s="35">
        <f t="shared" si="18"/>
        <v>0.43595640000000013</v>
      </c>
      <c r="AN17" s="42">
        <f t="shared" si="40"/>
        <v>0.22109114266962698</v>
      </c>
      <c r="AO17" s="36">
        <f t="shared" si="41"/>
        <v>0.63331999999999999</v>
      </c>
      <c r="AP17" s="34">
        <f t="shared" si="19"/>
        <v>0.11483466252362846</v>
      </c>
      <c r="AQ17" s="35">
        <f t="shared" si="20"/>
        <v>2.1841815600000003</v>
      </c>
      <c r="AR17" s="35">
        <f t="shared" si="20"/>
        <v>0.13105089360000002</v>
      </c>
      <c r="AS17" s="35">
        <f t="shared" si="20"/>
        <v>0.29920295342465758</v>
      </c>
      <c r="AT17" s="42">
        <f t="shared" si="42"/>
        <v>0.30539787177765571</v>
      </c>
      <c r="AU17" s="36">
        <f t="shared" si="43"/>
        <v>0.60040000000000004</v>
      </c>
      <c r="AV17" s="34">
        <f t="shared" si="21"/>
        <v>9.5695552103023718E-2</v>
      </c>
      <c r="AW17" s="35">
        <f t="shared" si="22"/>
        <v>1.054494539999999</v>
      </c>
      <c r="AX17" s="35">
        <f t="shared" si="22"/>
        <v>6.3269672399999935E-2</v>
      </c>
      <c r="AY17" s="35">
        <f t="shared" si="22"/>
        <v>0.14445130684931493</v>
      </c>
      <c r="AZ17" s="42">
        <f t="shared" si="44"/>
        <v>0.73145162989653878</v>
      </c>
      <c r="BA17" s="36">
        <f t="shared" si="45"/>
        <v>0.69425000000000003</v>
      </c>
      <c r="BB17" s="34"/>
      <c r="BC17" s="35"/>
      <c r="BD17" s="35"/>
      <c r="BE17" s="35"/>
      <c r="BF17" s="42"/>
      <c r="BG17" s="36"/>
      <c r="BH17" s="34"/>
      <c r="BI17" s="35"/>
      <c r="BJ17" s="35"/>
      <c r="BK17" s="35"/>
      <c r="BL17" s="42"/>
      <c r="BM17" s="36"/>
      <c r="BN17" s="34"/>
      <c r="BO17" s="35"/>
      <c r="BP17" s="35"/>
      <c r="BQ17" s="35"/>
      <c r="BR17" s="42"/>
      <c r="BS17" s="36"/>
      <c r="BT17" s="34"/>
      <c r="BU17" s="35"/>
      <c r="BV17" s="35"/>
      <c r="BW17" s="35"/>
      <c r="BX17" s="42"/>
      <c r="BY17" s="36"/>
      <c r="BZ17" s="34">
        <f t="shared" si="31"/>
        <v>3.8278220841209486E-2</v>
      </c>
      <c r="CA17" s="35">
        <f t="shared" si="32"/>
        <v>4.7336599200000009</v>
      </c>
      <c r="CB17" s="35">
        <f t="shared" si="32"/>
        <v>0.28401959520000003</v>
      </c>
      <c r="CC17" s="35">
        <f t="shared" si="32"/>
        <v>0.64844656438356174</v>
      </c>
      <c r="CD17" s="42">
        <f t="shared" si="54"/>
        <v>0.1464541204303498</v>
      </c>
      <c r="CE17" s="36">
        <f t="shared" si="55"/>
        <v>0.624</v>
      </c>
      <c r="CF17" s="34">
        <f t="shared" si="33"/>
        <v>2.8708665630907116E-2</v>
      </c>
      <c r="CG17" s="35">
        <f t="shared" si="34"/>
        <v>4.0218533299999999</v>
      </c>
      <c r="CH17" s="35">
        <f t="shared" si="34"/>
        <v>0.24131119979999999</v>
      </c>
      <c r="CI17" s="35">
        <f t="shared" si="34"/>
        <v>0.55093881232876707</v>
      </c>
      <c r="CJ17" s="42">
        <f t="shared" si="56"/>
        <v>0.23328535951359522</v>
      </c>
      <c r="CK17" s="36">
        <f t="shared" si="57"/>
        <v>0.84450000000000003</v>
      </c>
      <c r="CL17" s="34">
        <f t="shared" si="35"/>
        <v>2.2966932504725691E-2</v>
      </c>
      <c r="CM17" s="35">
        <f t="shared" si="36"/>
        <v>2.8473152400000004</v>
      </c>
      <c r="CN17" s="35">
        <f t="shared" si="36"/>
        <v>0.17083891440000001</v>
      </c>
      <c r="CO17" s="35">
        <f t="shared" si="36"/>
        <v>0.39004318356164391</v>
      </c>
      <c r="CP17" s="42">
        <f t="shared" si="58"/>
        <v>0.25037848636668691</v>
      </c>
      <c r="CQ17" s="36">
        <f t="shared" si="59"/>
        <v>0.64168000000000003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0.20749571255129784</v>
      </c>
      <c r="Y18" s="35">
        <f t="shared" si="13"/>
        <v>5.8091412499999997</v>
      </c>
      <c r="Z18" s="35">
        <f t="shared" si="13"/>
        <v>0.34854847499999997</v>
      </c>
      <c r="AA18" s="35">
        <f t="shared" si="13"/>
        <v>0.79577277397260271</v>
      </c>
      <c r="AB18" s="42">
        <f t="shared" si="37"/>
        <v>7.8552235237867571E-2</v>
      </c>
      <c r="AC18" s="36">
        <f t="shared" si="14"/>
        <v>0.41073000000000004</v>
      </c>
      <c r="AD18" s="34">
        <f t="shared" si="15"/>
        <v>0.13833047503419857</v>
      </c>
      <c r="AE18" s="35">
        <f t="shared" si="16"/>
        <v>3.2757946100000006</v>
      </c>
      <c r="AF18" s="35">
        <f t="shared" si="16"/>
        <v>0.19654767660000003</v>
      </c>
      <c r="AG18" s="35">
        <f t="shared" si="16"/>
        <v>0.44873898767123299</v>
      </c>
      <c r="AH18" s="42">
        <f t="shared" si="38"/>
        <v>0.16107457665057948</v>
      </c>
      <c r="AI18" s="36">
        <f t="shared" si="39"/>
        <v>0.47493000000000002</v>
      </c>
      <c r="AJ18" s="34">
        <f t="shared" si="17"/>
        <v>0.10374785627564892</v>
      </c>
      <c r="AK18" s="35">
        <f t="shared" si="18"/>
        <v>2.2452643399999999</v>
      </c>
      <c r="AL18" s="35">
        <f t="shared" si="18"/>
        <v>0.1347158604</v>
      </c>
      <c r="AM18" s="35">
        <f t="shared" si="18"/>
        <v>0.30757045753424656</v>
      </c>
      <c r="AN18" s="42">
        <f t="shared" si="40"/>
        <v>0.25901313250269675</v>
      </c>
      <c r="AO18" s="36">
        <f t="shared" si="41"/>
        <v>0.52344999999999997</v>
      </c>
      <c r="AP18" s="34"/>
      <c r="AQ18" s="35"/>
      <c r="AR18" s="35"/>
      <c r="AS18" s="35"/>
      <c r="AT18" s="42"/>
      <c r="AU18" s="36"/>
      <c r="AV18" s="34"/>
      <c r="AW18" s="35"/>
      <c r="AX18" s="35"/>
      <c r="AY18" s="35"/>
      <c r="AZ18" s="42"/>
      <c r="BA18" s="36"/>
      <c r="BB18" s="34"/>
      <c r="BC18" s="35"/>
      <c r="BD18" s="35"/>
      <c r="BE18" s="35"/>
      <c r="BF18" s="42"/>
      <c r="BG18" s="36"/>
      <c r="BH18" s="34"/>
      <c r="BI18" s="35"/>
      <c r="BJ18" s="35"/>
      <c r="BK18" s="35"/>
      <c r="BL18" s="42"/>
      <c r="BM18" s="36"/>
      <c r="BN18" s="34"/>
      <c r="BO18" s="35"/>
      <c r="BP18" s="35"/>
      <c r="BQ18" s="35"/>
      <c r="BR18" s="42"/>
      <c r="BS18" s="36"/>
      <c r="BT18" s="34"/>
      <c r="BU18" s="35"/>
      <c r="BV18" s="35"/>
      <c r="BW18" s="35"/>
      <c r="BX18" s="42"/>
      <c r="BY18" s="36"/>
      <c r="BZ18" s="34">
        <f t="shared" si="31"/>
        <v>2.7666095006839711E-2</v>
      </c>
      <c r="CA18" s="35">
        <f t="shared" si="32"/>
        <v>3.2543745299999998</v>
      </c>
      <c r="CB18" s="35">
        <f t="shared" si="32"/>
        <v>0.19526247179999998</v>
      </c>
      <c r="CC18" s="35">
        <f t="shared" si="32"/>
        <v>0.44580473013698629</v>
      </c>
      <c r="CD18" s="42">
        <f t="shared" si="54"/>
        <v>0.21572222051528903</v>
      </c>
      <c r="CE18" s="36">
        <f t="shared" si="55"/>
        <v>0.63190000000000002</v>
      </c>
      <c r="CF18" s="34">
        <f t="shared" si="33"/>
        <v>2.0749571255129783E-2</v>
      </c>
      <c r="CG18" s="35">
        <f t="shared" si="34"/>
        <v>2.3093690400000004</v>
      </c>
      <c r="CH18" s="35">
        <f t="shared" si="34"/>
        <v>0.13856214240000003</v>
      </c>
      <c r="CI18" s="35">
        <f t="shared" si="34"/>
        <v>0.31635192328767131</v>
      </c>
      <c r="CJ18" s="42">
        <f t="shared" si="56"/>
        <v>0.32778162644806214</v>
      </c>
      <c r="CK18" s="36">
        <f t="shared" si="57"/>
        <v>0.68133999999999995</v>
      </c>
      <c r="CL18" s="34"/>
      <c r="CM18" s="35"/>
      <c r="CN18" s="35"/>
      <c r="CO18" s="35"/>
      <c r="CP18" s="42"/>
      <c r="CQ18" s="36"/>
    </row>
    <row r="19" spans="2:95" ht="15" thickTop="1" x14ac:dyDescent="0.3">
      <c r="B19">
        <v>1</v>
      </c>
      <c r="C19">
        <v>-9718.1</v>
      </c>
      <c r="D19">
        <v>38823.5</v>
      </c>
      <c r="E19">
        <v>11108.1</v>
      </c>
      <c r="F19">
        <f t="shared" ref="F19:F29" si="60">D19/10000</f>
        <v>3.8823500000000002</v>
      </c>
      <c r="G19">
        <f t="shared" ref="G19:G29" si="61">C19/10000</f>
        <v>-0.97181000000000006</v>
      </c>
      <c r="H19">
        <f t="shared" ref="H19:H29" si="62">F19-G19</f>
        <v>4.8541600000000003</v>
      </c>
      <c r="I19">
        <f>E19/10000</f>
        <v>1.1108100000000001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0.41293583862511801</v>
      </c>
      <c r="P19" s="2">
        <v>3</v>
      </c>
      <c r="Q19" s="8">
        <f>H19</f>
        <v>4.8541600000000003</v>
      </c>
      <c r="R19" s="8">
        <f>I19</f>
        <v>1.1108100000000001</v>
      </c>
      <c r="S19" s="8">
        <f>Q19/10^6*$Z$4*$Z$3/P19*10^12</f>
        <v>5.3929717600000009</v>
      </c>
      <c r="T19" s="8">
        <f>S19*0.06</f>
        <v>0.32357830560000006</v>
      </c>
      <c r="U19" s="8">
        <f>S19/$Z$1</f>
        <v>0.73876325479452065</v>
      </c>
      <c r="V19" s="12">
        <f t="shared" ref="V19:V29" si="63">O19</f>
        <v>0.41293583862511801</v>
      </c>
      <c r="W19" s="19"/>
      <c r="X19" s="34">
        <f t="shared" si="12"/>
        <v>0.14362698913117394</v>
      </c>
      <c r="Y19" s="35">
        <f t="shared" si="13"/>
        <v>3.8593473600000001</v>
      </c>
      <c r="Z19" s="35">
        <f t="shared" si="13"/>
        <v>0.23156084160000001</v>
      </c>
      <c r="AA19" s="35">
        <f t="shared" si="13"/>
        <v>0.52867772054794526</v>
      </c>
      <c r="AB19" s="42">
        <f t="shared" si="37"/>
        <v>9.2271054995163734E-2</v>
      </c>
      <c r="AC19" s="36">
        <f t="shared" si="14"/>
        <v>0.42736999999999997</v>
      </c>
      <c r="AD19" s="34">
        <f t="shared" si="15"/>
        <v>9.5751326087449296E-2</v>
      </c>
      <c r="AE19" s="35">
        <f t="shared" si="16"/>
        <v>2.3717961299999999</v>
      </c>
      <c r="AF19" s="35">
        <f t="shared" si="16"/>
        <v>0.14230776779999998</v>
      </c>
      <c r="AG19" s="35">
        <f t="shared" si="16"/>
        <v>0.32490357945205478</v>
      </c>
      <c r="AH19" s="42">
        <f t="shared" si="38"/>
        <v>0.18042537344893969</v>
      </c>
      <c r="AI19" s="36">
        <f t="shared" si="39"/>
        <v>0.51356999999999997</v>
      </c>
      <c r="AJ19" s="34"/>
      <c r="AK19" s="35"/>
      <c r="AL19" s="35"/>
      <c r="AM19" s="35"/>
      <c r="AN19" s="42"/>
      <c r="AO19" s="36"/>
      <c r="AP19" s="34"/>
      <c r="AQ19" s="35"/>
      <c r="AR19" s="35"/>
      <c r="AS19" s="35"/>
      <c r="AT19" s="42"/>
      <c r="AU19" s="36"/>
      <c r="AV19" s="34"/>
      <c r="AW19" s="35"/>
      <c r="AX19" s="35"/>
      <c r="AY19" s="35"/>
      <c r="AZ19" s="42"/>
      <c r="BA19" s="36"/>
      <c r="BB19" s="34"/>
      <c r="BC19" s="35"/>
      <c r="BD19" s="35"/>
      <c r="BE19" s="35"/>
      <c r="BF19" s="42"/>
      <c r="BG19" s="36"/>
      <c r="BH19" s="34"/>
      <c r="BI19" s="35"/>
      <c r="BJ19" s="35"/>
      <c r="BK19" s="35"/>
      <c r="BL19" s="42"/>
      <c r="BM19" s="36"/>
      <c r="BN19" s="34"/>
      <c r="BO19" s="35"/>
      <c r="BP19" s="35"/>
      <c r="BQ19" s="35"/>
      <c r="BR19" s="42"/>
      <c r="BS19" s="36"/>
      <c r="BT19" s="34"/>
      <c r="BU19" s="35"/>
      <c r="BV19" s="35"/>
      <c r="BW19" s="35"/>
      <c r="BX19" s="42"/>
      <c r="BY19" s="36"/>
      <c r="BZ19" s="34"/>
      <c r="CA19" s="35"/>
      <c r="CB19" s="35"/>
      <c r="CC19" s="35"/>
      <c r="CD19" s="42"/>
      <c r="CE19" s="36"/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-10664.9</v>
      </c>
      <c r="D20">
        <v>59198.7</v>
      </c>
      <c r="E20">
        <v>5298.2</v>
      </c>
      <c r="F20">
        <f t="shared" si="60"/>
        <v>5.9198699999999995</v>
      </c>
      <c r="G20">
        <f t="shared" si="61"/>
        <v>-1.0664899999999999</v>
      </c>
      <c r="H20">
        <f t="shared" si="62"/>
        <v>6.9863599999999995</v>
      </c>
      <c r="I20">
        <f t="shared" ref="I20:I29" si="64">E20/10000</f>
        <v>0.52981999999999996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0.3662899121038638</v>
      </c>
      <c r="P20" s="4">
        <v>3</v>
      </c>
      <c r="Q20" s="5">
        <f t="shared" ref="Q20:R29" si="67">H20</f>
        <v>6.9863599999999995</v>
      </c>
      <c r="R20" s="5">
        <f t="shared" si="67"/>
        <v>0.52981999999999996</v>
      </c>
      <c r="S20" s="5">
        <f t="shared" ref="S20:S29" si="68">Q20/10^6*$Z$4*$Z$3/P20*10^12</f>
        <v>7.7618459599999996</v>
      </c>
      <c r="T20" s="5">
        <f t="shared" ref="T20:T29" si="69">S20*0.06</f>
        <v>0.46571075759999997</v>
      </c>
      <c r="U20" s="5">
        <f t="shared" ref="U20:U29" si="70">S20/$Z$1</f>
        <v>1.0632665698630137</v>
      </c>
      <c r="V20" s="5">
        <f t="shared" si="63"/>
        <v>0.3662899121038638</v>
      </c>
      <c r="W20" s="19"/>
      <c r="X20" s="34">
        <f t="shared" si="12"/>
        <v>0.10383026745031791</v>
      </c>
      <c r="Y20" s="35">
        <f t="shared" si="13"/>
        <v>3.2503332675000003</v>
      </c>
      <c r="Z20" s="35">
        <f t="shared" si="13"/>
        <v>0.19501999605000001</v>
      </c>
      <c r="AA20" s="35">
        <f t="shared" si="13"/>
        <v>0.44525113253424664</v>
      </c>
      <c r="AB20" s="42">
        <f t="shared" si="37"/>
        <v>0.11747363995498349</v>
      </c>
      <c r="AC20" s="36">
        <f t="shared" si="14"/>
        <v>0.45823999999999998</v>
      </c>
      <c r="AD20" s="34">
        <f t="shared" si="15"/>
        <v>6.9220178300211946E-2</v>
      </c>
      <c r="AE20" s="35">
        <f t="shared" si="16"/>
        <v>1.9715028300000002</v>
      </c>
      <c r="AF20" s="35">
        <f t="shared" si="16"/>
        <v>0.11829016980000001</v>
      </c>
      <c r="AG20" s="35">
        <f t="shared" si="16"/>
        <v>0.27006888082191782</v>
      </c>
      <c r="AH20" s="42">
        <f t="shared" si="38"/>
        <v>0.19664502713394533</v>
      </c>
      <c r="AI20" s="36">
        <f t="shared" si="39"/>
        <v>0.46526999999999996</v>
      </c>
      <c r="AJ20" s="34"/>
      <c r="AK20" s="35"/>
      <c r="AL20" s="35"/>
      <c r="AM20" s="35"/>
      <c r="AN20" s="42"/>
      <c r="AO20" s="36"/>
      <c r="AP20" s="34"/>
      <c r="AQ20" s="35"/>
      <c r="AR20" s="35"/>
      <c r="AS20" s="35"/>
      <c r="AT20" s="42"/>
      <c r="AU20" s="36"/>
      <c r="AV20" s="34"/>
      <c r="AW20" s="35"/>
      <c r="AX20" s="35"/>
      <c r="AY20" s="35"/>
      <c r="AZ20" s="42"/>
      <c r="BA20" s="36"/>
      <c r="BB20" s="34"/>
      <c r="BC20" s="35"/>
      <c r="BD20" s="35"/>
      <c r="BE20" s="35"/>
      <c r="BF20" s="42"/>
      <c r="BG20" s="36"/>
      <c r="BH20" s="34"/>
      <c r="BI20" s="35"/>
      <c r="BJ20" s="35"/>
      <c r="BK20" s="35"/>
      <c r="BL20" s="42"/>
      <c r="BM20" s="36"/>
      <c r="BN20" s="34"/>
      <c r="BO20" s="35"/>
      <c r="BP20" s="35"/>
      <c r="BQ20" s="35"/>
      <c r="BR20" s="42"/>
      <c r="BS20" s="36"/>
      <c r="BT20" s="34"/>
      <c r="BU20" s="35"/>
      <c r="BV20" s="35"/>
      <c r="BW20" s="35"/>
      <c r="BX20" s="42"/>
      <c r="BY20" s="36"/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-10512.2</v>
      </c>
      <c r="D21">
        <v>54728.7</v>
      </c>
      <c r="E21">
        <v>5552.7</v>
      </c>
      <c r="F21">
        <f t="shared" si="60"/>
        <v>5.4728699999999995</v>
      </c>
      <c r="G21">
        <f t="shared" si="61"/>
        <v>-1.05122</v>
      </c>
      <c r="H21">
        <f t="shared" si="62"/>
        <v>6.5240899999999993</v>
      </c>
      <c r="I21">
        <f t="shared" si="64"/>
        <v>0.55526999999999993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0.31599600571139608</v>
      </c>
      <c r="P21" s="4">
        <v>3</v>
      </c>
      <c r="Q21" s="5">
        <f t="shared" si="67"/>
        <v>6.5240899999999993</v>
      </c>
      <c r="R21" s="5">
        <f t="shared" si="67"/>
        <v>0.55526999999999993</v>
      </c>
      <c r="S21" s="5">
        <f t="shared" si="68"/>
        <v>7.2482639899999999</v>
      </c>
      <c r="T21" s="5">
        <f t="shared" si="69"/>
        <v>0.43489583939999998</v>
      </c>
      <c r="U21" s="5">
        <f t="shared" si="70"/>
        <v>0.99291287534246575</v>
      </c>
      <c r="V21" s="5">
        <f t="shared" si="63"/>
        <v>0.31599600571139608</v>
      </c>
      <c r="W21" s="19"/>
      <c r="X21" s="34">
        <f t="shared" si="12"/>
        <v>8.7073679977753712E-2</v>
      </c>
      <c r="Y21" s="35">
        <f t="shared" si="13"/>
        <v>2.1325400580000005</v>
      </c>
      <c r="Z21" s="35">
        <f t="shared" si="13"/>
        <v>0.12795240348000003</v>
      </c>
      <c r="AA21" s="35">
        <f t="shared" si="13"/>
        <v>0.29212877506849322</v>
      </c>
      <c r="AB21" s="42">
        <f t="shared" si="37"/>
        <v>0.20422427347435082</v>
      </c>
      <c r="AC21" s="36">
        <f t="shared" si="14"/>
        <v>0.65333999999999992</v>
      </c>
      <c r="AD21" s="34">
        <f t="shared" si="15"/>
        <v>5.8049119985169144E-2</v>
      </c>
      <c r="AE21" s="35">
        <f t="shared" si="16"/>
        <v>1.4533079880000002</v>
      </c>
      <c r="AF21" s="35">
        <f t="shared" si="16"/>
        <v>8.7198479280000005E-2</v>
      </c>
      <c r="AG21" s="35">
        <f t="shared" si="16"/>
        <v>0.19908328602739728</v>
      </c>
      <c r="AH21" s="42">
        <f t="shared" si="38"/>
        <v>0.28734324688787166</v>
      </c>
      <c r="AI21" s="36">
        <f t="shared" si="39"/>
        <v>0.62646000000000002</v>
      </c>
      <c r="AJ21" s="34"/>
      <c r="AK21" s="35"/>
      <c r="AL21" s="35"/>
      <c r="AM21" s="35"/>
      <c r="AN21" s="42"/>
      <c r="AO21" s="36"/>
      <c r="AP21" s="34"/>
      <c r="AQ21" s="35"/>
      <c r="AR21" s="35"/>
      <c r="AS21" s="35"/>
      <c r="AT21" s="42"/>
      <c r="AU21" s="36"/>
      <c r="AV21" s="34"/>
      <c r="AW21" s="35"/>
      <c r="AX21" s="35"/>
      <c r="AY21" s="35"/>
      <c r="AZ21" s="42"/>
      <c r="BA21" s="36"/>
      <c r="BB21" s="34"/>
      <c r="BC21" s="35"/>
      <c r="BD21" s="35"/>
      <c r="BE21" s="35"/>
      <c r="BF21" s="42"/>
      <c r="BG21" s="36"/>
      <c r="BH21" s="34"/>
      <c r="BI21" s="35"/>
      <c r="BJ21" s="35"/>
      <c r="BK21" s="35"/>
      <c r="BL21" s="42"/>
      <c r="BM21" s="36"/>
      <c r="BN21" s="34"/>
      <c r="BO21" s="35"/>
      <c r="BP21" s="35"/>
      <c r="BQ21" s="35"/>
      <c r="BR21" s="42"/>
      <c r="BS21" s="36"/>
      <c r="BT21" s="34"/>
      <c r="BU21" s="35"/>
      <c r="BV21" s="35"/>
      <c r="BW21" s="35"/>
      <c r="BX21" s="42"/>
      <c r="BY21" s="36"/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-11191.6</v>
      </c>
      <c r="D22">
        <v>38884.800000000003</v>
      </c>
      <c r="E22">
        <v>4490.7</v>
      </c>
      <c r="F22">
        <f t="shared" si="60"/>
        <v>3.8884800000000004</v>
      </c>
      <c r="G22">
        <f t="shared" si="61"/>
        <v>-1.1191599999999999</v>
      </c>
      <c r="H22">
        <f t="shared" si="62"/>
        <v>5.0076400000000003</v>
      </c>
      <c r="I22">
        <f t="shared" si="64"/>
        <v>0.44906999999999997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0.19139110420604744</v>
      </c>
      <c r="P22" s="4">
        <v>3</v>
      </c>
      <c r="Q22" s="5">
        <f t="shared" si="67"/>
        <v>5.0076400000000003</v>
      </c>
      <c r="R22" s="5">
        <f t="shared" si="67"/>
        <v>0.44906999999999997</v>
      </c>
      <c r="S22" s="5">
        <f t="shared" si="68"/>
        <v>5.5634880400000002</v>
      </c>
      <c r="T22" s="5">
        <f t="shared" si="69"/>
        <v>0.33380928240000002</v>
      </c>
      <c r="U22" s="5">
        <f t="shared" si="70"/>
        <v>0.76212164931506854</v>
      </c>
      <c r="V22" s="5">
        <f t="shared" si="63"/>
        <v>0.19139110420604744</v>
      </c>
      <c r="W22" s="19"/>
      <c r="X22" s="34">
        <f t="shared" si="12"/>
        <v>7.0175194508084252E-2</v>
      </c>
      <c r="Y22" s="35">
        <f t="shared" si="13"/>
        <v>1.6766281537499998</v>
      </c>
      <c r="Z22" s="35">
        <f t="shared" si="13"/>
        <v>0.10059768922499998</v>
      </c>
      <c r="AA22" s="35">
        <f t="shared" si="13"/>
        <v>0.22967508955479451</v>
      </c>
      <c r="AB22" s="42">
        <f t="shared" si="37"/>
        <v>0.23813771801874109</v>
      </c>
      <c r="AC22" s="36">
        <f t="shared" si="14"/>
        <v>0.95833999999999997</v>
      </c>
      <c r="AD22" s="34">
        <f t="shared" si="15"/>
        <v>4.6783463005389499E-2</v>
      </c>
      <c r="AE22" s="35">
        <f t="shared" si="16"/>
        <v>0.77469335625000002</v>
      </c>
      <c r="AF22" s="35">
        <f t="shared" si="16"/>
        <v>4.6481601375000001E-2</v>
      </c>
      <c r="AG22" s="35">
        <f t="shared" si="16"/>
        <v>0.10612237756849316</v>
      </c>
      <c r="AH22" s="42">
        <f t="shared" si="38"/>
        <v>0.30904299658501166</v>
      </c>
      <c r="AI22" s="36">
        <f t="shared" si="39"/>
        <v>0.57464999999999999</v>
      </c>
      <c r="AJ22" s="34"/>
      <c r="AK22" s="35"/>
      <c r="AL22" s="35"/>
      <c r="AM22" s="35"/>
      <c r="AN22" s="42"/>
      <c r="AO22" s="36"/>
      <c r="AP22" s="34"/>
      <c r="AQ22" s="35"/>
      <c r="AR22" s="35"/>
      <c r="AS22" s="35"/>
      <c r="AT22" s="42"/>
      <c r="AU22" s="36"/>
      <c r="AV22" s="34"/>
      <c r="AW22" s="35"/>
      <c r="AX22" s="35"/>
      <c r="AY22" s="35"/>
      <c r="AZ22" s="42"/>
      <c r="BA22" s="36"/>
      <c r="BB22" s="34"/>
      <c r="BC22" s="35"/>
      <c r="BD22" s="35"/>
      <c r="BE22" s="35"/>
      <c r="BF22" s="42"/>
      <c r="BG22" s="36"/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-12812.4</v>
      </c>
      <c r="D23">
        <v>16672.7</v>
      </c>
      <c r="E23">
        <v>4749.3</v>
      </c>
      <c r="F23">
        <f t="shared" si="60"/>
        <v>1.66727</v>
      </c>
      <c r="G23">
        <f t="shared" si="61"/>
        <v>-1.2812399999999999</v>
      </c>
      <c r="H23">
        <f t="shared" si="62"/>
        <v>2.9485099999999997</v>
      </c>
      <c r="I23">
        <f t="shared" si="64"/>
        <v>0.47493000000000002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0.13833047503419857</v>
      </c>
      <c r="P23" s="4">
        <v>3</v>
      </c>
      <c r="Q23" s="5">
        <f t="shared" si="67"/>
        <v>2.9485099999999997</v>
      </c>
      <c r="R23" s="5">
        <f t="shared" si="67"/>
        <v>0.47493000000000002</v>
      </c>
      <c r="S23" s="5">
        <f t="shared" si="68"/>
        <v>3.2757946100000006</v>
      </c>
      <c r="T23" s="5">
        <f t="shared" si="69"/>
        <v>0.19654767660000003</v>
      </c>
      <c r="U23" s="5">
        <f t="shared" si="70"/>
        <v>0.44873898767123299</v>
      </c>
      <c r="V23" s="5">
        <f t="shared" si="63"/>
        <v>0.13833047503419857</v>
      </c>
      <c r="W23" s="19"/>
      <c r="X23" s="34">
        <f t="shared" si="12"/>
        <v>5.0253741722737791E-2</v>
      </c>
      <c r="Y23" s="35">
        <f t="shared" si="13"/>
        <v>0.98849399785714298</v>
      </c>
      <c r="Z23" s="35">
        <f t="shared" si="13"/>
        <v>5.9309639871428579E-2</v>
      </c>
      <c r="AA23" s="35">
        <f t="shared" si="13"/>
        <v>0.13541013669275931</v>
      </c>
      <c r="AB23" s="42">
        <f t="shared" si="37"/>
        <v>0.1916817795375341</v>
      </c>
      <c r="AC23" s="36">
        <f t="shared" si="14"/>
        <v>0.79588000000000003</v>
      </c>
      <c r="AD23" s="34">
        <f t="shared" si="15"/>
        <v>3.3502494481825192E-2</v>
      </c>
      <c r="AE23" s="35">
        <f t="shared" si="16"/>
        <v>0.5652744192857142</v>
      </c>
      <c r="AF23" s="35">
        <f t="shared" si="16"/>
        <v>3.3916465157142854E-2</v>
      </c>
      <c r="AG23" s="35">
        <f t="shared" si="16"/>
        <v>7.7434851956947159E-2</v>
      </c>
      <c r="AH23" s="42">
        <f t="shared" si="38"/>
        <v>0.24415955255876245</v>
      </c>
      <c r="AI23" s="36">
        <f t="shared" si="39"/>
        <v>0.57972999999999997</v>
      </c>
      <c r="AJ23" s="34"/>
      <c r="AK23" s="35"/>
      <c r="AL23" s="35"/>
      <c r="AM23" s="35"/>
      <c r="AN23" s="42"/>
      <c r="AO23" s="36"/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-14118.2</v>
      </c>
      <c r="D24">
        <v>14346.2</v>
      </c>
      <c r="E24">
        <v>5135.7</v>
      </c>
      <c r="F24">
        <f t="shared" si="60"/>
        <v>1.43462</v>
      </c>
      <c r="G24">
        <f t="shared" si="61"/>
        <v>-1.4118200000000001</v>
      </c>
      <c r="H24">
        <f t="shared" si="62"/>
        <v>2.8464400000000003</v>
      </c>
      <c r="I24">
        <f t="shared" si="64"/>
        <v>0.51356999999999997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9.5751326087449296E-2</v>
      </c>
      <c r="P24" s="4">
        <v>4</v>
      </c>
      <c r="Q24" s="5">
        <f t="shared" si="67"/>
        <v>2.8464400000000003</v>
      </c>
      <c r="R24" s="5">
        <f t="shared" si="67"/>
        <v>0.51356999999999997</v>
      </c>
      <c r="S24" s="5">
        <f t="shared" si="68"/>
        <v>2.3717961299999999</v>
      </c>
      <c r="T24" s="5">
        <f t="shared" si="69"/>
        <v>0.14230776779999998</v>
      </c>
      <c r="U24" s="5">
        <f t="shared" si="70"/>
        <v>0.32490357945205478</v>
      </c>
      <c r="V24" s="5">
        <f t="shared" si="63"/>
        <v>9.5751326087449296E-2</v>
      </c>
      <c r="W24" s="19"/>
      <c r="X24" s="37">
        <f t="shared" si="12"/>
        <v>3.2407533463626889E-2</v>
      </c>
      <c r="Y24" s="38">
        <f t="shared" si="13"/>
        <v>0.54891335714285716</v>
      </c>
      <c r="Z24" s="38">
        <f t="shared" si="13"/>
        <v>3.2934801428571428E-2</v>
      </c>
      <c r="AA24" s="38">
        <f t="shared" si="13"/>
        <v>7.5193610567514682E-2</v>
      </c>
      <c r="AB24" s="43">
        <f t="shared" si="37"/>
        <v>0.16648836200665029</v>
      </c>
      <c r="AC24" s="39">
        <f t="shared" si="14"/>
        <v>0.57579999999999998</v>
      </c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-16149.3</v>
      </c>
      <c r="D25">
        <v>7511.1</v>
      </c>
      <c r="E25">
        <v>4652.7</v>
      </c>
      <c r="F25">
        <f t="shared" si="60"/>
        <v>0.75111000000000006</v>
      </c>
      <c r="G25">
        <f t="shared" si="61"/>
        <v>-1.61493</v>
      </c>
      <c r="H25">
        <f t="shared" si="62"/>
        <v>2.3660399999999999</v>
      </c>
      <c r="I25">
        <f t="shared" si="64"/>
        <v>0.46526999999999996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6.9220178300211946E-2</v>
      </c>
      <c r="P25" s="4">
        <v>4</v>
      </c>
      <c r="Q25" s="5">
        <f t="shared" si="67"/>
        <v>2.3660399999999999</v>
      </c>
      <c r="R25" s="5">
        <f t="shared" si="67"/>
        <v>0.46526999999999996</v>
      </c>
      <c r="S25" s="5">
        <f t="shared" si="68"/>
        <v>1.9715028300000002</v>
      </c>
      <c r="T25" s="5">
        <f t="shared" si="69"/>
        <v>0.11829016980000001</v>
      </c>
      <c r="U25" s="5">
        <f t="shared" si="70"/>
        <v>0.27006888082191782</v>
      </c>
      <c r="V25" s="5">
        <f t="shared" si="63"/>
        <v>6.9220178300211946E-2</v>
      </c>
      <c r="W25" s="19"/>
      <c r="X25" s="20"/>
      <c r="Y25" s="21"/>
      <c r="Z25" s="18"/>
      <c r="AA25" s="22">
        <f>MAX(AA14:AA24)</f>
        <v>1.5066210123287673</v>
      </c>
      <c r="AB25" s="17"/>
      <c r="AC25" s="26">
        <f>MIN(AC14:AC24)</f>
        <v>0.36613000000000001</v>
      </c>
      <c r="AG25" s="22">
        <f>MAX(AG14:AG24)</f>
        <v>1.0632665698630137</v>
      </c>
      <c r="AI25" s="26">
        <f>MIN(AI14:AI24)</f>
        <v>0.44906999999999997</v>
      </c>
      <c r="AM25" s="22">
        <f>MAX(AM14:AM24)</f>
        <v>0.78809469863013704</v>
      </c>
      <c r="AO25" s="26">
        <f>MIN(AO14:AO24)</f>
        <v>0.39800999999999997</v>
      </c>
      <c r="AS25" s="22">
        <f>MAX(AS14:AS24)</f>
        <v>0.65026525616438369</v>
      </c>
      <c r="AU25" s="26">
        <f>MIN(AU14:AU24)</f>
        <v>0.53981999999999997</v>
      </c>
      <c r="AY25" s="22">
        <f>MAX(AY14:AY24)</f>
        <v>0.61699308904109584</v>
      </c>
      <c r="BA25" s="26">
        <f>MIN(BA14:BA24)</f>
        <v>0.56746000000000008</v>
      </c>
      <c r="BE25" s="22">
        <f>MAX(BE14:BE24)</f>
        <v>0.67622308630136985</v>
      </c>
      <c r="BG25" s="26">
        <f>MIN(BG14:BG24)</f>
        <v>0.75212000000000001</v>
      </c>
      <c r="BK25" s="22">
        <f>MAX(BK14:BK24)</f>
        <v>0.52624721780821904</v>
      </c>
      <c r="BM25" s="26">
        <f>MIN(BM14:BM24)</f>
        <v>0.80647999999999997</v>
      </c>
      <c r="BQ25" s="22">
        <f>MAX(BQ14:BQ24)</f>
        <v>0.38579703287671263</v>
      </c>
      <c r="BS25" s="26">
        <f>MIN(BS14:BS24)</f>
        <v>0.87202000000000002</v>
      </c>
      <c r="BW25" s="22">
        <f>MAX(BW14:BW24)</f>
        <v>0.5645447575342466</v>
      </c>
      <c r="BY25" s="26">
        <f>MIN(BY14:BY24)</f>
        <v>0.75141999999999998</v>
      </c>
      <c r="CC25" s="22">
        <f>MAX(CC14:CC24)</f>
        <v>0.8034234547945206</v>
      </c>
      <c r="CE25" s="26">
        <f>MIN(CE14:CE24)</f>
        <v>0.55826000000000009</v>
      </c>
      <c r="CI25" s="22">
        <f>MAX(CI14:CI24)</f>
        <v>0.82924279041095883</v>
      </c>
      <c r="CK25" s="26">
        <f>MIN(CK14:CK24)</f>
        <v>0.60843999999999998</v>
      </c>
      <c r="CO25" s="22">
        <f>MAX(CO14:CO24)</f>
        <v>0.60917804109589058</v>
      </c>
      <c r="CQ25" s="26">
        <f>MIN(CQ14:CQ24)</f>
        <v>0.56113000000000002</v>
      </c>
    </row>
    <row r="26" spans="2:95" x14ac:dyDescent="0.3">
      <c r="B26">
        <v>8</v>
      </c>
      <c r="C26">
        <v>-11539.9</v>
      </c>
      <c r="D26">
        <v>10261.9</v>
      </c>
      <c r="E26">
        <v>6264.6</v>
      </c>
      <c r="F26">
        <f t="shared" si="60"/>
        <v>1.0261899999999999</v>
      </c>
      <c r="G26">
        <f t="shared" si="61"/>
        <v>-1.1539900000000001</v>
      </c>
      <c r="H26">
        <f t="shared" si="62"/>
        <v>2.18018</v>
      </c>
      <c r="I26">
        <f t="shared" si="64"/>
        <v>0.62646000000000002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5.8049119985169144E-2</v>
      </c>
      <c r="P26" s="4">
        <v>5</v>
      </c>
      <c r="Q26" s="5">
        <f t="shared" si="67"/>
        <v>2.18018</v>
      </c>
      <c r="R26" s="5">
        <f t="shared" si="67"/>
        <v>0.62646000000000002</v>
      </c>
      <c r="S26" s="5">
        <f t="shared" si="68"/>
        <v>1.4533079880000002</v>
      </c>
      <c r="T26" s="5">
        <f t="shared" si="69"/>
        <v>8.7198479280000005E-2</v>
      </c>
      <c r="U26" s="5">
        <f t="shared" si="70"/>
        <v>0.19908328602739728</v>
      </c>
      <c r="V26" s="5">
        <f t="shared" si="63"/>
        <v>5.8049119985169144E-2</v>
      </c>
      <c r="W26" s="19"/>
      <c r="X26" s="20"/>
      <c r="Y26" s="21"/>
      <c r="Z26" s="18"/>
    </row>
    <row r="27" spans="2:95" x14ac:dyDescent="0.3">
      <c r="B27">
        <v>9</v>
      </c>
      <c r="C27">
        <v>-5823.3</v>
      </c>
      <c r="D27">
        <v>12771.2</v>
      </c>
      <c r="E27">
        <v>5746.5</v>
      </c>
      <c r="F27">
        <f t="shared" si="60"/>
        <v>1.27712</v>
      </c>
      <c r="G27">
        <f t="shared" si="61"/>
        <v>-0.58233000000000001</v>
      </c>
      <c r="H27">
        <f t="shared" si="62"/>
        <v>1.85945</v>
      </c>
      <c r="I27">
        <f t="shared" si="64"/>
        <v>0.57464999999999999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4.6783463005389499E-2</v>
      </c>
      <c r="P27" s="4">
        <v>8</v>
      </c>
      <c r="Q27" s="5">
        <f t="shared" si="67"/>
        <v>1.85945</v>
      </c>
      <c r="R27" s="5">
        <f t="shared" si="67"/>
        <v>0.57464999999999999</v>
      </c>
      <c r="S27" s="5">
        <f t="shared" si="68"/>
        <v>0.77469335625000002</v>
      </c>
      <c r="T27" s="5">
        <f t="shared" si="69"/>
        <v>4.6481601375000001E-2</v>
      </c>
      <c r="U27" s="5">
        <f t="shared" si="70"/>
        <v>0.10612237756849316</v>
      </c>
      <c r="V27" s="5">
        <f t="shared" si="63"/>
        <v>4.6783463005389499E-2</v>
      </c>
      <c r="W27" s="19"/>
      <c r="X27" s="20"/>
      <c r="Y27" s="21"/>
      <c r="Z27" s="17"/>
    </row>
    <row r="28" spans="2:95" x14ac:dyDescent="0.3">
      <c r="B28">
        <v>10</v>
      </c>
      <c r="C28">
        <v>-6622.6</v>
      </c>
      <c r="D28">
        <v>17121.3</v>
      </c>
      <c r="E28">
        <v>5797.3</v>
      </c>
      <c r="F28">
        <f t="shared" si="60"/>
        <v>1.7121299999999999</v>
      </c>
      <c r="G28">
        <f t="shared" si="61"/>
        <v>-0.66226000000000007</v>
      </c>
      <c r="H28">
        <f t="shared" si="62"/>
        <v>2.37439</v>
      </c>
      <c r="I28">
        <f t="shared" si="64"/>
        <v>0.57972999999999997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3.3502494481825192E-2</v>
      </c>
      <c r="P28" s="4">
        <v>14</v>
      </c>
      <c r="Q28" s="5">
        <f t="shared" si="67"/>
        <v>2.37439</v>
      </c>
      <c r="R28" s="5">
        <f t="shared" si="67"/>
        <v>0.57972999999999997</v>
      </c>
      <c r="S28" s="5">
        <f t="shared" si="68"/>
        <v>0.5652744192857142</v>
      </c>
      <c r="T28" s="5">
        <f t="shared" si="69"/>
        <v>3.3916465157142854E-2</v>
      </c>
      <c r="U28" s="5">
        <f t="shared" si="70"/>
        <v>7.7434851956947159E-2</v>
      </c>
      <c r="V28" s="5">
        <f t="shared" si="63"/>
        <v>3.3502494481825192E-2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2.1605022309084593E-2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2.1605022309084593E-2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5612.9</v>
      </c>
      <c r="D33">
        <v>37088.800000000003</v>
      </c>
      <c r="E33">
        <v>10262</v>
      </c>
      <c r="F33">
        <f t="shared" ref="F33:F43" si="72">D33/10000</f>
        <v>3.7088800000000002</v>
      </c>
      <c r="G33">
        <f t="shared" ref="G33:G43" si="73">C33/10000</f>
        <v>0.56128999999999996</v>
      </c>
      <c r="H33">
        <f t="shared" ref="H33:H43" si="74">F33-G33</f>
        <v>3.1475900000000001</v>
      </c>
      <c r="I33">
        <f>E33/10000</f>
        <v>1.0262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0.3097018789688385</v>
      </c>
      <c r="P33" s="2">
        <v>3</v>
      </c>
      <c r="Q33" s="8">
        <f>H33</f>
        <v>3.1475900000000001</v>
      </c>
      <c r="R33" s="8">
        <f>I33</f>
        <v>1.0262</v>
      </c>
      <c r="S33" s="8">
        <f>Q33/10^6*$Z$4*$Z$3/P33*10^12</f>
        <v>3.4969724900000001</v>
      </c>
      <c r="T33" s="8">
        <f>S33*0.06</f>
        <v>0.20981834939999999</v>
      </c>
      <c r="U33" s="8">
        <f>S33/$Z$1</f>
        <v>0.47903732739726029</v>
      </c>
      <c r="V33" s="12">
        <f t="shared" ref="V33:V43" si="75">O33</f>
        <v>0.3097018789688385</v>
      </c>
    </row>
    <row r="34" spans="2:22" x14ac:dyDescent="0.3">
      <c r="B34">
        <v>2</v>
      </c>
      <c r="C34">
        <v>5498.7</v>
      </c>
      <c r="D34">
        <v>56062.6</v>
      </c>
      <c r="E34">
        <v>5646.7</v>
      </c>
      <c r="F34">
        <f t="shared" si="72"/>
        <v>5.6062599999999998</v>
      </c>
      <c r="G34">
        <f t="shared" si="73"/>
        <v>0.54986999999999997</v>
      </c>
      <c r="H34">
        <f t="shared" si="74"/>
        <v>5.0563899999999995</v>
      </c>
      <c r="I34">
        <f t="shared" ref="I34:I43" si="76">E34/10000</f>
        <v>0.56467000000000001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0.27471743407789784</v>
      </c>
      <c r="P34" s="4">
        <v>3</v>
      </c>
      <c r="Q34" s="5">
        <f t="shared" ref="Q34:R43" si="79">H34</f>
        <v>5.0563899999999995</v>
      </c>
      <c r="R34" s="5">
        <f t="shared" si="79"/>
        <v>0.56467000000000001</v>
      </c>
      <c r="S34" s="5">
        <f t="shared" ref="S34:S43" si="80">Q34/10^6*$Z$4*$Z$3/P34*10^12</f>
        <v>5.6176492899999992</v>
      </c>
      <c r="T34" s="5">
        <f t="shared" ref="T34:T43" si="81">S34*0.06</f>
        <v>0.33705895739999991</v>
      </c>
      <c r="U34" s="5">
        <f t="shared" ref="U34:U43" si="82">S34/$Z$1</f>
        <v>0.76954099863013692</v>
      </c>
      <c r="V34" s="5">
        <f t="shared" si="75"/>
        <v>0.27471743407789784</v>
      </c>
    </row>
    <row r="35" spans="2:22" x14ac:dyDescent="0.3">
      <c r="B35">
        <v>3</v>
      </c>
      <c r="C35">
        <v>7473.1</v>
      </c>
      <c r="D35">
        <v>59256.1</v>
      </c>
      <c r="E35">
        <v>3980.1</v>
      </c>
      <c r="F35">
        <f t="shared" si="72"/>
        <v>5.9256099999999998</v>
      </c>
      <c r="G35">
        <f t="shared" si="73"/>
        <v>0.74731000000000003</v>
      </c>
      <c r="H35">
        <f t="shared" si="74"/>
        <v>5.1783000000000001</v>
      </c>
      <c r="I35">
        <f t="shared" si="76"/>
        <v>0.39800999999999997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0.23699700428354706</v>
      </c>
      <c r="P35" s="4">
        <v>3</v>
      </c>
      <c r="Q35" s="5">
        <f t="shared" si="79"/>
        <v>5.1783000000000001</v>
      </c>
      <c r="R35" s="5">
        <f t="shared" si="79"/>
        <v>0.39800999999999997</v>
      </c>
      <c r="S35" s="5">
        <f t="shared" si="80"/>
        <v>5.7530913000000004</v>
      </c>
      <c r="T35" s="5">
        <f t="shared" si="81"/>
        <v>0.34518547799999999</v>
      </c>
      <c r="U35" s="5">
        <f t="shared" si="82"/>
        <v>0.78809469863013704</v>
      </c>
      <c r="V35" s="5">
        <f t="shared" si="75"/>
        <v>0.23699700428354706</v>
      </c>
    </row>
    <row r="36" spans="2:22" x14ac:dyDescent="0.3">
      <c r="B36">
        <v>4</v>
      </c>
      <c r="C36">
        <v>6573.1</v>
      </c>
      <c r="D36">
        <v>35218.300000000003</v>
      </c>
      <c r="E36">
        <v>6333.2</v>
      </c>
      <c r="F36">
        <f t="shared" si="72"/>
        <v>3.5218300000000005</v>
      </c>
      <c r="G36">
        <f t="shared" si="73"/>
        <v>0.65731000000000006</v>
      </c>
      <c r="H36">
        <f t="shared" si="74"/>
        <v>2.8645200000000006</v>
      </c>
      <c r="I36">
        <f t="shared" si="76"/>
        <v>0.63331999999999999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0.14354332815453558</v>
      </c>
      <c r="P36" s="4">
        <v>3</v>
      </c>
      <c r="Q36" s="5">
        <f t="shared" si="79"/>
        <v>2.8645200000000006</v>
      </c>
      <c r="R36" s="5">
        <f t="shared" si="79"/>
        <v>0.63331999999999999</v>
      </c>
      <c r="S36" s="5">
        <f t="shared" si="80"/>
        <v>3.1824817200000011</v>
      </c>
      <c r="T36" s="5">
        <f t="shared" si="81"/>
        <v>0.19094890320000005</v>
      </c>
      <c r="U36" s="5">
        <f t="shared" si="82"/>
        <v>0.43595640000000013</v>
      </c>
      <c r="V36" s="5">
        <f t="shared" si="75"/>
        <v>0.14354332815453558</v>
      </c>
    </row>
    <row r="37" spans="2:22" x14ac:dyDescent="0.3">
      <c r="B37">
        <v>5</v>
      </c>
      <c r="C37">
        <v>4233.3999999999996</v>
      </c>
      <c r="D37">
        <v>24442.799999999999</v>
      </c>
      <c r="E37">
        <v>5234.5</v>
      </c>
      <c r="F37">
        <f t="shared" si="72"/>
        <v>2.44428</v>
      </c>
      <c r="G37">
        <f t="shared" si="73"/>
        <v>0.42333999999999994</v>
      </c>
      <c r="H37">
        <f t="shared" si="74"/>
        <v>2.02094</v>
      </c>
      <c r="I37">
        <f t="shared" si="76"/>
        <v>0.52344999999999997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0.10374785627564892</v>
      </c>
      <c r="P37" s="4">
        <v>3</v>
      </c>
      <c r="Q37" s="5">
        <f t="shared" si="79"/>
        <v>2.02094</v>
      </c>
      <c r="R37" s="5">
        <f t="shared" si="79"/>
        <v>0.52344999999999997</v>
      </c>
      <c r="S37" s="5">
        <f t="shared" si="80"/>
        <v>2.2452643399999999</v>
      </c>
      <c r="T37" s="5">
        <f t="shared" si="81"/>
        <v>0.1347158604</v>
      </c>
      <c r="U37" s="5">
        <f t="shared" si="82"/>
        <v>0.30757045753424656</v>
      </c>
      <c r="V37" s="5">
        <f t="shared" si="75"/>
        <v>0.10374785627564892</v>
      </c>
    </row>
    <row r="38" spans="2:22" x14ac:dyDescent="0.3">
      <c r="B38">
        <v>6</v>
      </c>
      <c r="C38">
        <v>0</v>
      </c>
      <c r="D38">
        <v>0</v>
      </c>
      <c r="E38">
        <v>0</v>
      </c>
      <c r="F38">
        <f t="shared" si="72"/>
        <v>0</v>
      </c>
      <c r="G38">
        <f t="shared" si="73"/>
        <v>0</v>
      </c>
      <c r="H38">
        <f t="shared" si="74"/>
        <v>0</v>
      </c>
      <c r="I38">
        <f t="shared" si="76"/>
        <v>0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7.1813494565586972E-2</v>
      </c>
      <c r="P38" s="4">
        <v>4</v>
      </c>
      <c r="Q38" s="5">
        <f t="shared" si="79"/>
        <v>0</v>
      </c>
      <c r="R38" s="5">
        <f t="shared" si="79"/>
        <v>0</v>
      </c>
      <c r="S38" s="5">
        <f t="shared" si="80"/>
        <v>0</v>
      </c>
      <c r="T38" s="5">
        <f t="shared" si="81"/>
        <v>0</v>
      </c>
      <c r="U38" s="5">
        <f t="shared" si="82"/>
        <v>0</v>
      </c>
      <c r="V38" s="5">
        <f t="shared" si="75"/>
        <v>7.1813494565586972E-2</v>
      </c>
    </row>
    <row r="39" spans="2:22" x14ac:dyDescent="0.3">
      <c r="B39">
        <v>7</v>
      </c>
      <c r="C39">
        <v>0</v>
      </c>
      <c r="D39">
        <v>0</v>
      </c>
      <c r="E39">
        <v>0</v>
      </c>
      <c r="F39">
        <f t="shared" si="72"/>
        <v>0</v>
      </c>
      <c r="G39">
        <f t="shared" si="73"/>
        <v>0</v>
      </c>
      <c r="H39">
        <f t="shared" si="74"/>
        <v>0</v>
      </c>
      <c r="I39">
        <f t="shared" si="76"/>
        <v>0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5.1915133725158956E-2</v>
      </c>
      <c r="P39" s="4">
        <v>4</v>
      </c>
      <c r="Q39" s="5">
        <f t="shared" si="79"/>
        <v>0</v>
      </c>
      <c r="R39" s="5">
        <f t="shared" si="79"/>
        <v>0</v>
      </c>
      <c r="S39" s="5">
        <f t="shared" si="80"/>
        <v>0</v>
      </c>
      <c r="T39" s="5">
        <f t="shared" si="81"/>
        <v>0</v>
      </c>
      <c r="U39" s="5">
        <f t="shared" si="82"/>
        <v>0</v>
      </c>
      <c r="V39" s="5">
        <f t="shared" si="75"/>
        <v>5.1915133725158956E-2</v>
      </c>
    </row>
    <row r="40" spans="2:22" x14ac:dyDescent="0.3">
      <c r="B40">
        <v>8</v>
      </c>
      <c r="C40">
        <v>0</v>
      </c>
      <c r="D40">
        <v>0</v>
      </c>
      <c r="E40">
        <v>0</v>
      </c>
      <c r="F40">
        <f t="shared" si="72"/>
        <v>0</v>
      </c>
      <c r="G40">
        <f t="shared" si="73"/>
        <v>0</v>
      </c>
      <c r="H40">
        <f t="shared" si="74"/>
        <v>0</v>
      </c>
      <c r="I40">
        <f t="shared" si="76"/>
        <v>0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4.3536839988876856E-2</v>
      </c>
      <c r="P40" s="4">
        <v>5</v>
      </c>
      <c r="Q40" s="5">
        <f t="shared" si="79"/>
        <v>0</v>
      </c>
      <c r="R40" s="5">
        <f t="shared" si="79"/>
        <v>0</v>
      </c>
      <c r="S40" s="5">
        <f t="shared" si="80"/>
        <v>0</v>
      </c>
      <c r="T40" s="5">
        <f t="shared" si="81"/>
        <v>0</v>
      </c>
      <c r="U40" s="5">
        <f t="shared" si="82"/>
        <v>0</v>
      </c>
      <c r="V40" s="5">
        <f t="shared" si="75"/>
        <v>4.3536839988876856E-2</v>
      </c>
    </row>
    <row r="41" spans="2:22" x14ac:dyDescent="0.3">
      <c r="B41">
        <v>9</v>
      </c>
      <c r="C41">
        <v>0</v>
      </c>
      <c r="D41">
        <v>0</v>
      </c>
      <c r="E41">
        <v>0</v>
      </c>
      <c r="F41">
        <f t="shared" si="72"/>
        <v>0</v>
      </c>
      <c r="G41">
        <f t="shared" si="73"/>
        <v>0</v>
      </c>
      <c r="H41">
        <f t="shared" si="74"/>
        <v>0</v>
      </c>
      <c r="I41">
        <f t="shared" si="76"/>
        <v>0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3.5087597254042126E-2</v>
      </c>
      <c r="P41" s="4">
        <v>8</v>
      </c>
      <c r="Q41" s="5">
        <f t="shared" si="79"/>
        <v>0</v>
      </c>
      <c r="R41" s="5">
        <f t="shared" si="79"/>
        <v>0</v>
      </c>
      <c r="S41" s="5">
        <f t="shared" si="80"/>
        <v>0</v>
      </c>
      <c r="T41" s="5">
        <f t="shared" si="81"/>
        <v>0</v>
      </c>
      <c r="U41" s="5">
        <f t="shared" si="82"/>
        <v>0</v>
      </c>
      <c r="V41" s="5">
        <f t="shared" si="75"/>
        <v>3.5087597254042126E-2</v>
      </c>
    </row>
    <row r="42" spans="2:22" x14ac:dyDescent="0.3">
      <c r="B42">
        <v>10</v>
      </c>
      <c r="C42">
        <v>0</v>
      </c>
      <c r="D42">
        <v>0</v>
      </c>
      <c r="E42">
        <v>0</v>
      </c>
      <c r="F42">
        <f t="shared" si="72"/>
        <v>0</v>
      </c>
      <c r="G42">
        <f t="shared" si="73"/>
        <v>0</v>
      </c>
      <c r="H42">
        <f t="shared" si="74"/>
        <v>0</v>
      </c>
      <c r="I42">
        <f t="shared" si="76"/>
        <v>0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2.5126870861368895E-2</v>
      </c>
      <c r="P42" s="4">
        <v>14</v>
      </c>
      <c r="Q42" s="5">
        <f t="shared" si="79"/>
        <v>0</v>
      </c>
      <c r="R42" s="5">
        <f t="shared" si="79"/>
        <v>0</v>
      </c>
      <c r="S42" s="5">
        <f t="shared" si="80"/>
        <v>0</v>
      </c>
      <c r="T42" s="5">
        <f t="shared" si="81"/>
        <v>0</v>
      </c>
      <c r="U42" s="5">
        <f t="shared" si="82"/>
        <v>0</v>
      </c>
      <c r="V42" s="5">
        <f t="shared" si="75"/>
        <v>2.5126870861368895E-2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1.6203766731813445E-2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1.6203766731813445E-2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19857.3</v>
      </c>
      <c r="D47">
        <v>56377.8</v>
      </c>
      <c r="E47">
        <v>11520</v>
      </c>
      <c r="F47">
        <f t="shared" ref="F47:F57" si="84">D47/10000</f>
        <v>5.6377800000000002</v>
      </c>
      <c r="G47">
        <f t="shared" ref="G47:G57" si="85">C47/10000</f>
        <v>1.98573</v>
      </c>
      <c r="H47">
        <f t="shared" ref="H47:H57" si="86">F47-G47</f>
        <v>3.65205</v>
      </c>
      <c r="I47">
        <f>E47/10000</f>
        <v>1.1519999999999999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0.24776150317507079</v>
      </c>
      <c r="P47" s="2">
        <v>3</v>
      </c>
      <c r="Q47" s="8">
        <f>H47</f>
        <v>3.65205</v>
      </c>
      <c r="R47" s="8">
        <f>I47</f>
        <v>1.1519999999999999</v>
      </c>
      <c r="S47" s="8">
        <f>Q47/10^6*$Z$4*$Z$3/P47*10^12</f>
        <v>4.0574275500000008</v>
      </c>
      <c r="T47" s="8">
        <f>S47*0.06</f>
        <v>0.24344565300000004</v>
      </c>
      <c r="U47" s="8">
        <f>S47/$Z$1</f>
        <v>0.55581199315068508</v>
      </c>
      <c r="V47" s="12">
        <f t="shared" ref="V47:V57" si="87">O47</f>
        <v>0.24776150317507079</v>
      </c>
    </row>
    <row r="48" spans="2:22" x14ac:dyDescent="0.3">
      <c r="B48">
        <v>2</v>
      </c>
      <c r="C48">
        <v>22900.400000000001</v>
      </c>
      <c r="D48">
        <v>65627.100000000006</v>
      </c>
      <c r="E48">
        <v>5694.3</v>
      </c>
      <c r="F48">
        <f t="shared" si="84"/>
        <v>6.5627100000000009</v>
      </c>
      <c r="G48">
        <f t="shared" si="85"/>
        <v>2.2900400000000003</v>
      </c>
      <c r="H48">
        <f t="shared" si="86"/>
        <v>4.2726700000000006</v>
      </c>
      <c r="I48">
        <f t="shared" ref="I48:I57" si="88">E48/10000</f>
        <v>0.56942999999999999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0.21977394726231828</v>
      </c>
      <c r="P48" s="4">
        <v>3</v>
      </c>
      <c r="Q48" s="5">
        <f t="shared" ref="Q48:R57" si="91">H48</f>
        <v>4.2726700000000006</v>
      </c>
      <c r="R48" s="5">
        <f t="shared" si="91"/>
        <v>0.56942999999999999</v>
      </c>
      <c r="S48" s="5">
        <f t="shared" ref="S48:S57" si="92">Q48/10^6*$Z$4*$Z$3/P48*10^12</f>
        <v>4.7469363700000011</v>
      </c>
      <c r="T48" s="5">
        <f t="shared" ref="T48:T57" si="93">S48*0.06</f>
        <v>0.28481618220000005</v>
      </c>
      <c r="U48" s="5">
        <f t="shared" ref="U48:U57" si="94">S48/$Z$1</f>
        <v>0.65026525616438369</v>
      </c>
      <c r="V48" s="5">
        <f t="shared" si="87"/>
        <v>0.21977394726231828</v>
      </c>
    </row>
    <row r="49" spans="2:22" x14ac:dyDescent="0.3">
      <c r="B49">
        <v>3</v>
      </c>
      <c r="C49">
        <v>21543.4</v>
      </c>
      <c r="D49">
        <v>59574.5</v>
      </c>
      <c r="E49">
        <v>5398.2</v>
      </c>
      <c r="F49">
        <f t="shared" si="84"/>
        <v>5.9574499999999997</v>
      </c>
      <c r="G49">
        <f t="shared" si="85"/>
        <v>2.1543400000000004</v>
      </c>
      <c r="H49">
        <f t="shared" si="86"/>
        <v>3.8031099999999993</v>
      </c>
      <c r="I49">
        <f t="shared" si="88"/>
        <v>0.53981999999999997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0.18959760342683765</v>
      </c>
      <c r="P49" s="4">
        <v>3</v>
      </c>
      <c r="Q49" s="5">
        <f t="shared" si="91"/>
        <v>3.8031099999999993</v>
      </c>
      <c r="R49" s="5">
        <f t="shared" si="91"/>
        <v>0.53981999999999997</v>
      </c>
      <c r="S49" s="5">
        <f t="shared" si="92"/>
        <v>4.2252552099999994</v>
      </c>
      <c r="T49" s="5">
        <f t="shared" si="93"/>
        <v>0.25351531259999993</v>
      </c>
      <c r="U49" s="5">
        <f t="shared" si="94"/>
        <v>0.57880208356164375</v>
      </c>
      <c r="V49" s="5">
        <f t="shared" si="87"/>
        <v>0.18959760342683765</v>
      </c>
    </row>
    <row r="50" spans="2:22" x14ac:dyDescent="0.3">
      <c r="B50">
        <v>4</v>
      </c>
      <c r="C50">
        <v>18435.8</v>
      </c>
      <c r="D50">
        <v>38095.4</v>
      </c>
      <c r="E50">
        <v>6004</v>
      </c>
      <c r="F50">
        <f t="shared" si="84"/>
        <v>3.8095400000000001</v>
      </c>
      <c r="G50">
        <f t="shared" si="85"/>
        <v>1.84358</v>
      </c>
      <c r="H50">
        <f t="shared" si="86"/>
        <v>1.9659600000000002</v>
      </c>
      <c r="I50">
        <f t="shared" si="88"/>
        <v>0.60040000000000004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0.11483466252362846</v>
      </c>
      <c r="P50" s="4">
        <v>3</v>
      </c>
      <c r="Q50" s="5">
        <f t="shared" si="91"/>
        <v>1.9659600000000002</v>
      </c>
      <c r="R50" s="5">
        <f t="shared" si="91"/>
        <v>0.60040000000000004</v>
      </c>
      <c r="S50" s="5">
        <f t="shared" si="92"/>
        <v>2.1841815600000003</v>
      </c>
      <c r="T50" s="5">
        <f t="shared" si="93"/>
        <v>0.13105089360000002</v>
      </c>
      <c r="U50" s="5">
        <f t="shared" si="94"/>
        <v>0.29920295342465758</v>
      </c>
      <c r="V50" s="5">
        <f t="shared" si="87"/>
        <v>0.11483466252362846</v>
      </c>
    </row>
    <row r="51" spans="2:22" x14ac:dyDescent="0.3">
      <c r="B51">
        <v>5</v>
      </c>
      <c r="C51">
        <v>0</v>
      </c>
      <c r="D51">
        <v>0</v>
      </c>
      <c r="E51">
        <v>0</v>
      </c>
      <c r="F51">
        <f t="shared" si="84"/>
        <v>0</v>
      </c>
      <c r="G51">
        <f t="shared" si="85"/>
        <v>0</v>
      </c>
      <c r="H51">
        <f t="shared" si="86"/>
        <v>0</v>
      </c>
      <c r="I51">
        <f t="shared" si="88"/>
        <v>0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8.2998285020519133E-2</v>
      </c>
      <c r="P51" s="4">
        <v>3</v>
      </c>
      <c r="Q51" s="5">
        <f t="shared" si="91"/>
        <v>0</v>
      </c>
      <c r="R51" s="5">
        <f t="shared" si="91"/>
        <v>0</v>
      </c>
      <c r="S51" s="5">
        <f t="shared" si="92"/>
        <v>0</v>
      </c>
      <c r="T51" s="5">
        <f t="shared" si="93"/>
        <v>0</v>
      </c>
      <c r="U51" s="5">
        <f t="shared" si="94"/>
        <v>0</v>
      </c>
      <c r="V51" s="5">
        <f t="shared" si="87"/>
        <v>8.2998285020519133E-2</v>
      </c>
    </row>
    <row r="52" spans="2:22" x14ac:dyDescent="0.3">
      <c r="B52">
        <v>6</v>
      </c>
      <c r="C52">
        <v>0</v>
      </c>
      <c r="D52">
        <v>0</v>
      </c>
      <c r="E52">
        <v>0</v>
      </c>
      <c r="F52">
        <f t="shared" si="84"/>
        <v>0</v>
      </c>
      <c r="G52">
        <f t="shared" si="85"/>
        <v>0</v>
      </c>
      <c r="H52">
        <f t="shared" si="86"/>
        <v>0</v>
      </c>
      <c r="I52">
        <f t="shared" si="88"/>
        <v>0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5.7450795652469577E-2</v>
      </c>
      <c r="P52" s="4">
        <v>4</v>
      </c>
      <c r="Q52" s="5">
        <f t="shared" si="91"/>
        <v>0</v>
      </c>
      <c r="R52" s="5">
        <f t="shared" si="91"/>
        <v>0</v>
      </c>
      <c r="S52" s="5">
        <f t="shared" si="92"/>
        <v>0</v>
      </c>
      <c r="T52" s="5">
        <f t="shared" si="93"/>
        <v>0</v>
      </c>
      <c r="U52" s="5">
        <f t="shared" si="94"/>
        <v>0</v>
      </c>
      <c r="V52" s="5">
        <f t="shared" si="87"/>
        <v>5.7450795652469577E-2</v>
      </c>
    </row>
    <row r="53" spans="2:22" x14ac:dyDescent="0.3">
      <c r="B53">
        <v>7</v>
      </c>
      <c r="C53">
        <v>0</v>
      </c>
      <c r="D53">
        <v>0</v>
      </c>
      <c r="E53">
        <v>0</v>
      </c>
      <c r="F53">
        <f t="shared" si="84"/>
        <v>0</v>
      </c>
      <c r="G53">
        <f t="shared" si="85"/>
        <v>0</v>
      </c>
      <c r="H53">
        <f t="shared" si="86"/>
        <v>0</v>
      </c>
      <c r="I53">
        <f t="shared" si="88"/>
        <v>0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4.1532106980127166E-2</v>
      </c>
      <c r="P53" s="4">
        <v>4</v>
      </c>
      <c r="Q53" s="5">
        <f t="shared" si="91"/>
        <v>0</v>
      </c>
      <c r="R53" s="5">
        <f t="shared" si="91"/>
        <v>0</v>
      </c>
      <c r="S53" s="5">
        <f t="shared" si="92"/>
        <v>0</v>
      </c>
      <c r="T53" s="5">
        <f t="shared" si="93"/>
        <v>0</v>
      </c>
      <c r="U53" s="5">
        <f t="shared" si="94"/>
        <v>0</v>
      </c>
      <c r="V53" s="5">
        <f t="shared" si="87"/>
        <v>4.1532106980127166E-2</v>
      </c>
    </row>
    <row r="54" spans="2:22" x14ac:dyDescent="0.3">
      <c r="B54">
        <v>8</v>
      </c>
      <c r="C54">
        <v>0</v>
      </c>
      <c r="D54">
        <v>0</v>
      </c>
      <c r="E54">
        <v>0</v>
      </c>
      <c r="F54">
        <f t="shared" si="84"/>
        <v>0</v>
      </c>
      <c r="G54">
        <f t="shared" si="85"/>
        <v>0</v>
      </c>
      <c r="H54">
        <f t="shared" si="86"/>
        <v>0</v>
      </c>
      <c r="I54">
        <f t="shared" si="88"/>
        <v>0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3.4829471991101486E-2</v>
      </c>
      <c r="P54" s="4">
        <v>5</v>
      </c>
      <c r="Q54" s="5">
        <f t="shared" si="91"/>
        <v>0</v>
      </c>
      <c r="R54" s="5">
        <f t="shared" si="91"/>
        <v>0</v>
      </c>
      <c r="S54" s="5">
        <f t="shared" si="92"/>
        <v>0</v>
      </c>
      <c r="T54" s="5">
        <f t="shared" si="93"/>
        <v>0</v>
      </c>
      <c r="U54" s="5">
        <f t="shared" si="94"/>
        <v>0</v>
      </c>
      <c r="V54" s="5">
        <f t="shared" si="87"/>
        <v>3.4829471991101486E-2</v>
      </c>
    </row>
    <row r="55" spans="2:22" x14ac:dyDescent="0.3">
      <c r="B55">
        <v>9</v>
      </c>
      <c r="C55">
        <v>0</v>
      </c>
      <c r="D55">
        <v>0</v>
      </c>
      <c r="E55">
        <v>0</v>
      </c>
      <c r="F55">
        <f t="shared" si="84"/>
        <v>0</v>
      </c>
      <c r="G55">
        <f t="shared" si="85"/>
        <v>0</v>
      </c>
      <c r="H55">
        <f t="shared" si="86"/>
        <v>0</v>
      </c>
      <c r="I55">
        <f t="shared" si="88"/>
        <v>0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2.8070077803233701E-2</v>
      </c>
      <c r="P55" s="4">
        <v>8</v>
      </c>
      <c r="Q55" s="5">
        <f t="shared" si="91"/>
        <v>0</v>
      </c>
      <c r="R55" s="5">
        <f t="shared" si="91"/>
        <v>0</v>
      </c>
      <c r="S55" s="5">
        <f t="shared" si="92"/>
        <v>0</v>
      </c>
      <c r="T55" s="5">
        <f t="shared" si="93"/>
        <v>0</v>
      </c>
      <c r="U55" s="5">
        <f t="shared" si="94"/>
        <v>0</v>
      </c>
      <c r="V55" s="5">
        <f t="shared" si="87"/>
        <v>2.8070077803233701E-2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84"/>
        <v>0</v>
      </c>
      <c r="G56">
        <f t="shared" si="85"/>
        <v>0</v>
      </c>
      <c r="H56">
        <f t="shared" si="86"/>
        <v>0</v>
      </c>
      <c r="I56">
        <f t="shared" si="88"/>
        <v>0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2.0101496689095118E-2</v>
      </c>
      <c r="P56" s="4">
        <v>14</v>
      </c>
      <c r="Q56" s="5">
        <f t="shared" si="91"/>
        <v>0</v>
      </c>
      <c r="R56" s="5">
        <f t="shared" si="91"/>
        <v>0</v>
      </c>
      <c r="S56" s="5">
        <f t="shared" si="92"/>
        <v>0</v>
      </c>
      <c r="T56" s="5">
        <f t="shared" si="93"/>
        <v>0</v>
      </c>
      <c r="U56" s="5">
        <f t="shared" si="94"/>
        <v>0</v>
      </c>
      <c r="V56" s="5">
        <f t="shared" si="87"/>
        <v>2.0101496689095118E-2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1.2963013385450755E-2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1.2963013385450755E-2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102060.6</v>
      </c>
      <c r="D61">
        <v>142601.1</v>
      </c>
      <c r="E61">
        <v>12453</v>
      </c>
      <c r="F61">
        <f t="shared" ref="F61:F71" si="96">D61/10000</f>
        <v>14.260110000000001</v>
      </c>
      <c r="G61">
        <f t="shared" ref="G61:G71" si="97">C61/10000</f>
        <v>10.206060000000001</v>
      </c>
      <c r="H61">
        <f t="shared" ref="H61:H71" si="98">F61-G61</f>
        <v>4.0540500000000002</v>
      </c>
      <c r="I61">
        <f>E61/10000</f>
        <v>1.2453000000000001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0.20646791931255901</v>
      </c>
      <c r="P61" s="2">
        <v>3</v>
      </c>
      <c r="Q61" s="8">
        <f>H61</f>
        <v>4.0540500000000002</v>
      </c>
      <c r="R61" s="8">
        <f>I61</f>
        <v>1.2453000000000001</v>
      </c>
      <c r="S61" s="8">
        <f>Q61/10^6*$Z$4*$Z$3/P61*10^12</f>
        <v>4.5040495499999995</v>
      </c>
      <c r="T61" s="8">
        <f>S61*0.06</f>
        <v>0.27024297299999994</v>
      </c>
      <c r="U61" s="8">
        <f>S61/$Z$1</f>
        <v>0.61699308904109584</v>
      </c>
      <c r="V61" s="12">
        <f t="shared" ref="V61:V71" si="99">O61</f>
        <v>0.20646791931255901</v>
      </c>
    </row>
    <row r="62" spans="2:22" x14ac:dyDescent="0.3">
      <c r="B62">
        <v>2</v>
      </c>
      <c r="C62">
        <v>101993.1</v>
      </c>
      <c r="D62">
        <v>141471.1</v>
      </c>
      <c r="E62">
        <v>7970.1</v>
      </c>
      <c r="F62">
        <f t="shared" si="96"/>
        <v>14.147110000000001</v>
      </c>
      <c r="G62">
        <f t="shared" si="97"/>
        <v>10.199310000000001</v>
      </c>
      <c r="H62">
        <f t="shared" si="98"/>
        <v>3.9478000000000009</v>
      </c>
      <c r="I62">
        <f t="shared" ref="I62:I71" si="100">E62/10000</f>
        <v>0.79701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0.1831449560519319</v>
      </c>
      <c r="P62" s="4">
        <v>3</v>
      </c>
      <c r="Q62" s="5">
        <f t="shared" ref="Q62:R71" si="103">H62</f>
        <v>3.9478000000000009</v>
      </c>
      <c r="R62" s="5">
        <f t="shared" si="103"/>
        <v>0.79701</v>
      </c>
      <c r="S62" s="5">
        <f t="shared" ref="S62:S71" si="104">Q62/10^6*$Z$4*$Z$3/P62*10^12</f>
        <v>4.3860058000000013</v>
      </c>
      <c r="T62" s="5">
        <f t="shared" ref="T62:T71" si="105">S62*0.06</f>
        <v>0.26316034800000004</v>
      </c>
      <c r="U62" s="5">
        <f t="shared" ref="U62:U71" si="106">S62/$Z$1</f>
        <v>0.60082271232876727</v>
      </c>
      <c r="V62" s="5">
        <f t="shared" si="99"/>
        <v>0.1831449560519319</v>
      </c>
    </row>
    <row r="63" spans="2:22" x14ac:dyDescent="0.3">
      <c r="B63">
        <v>3</v>
      </c>
      <c r="C63">
        <v>93059.4</v>
      </c>
      <c r="D63">
        <v>126729.60000000001</v>
      </c>
      <c r="E63">
        <v>5674.6</v>
      </c>
      <c r="F63">
        <f t="shared" si="96"/>
        <v>12.67296</v>
      </c>
      <c r="G63">
        <f t="shared" si="97"/>
        <v>9.3059399999999997</v>
      </c>
      <c r="H63">
        <f t="shared" si="98"/>
        <v>3.3670200000000001</v>
      </c>
      <c r="I63">
        <f t="shared" si="100"/>
        <v>0.56746000000000008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0.15799800285569804</v>
      </c>
      <c r="P63" s="4">
        <v>3</v>
      </c>
      <c r="Q63" s="5">
        <f t="shared" si="103"/>
        <v>3.3670200000000001</v>
      </c>
      <c r="R63" s="5">
        <f t="shared" si="103"/>
        <v>0.56746000000000008</v>
      </c>
      <c r="S63" s="5">
        <f t="shared" si="104"/>
        <v>3.7407592200000006</v>
      </c>
      <c r="T63" s="5">
        <f t="shared" si="105"/>
        <v>0.22444555320000004</v>
      </c>
      <c r="U63" s="5">
        <f t="shared" si="106"/>
        <v>0.51243276986301378</v>
      </c>
      <c r="V63" s="5">
        <f t="shared" si="99"/>
        <v>0.15799800285569804</v>
      </c>
    </row>
    <row r="64" spans="2:22" x14ac:dyDescent="0.3">
      <c r="B64">
        <v>4</v>
      </c>
      <c r="C64">
        <v>77755</v>
      </c>
      <c r="D64">
        <v>87246.399999999994</v>
      </c>
      <c r="E64">
        <v>6942.5</v>
      </c>
      <c r="F64">
        <f t="shared" si="96"/>
        <v>8.7246399999999991</v>
      </c>
      <c r="G64">
        <f t="shared" si="97"/>
        <v>7.7755000000000001</v>
      </c>
      <c r="H64">
        <f t="shared" si="98"/>
        <v>0.94913999999999898</v>
      </c>
      <c r="I64">
        <f t="shared" si="100"/>
        <v>0.69425000000000003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9.5695552103023718E-2</v>
      </c>
      <c r="P64" s="4">
        <v>3</v>
      </c>
      <c r="Q64" s="5">
        <f t="shared" si="103"/>
        <v>0.94913999999999898</v>
      </c>
      <c r="R64" s="5">
        <f t="shared" si="103"/>
        <v>0.69425000000000003</v>
      </c>
      <c r="S64" s="5">
        <f t="shared" si="104"/>
        <v>1.054494539999999</v>
      </c>
      <c r="T64" s="5">
        <f t="shared" si="105"/>
        <v>6.3269672399999935E-2</v>
      </c>
      <c r="U64" s="5">
        <f t="shared" si="106"/>
        <v>0.14445130684931493</v>
      </c>
      <c r="V64" s="5">
        <f t="shared" si="99"/>
        <v>9.5695552103023718E-2</v>
      </c>
    </row>
    <row r="65" spans="2:22" x14ac:dyDescent="0.3">
      <c r="B65">
        <v>5</v>
      </c>
      <c r="C65">
        <v>0</v>
      </c>
      <c r="D65">
        <v>0</v>
      </c>
      <c r="E65">
        <v>0</v>
      </c>
      <c r="F65">
        <f t="shared" si="96"/>
        <v>0</v>
      </c>
      <c r="G65">
        <f t="shared" si="97"/>
        <v>0</v>
      </c>
      <c r="H65">
        <f t="shared" si="98"/>
        <v>0</v>
      </c>
      <c r="I65">
        <f t="shared" si="100"/>
        <v>0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6.9165237517099284E-2</v>
      </c>
      <c r="P65" s="4">
        <v>3</v>
      </c>
      <c r="Q65" s="5">
        <f t="shared" si="103"/>
        <v>0</v>
      </c>
      <c r="R65" s="5">
        <f t="shared" si="103"/>
        <v>0</v>
      </c>
      <c r="S65" s="5">
        <f t="shared" si="104"/>
        <v>0</v>
      </c>
      <c r="T65" s="5">
        <f t="shared" si="105"/>
        <v>0</v>
      </c>
      <c r="U65" s="5">
        <f t="shared" si="106"/>
        <v>0</v>
      </c>
      <c r="V65" s="5">
        <f t="shared" si="99"/>
        <v>6.9165237517099284E-2</v>
      </c>
    </row>
    <row r="66" spans="2:22" x14ac:dyDescent="0.3">
      <c r="B66">
        <v>6</v>
      </c>
      <c r="C66">
        <v>0</v>
      </c>
      <c r="D66">
        <v>0</v>
      </c>
      <c r="E66">
        <v>0</v>
      </c>
      <c r="F66">
        <f t="shared" si="96"/>
        <v>0</v>
      </c>
      <c r="G66">
        <f t="shared" si="97"/>
        <v>0</v>
      </c>
      <c r="H66">
        <f t="shared" si="98"/>
        <v>0</v>
      </c>
      <c r="I66">
        <f t="shared" si="100"/>
        <v>0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4.7875663043724648E-2</v>
      </c>
      <c r="P66" s="4">
        <v>4</v>
      </c>
      <c r="Q66" s="5">
        <f t="shared" si="103"/>
        <v>0</v>
      </c>
      <c r="R66" s="5">
        <f t="shared" si="103"/>
        <v>0</v>
      </c>
      <c r="S66" s="5">
        <f t="shared" si="104"/>
        <v>0</v>
      </c>
      <c r="T66" s="5">
        <f t="shared" si="105"/>
        <v>0</v>
      </c>
      <c r="U66" s="5">
        <f t="shared" si="106"/>
        <v>0</v>
      </c>
      <c r="V66" s="5">
        <f t="shared" si="99"/>
        <v>4.7875663043724648E-2</v>
      </c>
    </row>
    <row r="67" spans="2:22" x14ac:dyDescent="0.3">
      <c r="B67">
        <v>7</v>
      </c>
      <c r="C67">
        <v>0</v>
      </c>
      <c r="D67">
        <v>0</v>
      </c>
      <c r="E67">
        <v>0</v>
      </c>
      <c r="F67">
        <f t="shared" si="96"/>
        <v>0</v>
      </c>
      <c r="G67">
        <f t="shared" si="97"/>
        <v>0</v>
      </c>
      <c r="H67">
        <f t="shared" si="98"/>
        <v>0</v>
      </c>
      <c r="I67">
        <f t="shared" si="100"/>
        <v>0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3.4610089150105973E-2</v>
      </c>
      <c r="P67" s="4">
        <v>4</v>
      </c>
      <c r="Q67" s="5">
        <f t="shared" si="103"/>
        <v>0</v>
      </c>
      <c r="R67" s="5">
        <f t="shared" si="103"/>
        <v>0</v>
      </c>
      <c r="S67" s="5">
        <f t="shared" si="104"/>
        <v>0</v>
      </c>
      <c r="T67" s="5">
        <f t="shared" si="105"/>
        <v>0</v>
      </c>
      <c r="U67" s="5">
        <f t="shared" si="106"/>
        <v>0</v>
      </c>
      <c r="V67" s="5">
        <f t="shared" si="99"/>
        <v>3.4610089150105973E-2</v>
      </c>
    </row>
    <row r="68" spans="2:22" x14ac:dyDescent="0.3">
      <c r="B68">
        <v>8</v>
      </c>
      <c r="C68">
        <v>0</v>
      </c>
      <c r="D68">
        <v>0</v>
      </c>
      <c r="E68">
        <v>0</v>
      </c>
      <c r="F68">
        <f t="shared" si="96"/>
        <v>0</v>
      </c>
      <c r="G68">
        <f t="shared" si="97"/>
        <v>0</v>
      </c>
      <c r="H68">
        <f t="shared" si="98"/>
        <v>0</v>
      </c>
      <c r="I68">
        <f t="shared" si="100"/>
        <v>0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2.9024559992584572E-2</v>
      </c>
      <c r="P68" s="4">
        <v>5</v>
      </c>
      <c r="Q68" s="5">
        <f t="shared" si="103"/>
        <v>0</v>
      </c>
      <c r="R68" s="5">
        <f t="shared" si="103"/>
        <v>0</v>
      </c>
      <c r="S68" s="5">
        <f t="shared" si="104"/>
        <v>0</v>
      </c>
      <c r="T68" s="5">
        <f t="shared" si="105"/>
        <v>0</v>
      </c>
      <c r="U68" s="5">
        <f t="shared" si="106"/>
        <v>0</v>
      </c>
      <c r="V68" s="5">
        <f t="shared" si="99"/>
        <v>2.9024559992584572E-2</v>
      </c>
    </row>
    <row r="69" spans="2:22" x14ac:dyDescent="0.3">
      <c r="B69">
        <v>9</v>
      </c>
      <c r="C69">
        <v>0</v>
      </c>
      <c r="D69">
        <v>0</v>
      </c>
      <c r="E69">
        <v>0</v>
      </c>
      <c r="F69">
        <f t="shared" si="96"/>
        <v>0</v>
      </c>
      <c r="G69">
        <f t="shared" si="97"/>
        <v>0</v>
      </c>
      <c r="H69">
        <f t="shared" si="98"/>
        <v>0</v>
      </c>
      <c r="I69">
        <f t="shared" si="100"/>
        <v>0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2.3391731502694749E-2</v>
      </c>
      <c r="P69" s="4">
        <v>8</v>
      </c>
      <c r="Q69" s="5">
        <f t="shared" si="103"/>
        <v>0</v>
      </c>
      <c r="R69" s="5">
        <f t="shared" si="103"/>
        <v>0</v>
      </c>
      <c r="S69" s="5">
        <f t="shared" si="104"/>
        <v>0</v>
      </c>
      <c r="T69" s="5">
        <f t="shared" si="105"/>
        <v>0</v>
      </c>
      <c r="U69" s="5">
        <f t="shared" si="106"/>
        <v>0</v>
      </c>
      <c r="V69" s="5">
        <f t="shared" si="99"/>
        <v>2.3391731502694749E-2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96"/>
        <v>0</v>
      </c>
      <c r="G70">
        <f t="shared" si="97"/>
        <v>0</v>
      </c>
      <c r="H70">
        <f t="shared" si="98"/>
        <v>0</v>
      </c>
      <c r="I70">
        <f t="shared" si="100"/>
        <v>0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1.6751247240912596E-2</v>
      </c>
      <c r="P70" s="4">
        <v>14</v>
      </c>
      <c r="Q70" s="5">
        <f t="shared" si="103"/>
        <v>0</v>
      </c>
      <c r="R70" s="5">
        <f t="shared" si="103"/>
        <v>0</v>
      </c>
      <c r="S70" s="5">
        <f t="shared" si="104"/>
        <v>0</v>
      </c>
      <c r="T70" s="5">
        <f t="shared" si="105"/>
        <v>0</v>
      </c>
      <c r="U70" s="5">
        <f t="shared" si="106"/>
        <v>0</v>
      </c>
      <c r="V70" s="5">
        <f t="shared" si="99"/>
        <v>1.6751247240912596E-2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1.0802511154542296E-2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1.0802511154542296E-2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4543.3</v>
      </c>
      <c r="D75">
        <v>48975.6</v>
      </c>
      <c r="E75">
        <v>14491.7</v>
      </c>
      <c r="F75">
        <f t="shared" ref="F75:F85" si="108">D75/10000</f>
        <v>4.8975599999999995</v>
      </c>
      <c r="G75">
        <f t="shared" ref="G75:G85" si="109">C75/10000</f>
        <v>0.45433000000000001</v>
      </c>
      <c r="H75">
        <f t="shared" ref="H75:H85" si="110">F75-G75</f>
        <v>4.4432299999999998</v>
      </c>
      <c r="I75">
        <f>E75/10000</f>
        <v>1.4491700000000001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0.1769725022679077</v>
      </c>
      <c r="P75" s="2">
        <v>3</v>
      </c>
      <c r="Q75" s="8">
        <f>H75</f>
        <v>4.4432299999999998</v>
      </c>
      <c r="R75" s="8">
        <f>I75</f>
        <v>1.4491700000000001</v>
      </c>
      <c r="S75" s="8">
        <f>Q75/10^6*$Z$4*$Z$3/P75*10^12</f>
        <v>4.9364285299999997</v>
      </c>
      <c r="T75" s="8">
        <f>S75*0.06</f>
        <v>0.29618571179999997</v>
      </c>
      <c r="U75" s="8">
        <f>S75/$Z$1</f>
        <v>0.67622308630136985</v>
      </c>
      <c r="V75" s="12">
        <f t="shared" ref="V75:V85" si="111">O75</f>
        <v>0.1769725022679077</v>
      </c>
    </row>
    <row r="76" spans="2:22" x14ac:dyDescent="0.3">
      <c r="B76">
        <v>2</v>
      </c>
      <c r="C76">
        <v>12316.4</v>
      </c>
      <c r="D76">
        <v>56545.9</v>
      </c>
      <c r="E76">
        <v>8155.5</v>
      </c>
      <c r="F76">
        <f t="shared" si="108"/>
        <v>5.6545899999999998</v>
      </c>
      <c r="G76">
        <f t="shared" si="109"/>
        <v>1.2316400000000001</v>
      </c>
      <c r="H76">
        <f t="shared" si="110"/>
        <v>4.4229500000000002</v>
      </c>
      <c r="I76">
        <f t="shared" ref="I76:I85" si="112">E76/10000</f>
        <v>0.81555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0.15698139090165592</v>
      </c>
      <c r="P76" s="4">
        <v>3</v>
      </c>
      <c r="Q76" s="5">
        <f t="shared" ref="Q76:R85" si="115">H76</f>
        <v>4.4229500000000002</v>
      </c>
      <c r="R76" s="5">
        <f t="shared" si="115"/>
        <v>0.81555</v>
      </c>
      <c r="S76" s="5">
        <f t="shared" ref="S76:S85" si="116">Q76/10^6*$Z$4*$Z$3/P76*10^12</f>
        <v>4.9138974500000012</v>
      </c>
      <c r="T76" s="5">
        <f t="shared" ref="T76:T85" si="117">S76*0.06</f>
        <v>0.29483384700000004</v>
      </c>
      <c r="U76" s="5">
        <f t="shared" ref="U76:U85" si="118">S76/$Z$1</f>
        <v>0.67313663698630155</v>
      </c>
      <c r="V76" s="5">
        <f t="shared" si="111"/>
        <v>0.15698139090165592</v>
      </c>
    </row>
    <row r="77" spans="2:22" x14ac:dyDescent="0.3">
      <c r="B77">
        <v>3</v>
      </c>
      <c r="C77">
        <v>17017.3</v>
      </c>
      <c r="D77">
        <v>47463.1</v>
      </c>
      <c r="E77">
        <v>7521.2</v>
      </c>
      <c r="F77">
        <f t="shared" si="108"/>
        <v>4.7463100000000003</v>
      </c>
      <c r="G77">
        <f t="shared" si="109"/>
        <v>1.70173</v>
      </c>
      <c r="H77">
        <f t="shared" si="110"/>
        <v>3.0445800000000003</v>
      </c>
      <c r="I77">
        <f t="shared" si="112"/>
        <v>0.75212000000000001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0.13542685959059833</v>
      </c>
      <c r="P77" s="4">
        <v>3</v>
      </c>
      <c r="Q77" s="5">
        <f t="shared" si="115"/>
        <v>3.0445800000000003</v>
      </c>
      <c r="R77" s="5">
        <f t="shared" si="115"/>
        <v>0.75212000000000001</v>
      </c>
      <c r="S77" s="5">
        <f t="shared" si="116"/>
        <v>3.3825283800000006</v>
      </c>
      <c r="T77" s="5">
        <f t="shared" si="117"/>
        <v>0.20295170280000002</v>
      </c>
      <c r="U77" s="5">
        <f t="shared" si="118"/>
        <v>0.46336005205479464</v>
      </c>
      <c r="V77" s="5">
        <f t="shared" si="111"/>
        <v>0.13542685959059833</v>
      </c>
    </row>
    <row r="78" spans="2:22" x14ac:dyDescent="0.3">
      <c r="B78">
        <v>4</v>
      </c>
      <c r="C78">
        <v>0</v>
      </c>
      <c r="D78">
        <v>0</v>
      </c>
      <c r="E78">
        <v>0</v>
      </c>
      <c r="F78">
        <f t="shared" si="108"/>
        <v>0</v>
      </c>
      <c r="G78">
        <f t="shared" si="109"/>
        <v>0</v>
      </c>
      <c r="H78">
        <f t="shared" si="110"/>
        <v>0</v>
      </c>
      <c r="I78">
        <f t="shared" si="112"/>
        <v>0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8.2024758945448903E-2</v>
      </c>
      <c r="P78" s="4">
        <v>3</v>
      </c>
      <c r="Q78" s="5">
        <f t="shared" si="115"/>
        <v>0</v>
      </c>
      <c r="R78" s="5">
        <f t="shared" si="115"/>
        <v>0</v>
      </c>
      <c r="S78" s="5">
        <f t="shared" si="116"/>
        <v>0</v>
      </c>
      <c r="T78" s="5">
        <f t="shared" si="117"/>
        <v>0</v>
      </c>
      <c r="U78" s="5">
        <f t="shared" si="118"/>
        <v>0</v>
      </c>
      <c r="V78" s="5">
        <f t="shared" si="111"/>
        <v>8.2024758945448903E-2</v>
      </c>
    </row>
    <row r="79" spans="2:22" x14ac:dyDescent="0.3">
      <c r="B79">
        <v>5</v>
      </c>
      <c r="C79">
        <v>0</v>
      </c>
      <c r="D79">
        <v>0</v>
      </c>
      <c r="E79">
        <v>0</v>
      </c>
      <c r="F79">
        <f t="shared" si="108"/>
        <v>0</v>
      </c>
      <c r="G79">
        <f t="shared" si="109"/>
        <v>0</v>
      </c>
      <c r="H79">
        <f t="shared" si="110"/>
        <v>0</v>
      </c>
      <c r="I79">
        <f t="shared" si="112"/>
        <v>0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5.9284489300370814E-2</v>
      </c>
      <c r="P79" s="4">
        <v>3</v>
      </c>
      <c r="Q79" s="5">
        <f t="shared" si="115"/>
        <v>0</v>
      </c>
      <c r="R79" s="5">
        <f t="shared" si="115"/>
        <v>0</v>
      </c>
      <c r="S79" s="5">
        <f t="shared" si="116"/>
        <v>0</v>
      </c>
      <c r="T79" s="5">
        <f t="shared" si="117"/>
        <v>0</v>
      </c>
      <c r="U79" s="5">
        <f t="shared" si="118"/>
        <v>0</v>
      </c>
      <c r="V79" s="5">
        <f t="shared" si="111"/>
        <v>5.9284489300370814E-2</v>
      </c>
    </row>
    <row r="80" spans="2:22" x14ac:dyDescent="0.3">
      <c r="B80">
        <v>6</v>
      </c>
      <c r="C80">
        <v>0</v>
      </c>
      <c r="D80">
        <v>0</v>
      </c>
      <c r="E80">
        <v>0</v>
      </c>
      <c r="F80">
        <f t="shared" si="108"/>
        <v>0</v>
      </c>
      <c r="G80">
        <f t="shared" si="109"/>
        <v>0</v>
      </c>
      <c r="H80">
        <f t="shared" si="110"/>
        <v>0</v>
      </c>
      <c r="I80">
        <f t="shared" si="112"/>
        <v>0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4.1036282608906842E-2</v>
      </c>
      <c r="P80" s="4">
        <v>4</v>
      </c>
      <c r="Q80" s="5">
        <f t="shared" si="115"/>
        <v>0</v>
      </c>
      <c r="R80" s="5">
        <f t="shared" si="115"/>
        <v>0</v>
      </c>
      <c r="S80" s="5">
        <f t="shared" si="116"/>
        <v>0</v>
      </c>
      <c r="T80" s="5">
        <f t="shared" si="117"/>
        <v>0</v>
      </c>
      <c r="U80" s="5">
        <f t="shared" si="118"/>
        <v>0</v>
      </c>
      <c r="V80" s="5">
        <f t="shared" si="111"/>
        <v>4.1036282608906842E-2</v>
      </c>
    </row>
    <row r="81" spans="2:22" x14ac:dyDescent="0.3">
      <c r="B81">
        <v>7</v>
      </c>
      <c r="C81">
        <v>0</v>
      </c>
      <c r="D81">
        <v>0</v>
      </c>
      <c r="E81">
        <v>0</v>
      </c>
      <c r="F81">
        <f t="shared" si="108"/>
        <v>0</v>
      </c>
      <c r="G81">
        <f t="shared" si="109"/>
        <v>0</v>
      </c>
      <c r="H81">
        <f t="shared" si="110"/>
        <v>0</v>
      </c>
      <c r="I81">
        <f t="shared" si="112"/>
        <v>0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2.9665790700090833E-2</v>
      </c>
      <c r="P81" s="4">
        <v>4</v>
      </c>
      <c r="Q81" s="5">
        <f t="shared" si="115"/>
        <v>0</v>
      </c>
      <c r="R81" s="5">
        <f t="shared" si="115"/>
        <v>0</v>
      </c>
      <c r="S81" s="5">
        <f t="shared" si="116"/>
        <v>0</v>
      </c>
      <c r="T81" s="5">
        <f t="shared" si="117"/>
        <v>0</v>
      </c>
      <c r="U81" s="5">
        <f t="shared" si="118"/>
        <v>0</v>
      </c>
      <c r="V81" s="5">
        <f t="shared" si="111"/>
        <v>2.9665790700090833E-2</v>
      </c>
    </row>
    <row r="82" spans="2:22" x14ac:dyDescent="0.3">
      <c r="B82">
        <v>8</v>
      </c>
      <c r="C82">
        <v>0</v>
      </c>
      <c r="D82">
        <v>0</v>
      </c>
      <c r="E82">
        <v>0</v>
      </c>
      <c r="F82">
        <f t="shared" si="108"/>
        <v>0</v>
      </c>
      <c r="G82">
        <f t="shared" si="109"/>
        <v>0</v>
      </c>
      <c r="H82">
        <f t="shared" si="110"/>
        <v>0</v>
      </c>
      <c r="I82">
        <f t="shared" si="112"/>
        <v>0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2.4878194279358203E-2</v>
      </c>
      <c r="P82" s="4">
        <v>5</v>
      </c>
      <c r="Q82" s="5">
        <f t="shared" si="115"/>
        <v>0</v>
      </c>
      <c r="R82" s="5">
        <f t="shared" si="115"/>
        <v>0</v>
      </c>
      <c r="S82" s="5">
        <f t="shared" si="116"/>
        <v>0</v>
      </c>
      <c r="T82" s="5">
        <f t="shared" si="117"/>
        <v>0</v>
      </c>
      <c r="U82" s="5">
        <f t="shared" si="118"/>
        <v>0</v>
      </c>
      <c r="V82" s="5">
        <f t="shared" si="111"/>
        <v>2.4878194279358203E-2</v>
      </c>
    </row>
    <row r="83" spans="2:22" x14ac:dyDescent="0.3">
      <c r="B83">
        <v>9</v>
      </c>
      <c r="C83">
        <v>0</v>
      </c>
      <c r="D83">
        <v>0</v>
      </c>
      <c r="E83">
        <v>0</v>
      </c>
      <c r="F83">
        <f t="shared" si="108"/>
        <v>0</v>
      </c>
      <c r="G83">
        <f t="shared" si="109"/>
        <v>0</v>
      </c>
      <c r="H83">
        <f t="shared" si="110"/>
        <v>0</v>
      </c>
      <c r="I83">
        <f t="shared" si="112"/>
        <v>0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2.0050055573738356E-2</v>
      </c>
      <c r="P83" s="4">
        <v>8</v>
      </c>
      <c r="Q83" s="5">
        <f t="shared" si="115"/>
        <v>0</v>
      </c>
      <c r="R83" s="5">
        <f t="shared" si="115"/>
        <v>0</v>
      </c>
      <c r="S83" s="5">
        <f t="shared" si="116"/>
        <v>0</v>
      </c>
      <c r="T83" s="5">
        <f t="shared" si="117"/>
        <v>0</v>
      </c>
      <c r="U83" s="5">
        <f t="shared" si="118"/>
        <v>0</v>
      </c>
      <c r="V83" s="5">
        <f t="shared" si="111"/>
        <v>2.0050055573738356E-2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08"/>
        <v>0</v>
      </c>
      <c r="G84">
        <f t="shared" si="109"/>
        <v>0</v>
      </c>
      <c r="H84">
        <f t="shared" si="110"/>
        <v>0</v>
      </c>
      <c r="I84">
        <f t="shared" si="112"/>
        <v>0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1.4358211920782226E-2</v>
      </c>
      <c r="P84" s="4">
        <v>14</v>
      </c>
      <c r="Q84" s="5">
        <f t="shared" si="115"/>
        <v>0</v>
      </c>
      <c r="R84" s="5">
        <f t="shared" si="115"/>
        <v>0</v>
      </c>
      <c r="S84" s="5">
        <f t="shared" si="116"/>
        <v>0</v>
      </c>
      <c r="T84" s="5">
        <f t="shared" si="117"/>
        <v>0</v>
      </c>
      <c r="U84" s="5">
        <f t="shared" si="118"/>
        <v>0</v>
      </c>
      <c r="V84" s="5">
        <f t="shared" si="111"/>
        <v>1.4358211920782226E-2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9.2592952753219691E-3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9.2592952753219691E-3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105084.2</v>
      </c>
      <c r="D89">
        <v>136229.29999999999</v>
      </c>
      <c r="E89">
        <v>16890.8</v>
      </c>
      <c r="F89">
        <f t="shared" ref="F89:F99" si="120">D89/10000</f>
        <v>13.622929999999998</v>
      </c>
      <c r="G89">
        <f t="shared" ref="G89:G99" si="121">C89/10000</f>
        <v>10.508419999999999</v>
      </c>
      <c r="H89">
        <f t="shared" ref="H89:H99" si="122">F89-G89</f>
        <v>3.1145099999999992</v>
      </c>
      <c r="I89">
        <f>E89/10000</f>
        <v>1.6890799999999999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0.15485093948441925</v>
      </c>
      <c r="P89" s="2">
        <v>3</v>
      </c>
      <c r="Q89" s="8">
        <f>H89</f>
        <v>3.1145099999999992</v>
      </c>
      <c r="R89" s="8">
        <f>I89</f>
        <v>1.6890799999999999</v>
      </c>
      <c r="S89" s="8">
        <f>Q89/10^6*$Z$4*$Z$3/P89*10^12</f>
        <v>3.4602206099999995</v>
      </c>
      <c r="T89" s="8">
        <f>S89*0.06</f>
        <v>0.20761323659999997</v>
      </c>
      <c r="U89" s="8">
        <f>S89/$Z$1</f>
        <v>0.47400282328767118</v>
      </c>
      <c r="V89" s="12">
        <f t="shared" ref="V89:V99" si="123">O89</f>
        <v>0.15485093948441925</v>
      </c>
    </row>
    <row r="90" spans="2:22" x14ac:dyDescent="0.3">
      <c r="B90">
        <v>2</v>
      </c>
      <c r="C90">
        <v>97463</v>
      </c>
      <c r="D90">
        <v>132040.9</v>
      </c>
      <c r="E90">
        <v>8355.4</v>
      </c>
      <c r="F90">
        <f t="shared" si="120"/>
        <v>13.204089999999999</v>
      </c>
      <c r="G90">
        <f t="shared" si="121"/>
        <v>9.7462999999999997</v>
      </c>
      <c r="H90">
        <f t="shared" si="122"/>
        <v>3.4577899999999993</v>
      </c>
      <c r="I90">
        <f t="shared" ref="I90:I99" si="124">E90/10000</f>
        <v>0.83553999999999995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0.13735871703894892</v>
      </c>
      <c r="P90" s="4">
        <v>3</v>
      </c>
      <c r="Q90" s="5">
        <f t="shared" ref="Q90:R99" si="127">H90</f>
        <v>3.4577899999999993</v>
      </c>
      <c r="R90" s="5">
        <f t="shared" si="127"/>
        <v>0.83553999999999995</v>
      </c>
      <c r="S90" s="5">
        <f t="shared" ref="S90:S99" si="128">Q90/10^6*$Z$4*$Z$3/P90*10^12</f>
        <v>3.8416046899999992</v>
      </c>
      <c r="T90" s="5">
        <f t="shared" ref="T90:T99" si="129">S90*0.06</f>
        <v>0.23049628139999995</v>
      </c>
      <c r="U90" s="5">
        <f t="shared" ref="U90:U99" si="130">S90/$Z$1</f>
        <v>0.52624721780821904</v>
      </c>
      <c r="V90" s="5">
        <f t="shared" si="123"/>
        <v>0.13735871703894892</v>
      </c>
    </row>
    <row r="91" spans="2:22" x14ac:dyDescent="0.3">
      <c r="B91">
        <v>3</v>
      </c>
      <c r="C91">
        <v>89744.3</v>
      </c>
      <c r="D91">
        <v>114560.9</v>
      </c>
      <c r="E91">
        <v>8064.8</v>
      </c>
      <c r="F91">
        <f t="shared" si="120"/>
        <v>11.45609</v>
      </c>
      <c r="G91">
        <f t="shared" si="121"/>
        <v>8.9744299999999999</v>
      </c>
      <c r="H91">
        <f t="shared" si="122"/>
        <v>2.4816599999999998</v>
      </c>
      <c r="I91">
        <f t="shared" si="124"/>
        <v>0.80647999999999997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0.11849850214177353</v>
      </c>
      <c r="P91" s="4">
        <v>3</v>
      </c>
      <c r="Q91" s="5">
        <f t="shared" si="127"/>
        <v>2.4816599999999998</v>
      </c>
      <c r="R91" s="5">
        <f t="shared" si="127"/>
        <v>0.80647999999999997</v>
      </c>
      <c r="S91" s="5">
        <f t="shared" si="128"/>
        <v>2.7571242599999994</v>
      </c>
      <c r="T91" s="5">
        <f t="shared" si="129"/>
        <v>0.16542745559999997</v>
      </c>
      <c r="U91" s="5">
        <f t="shared" si="130"/>
        <v>0.37768825479452051</v>
      </c>
      <c r="V91" s="5">
        <f t="shared" si="123"/>
        <v>0.11849850214177353</v>
      </c>
    </row>
    <row r="92" spans="2:22" x14ac:dyDescent="0.3">
      <c r="B92">
        <v>4</v>
      </c>
      <c r="C92">
        <v>0</v>
      </c>
      <c r="D92">
        <v>0</v>
      </c>
      <c r="E92">
        <v>0</v>
      </c>
      <c r="F92">
        <f t="shared" si="120"/>
        <v>0</v>
      </c>
      <c r="G92">
        <f t="shared" si="121"/>
        <v>0</v>
      </c>
      <c r="H92">
        <f t="shared" si="122"/>
        <v>0</v>
      </c>
      <c r="I92">
        <f t="shared" si="124"/>
        <v>0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7.1771664077267788E-2</v>
      </c>
      <c r="P92" s="4">
        <v>3</v>
      </c>
      <c r="Q92" s="5">
        <f t="shared" si="127"/>
        <v>0</v>
      </c>
      <c r="R92" s="5">
        <f t="shared" si="127"/>
        <v>0</v>
      </c>
      <c r="S92" s="5">
        <f t="shared" si="128"/>
        <v>0</v>
      </c>
      <c r="T92" s="5">
        <f t="shared" si="129"/>
        <v>0</v>
      </c>
      <c r="U92" s="5">
        <f t="shared" si="130"/>
        <v>0</v>
      </c>
      <c r="V92" s="5">
        <f t="shared" si="123"/>
        <v>7.1771664077267788E-2</v>
      </c>
    </row>
    <row r="93" spans="2:22" x14ac:dyDescent="0.3">
      <c r="B93">
        <v>5</v>
      </c>
      <c r="C93">
        <v>0</v>
      </c>
      <c r="D93">
        <v>0</v>
      </c>
      <c r="E93">
        <v>0</v>
      </c>
      <c r="F93">
        <f t="shared" si="120"/>
        <v>0</v>
      </c>
      <c r="G93">
        <f t="shared" si="121"/>
        <v>0</v>
      </c>
      <c r="H93">
        <f t="shared" si="122"/>
        <v>0</v>
      </c>
      <c r="I93">
        <f t="shared" si="124"/>
        <v>0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5.187392813782446E-2</v>
      </c>
      <c r="P93" s="4">
        <v>3</v>
      </c>
      <c r="Q93" s="5">
        <f t="shared" si="127"/>
        <v>0</v>
      </c>
      <c r="R93" s="5">
        <f t="shared" si="127"/>
        <v>0</v>
      </c>
      <c r="S93" s="5">
        <f t="shared" si="128"/>
        <v>0</v>
      </c>
      <c r="T93" s="5">
        <f t="shared" si="129"/>
        <v>0</v>
      </c>
      <c r="U93" s="5">
        <f t="shared" si="130"/>
        <v>0</v>
      </c>
      <c r="V93" s="5">
        <f t="shared" si="123"/>
        <v>5.187392813782446E-2</v>
      </c>
    </row>
    <row r="94" spans="2:22" x14ac:dyDescent="0.3">
      <c r="B94">
        <v>6</v>
      </c>
      <c r="C94">
        <v>0</v>
      </c>
      <c r="D94">
        <v>0</v>
      </c>
      <c r="E94">
        <v>0</v>
      </c>
      <c r="F94">
        <f t="shared" si="120"/>
        <v>0</v>
      </c>
      <c r="G94">
        <f t="shared" si="121"/>
        <v>0</v>
      </c>
      <c r="H94">
        <f t="shared" si="122"/>
        <v>0</v>
      </c>
      <c r="I94">
        <f t="shared" si="124"/>
        <v>0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3.5906747282793486E-2</v>
      </c>
      <c r="P94" s="4">
        <v>4</v>
      </c>
      <c r="Q94" s="5">
        <f t="shared" si="127"/>
        <v>0</v>
      </c>
      <c r="R94" s="5">
        <f t="shared" si="127"/>
        <v>0</v>
      </c>
      <c r="S94" s="5">
        <f t="shared" si="128"/>
        <v>0</v>
      </c>
      <c r="T94" s="5">
        <f t="shared" si="129"/>
        <v>0</v>
      </c>
      <c r="U94" s="5">
        <f t="shared" si="130"/>
        <v>0</v>
      </c>
      <c r="V94" s="5">
        <f t="shared" si="123"/>
        <v>3.5906747282793486E-2</v>
      </c>
    </row>
    <row r="95" spans="2:22" x14ac:dyDescent="0.3">
      <c r="B95">
        <v>7</v>
      </c>
      <c r="C95">
        <v>0</v>
      </c>
      <c r="D95">
        <v>0</v>
      </c>
      <c r="E95">
        <v>0</v>
      </c>
      <c r="F95">
        <f t="shared" si="120"/>
        <v>0</v>
      </c>
      <c r="G95">
        <f t="shared" si="121"/>
        <v>0</v>
      </c>
      <c r="H95">
        <f t="shared" si="122"/>
        <v>0</v>
      </c>
      <c r="I95">
        <f t="shared" si="124"/>
        <v>0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2.5957566862579478E-2</v>
      </c>
      <c r="P95" s="4">
        <v>4</v>
      </c>
      <c r="Q95" s="5">
        <f t="shared" si="127"/>
        <v>0</v>
      </c>
      <c r="R95" s="5">
        <f t="shared" si="127"/>
        <v>0</v>
      </c>
      <c r="S95" s="5">
        <f t="shared" si="128"/>
        <v>0</v>
      </c>
      <c r="T95" s="5">
        <f t="shared" si="129"/>
        <v>0</v>
      </c>
      <c r="U95" s="5">
        <f t="shared" si="130"/>
        <v>0</v>
      </c>
      <c r="V95" s="5">
        <f t="shared" si="123"/>
        <v>2.5957566862579478E-2</v>
      </c>
    </row>
    <row r="96" spans="2:22" x14ac:dyDescent="0.3">
      <c r="B96">
        <v>8</v>
      </c>
      <c r="C96">
        <v>0</v>
      </c>
      <c r="D96">
        <v>0</v>
      </c>
      <c r="E96">
        <v>0</v>
      </c>
      <c r="F96">
        <f t="shared" si="120"/>
        <v>0</v>
      </c>
      <c r="G96">
        <f t="shared" si="121"/>
        <v>0</v>
      </c>
      <c r="H96">
        <f t="shared" si="122"/>
        <v>0</v>
      </c>
      <c r="I96">
        <f t="shared" si="124"/>
        <v>0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2.1768419994438428E-2</v>
      </c>
      <c r="P96" s="4">
        <v>5</v>
      </c>
      <c r="Q96" s="5">
        <f t="shared" si="127"/>
        <v>0</v>
      </c>
      <c r="R96" s="5">
        <f t="shared" si="127"/>
        <v>0</v>
      </c>
      <c r="S96" s="5">
        <f t="shared" si="128"/>
        <v>0</v>
      </c>
      <c r="T96" s="5">
        <f t="shared" si="129"/>
        <v>0</v>
      </c>
      <c r="U96" s="5">
        <f t="shared" si="130"/>
        <v>0</v>
      </c>
      <c r="V96" s="5">
        <f t="shared" si="123"/>
        <v>2.1768419994438428E-2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20"/>
        <v>0</v>
      </c>
      <c r="G97">
        <f t="shared" si="121"/>
        <v>0</v>
      </c>
      <c r="H97">
        <f t="shared" si="122"/>
        <v>0</v>
      </c>
      <c r="I97">
        <f t="shared" si="124"/>
        <v>0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1.7543798627021063E-2</v>
      </c>
      <c r="P97" s="4">
        <v>8</v>
      </c>
      <c r="Q97" s="5">
        <f t="shared" si="127"/>
        <v>0</v>
      </c>
      <c r="R97" s="5">
        <f t="shared" si="127"/>
        <v>0</v>
      </c>
      <c r="S97" s="5">
        <f t="shared" si="128"/>
        <v>0</v>
      </c>
      <c r="T97" s="5">
        <f t="shared" si="129"/>
        <v>0</v>
      </c>
      <c r="U97" s="5">
        <f t="shared" si="130"/>
        <v>0</v>
      </c>
      <c r="V97" s="5">
        <f t="shared" si="123"/>
        <v>1.7543798627021063E-2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1.2563435430684448E-2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1.2563435430684448E-2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8.1018833659067223E-3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8.1018833659067223E-3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69903.199999999997</v>
      </c>
      <c r="D103">
        <v>95252.6</v>
      </c>
      <c r="E103">
        <v>12746.2</v>
      </c>
      <c r="F103">
        <f t="shared" ref="F103:F113" si="132">D103/10000</f>
        <v>9.5252600000000012</v>
      </c>
      <c r="G103">
        <f t="shared" ref="G103:G113" si="133">C103/10000</f>
        <v>6.9903199999999996</v>
      </c>
      <c r="H103">
        <f t="shared" ref="H103:H113" si="134">F103-G103</f>
        <v>2.5349400000000015</v>
      </c>
      <c r="I103">
        <f>E103/10000</f>
        <v>1.2746200000000001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0.13764527954170599</v>
      </c>
      <c r="P103" s="2">
        <v>3</v>
      </c>
      <c r="Q103" s="8">
        <f>H103</f>
        <v>2.5349400000000015</v>
      </c>
      <c r="R103" s="8">
        <f>I103</f>
        <v>1.2746200000000001</v>
      </c>
      <c r="S103" s="8">
        <f>Q103/10^6*$Z$4*$Z$3/P103*10^12</f>
        <v>2.8163183400000023</v>
      </c>
      <c r="T103" s="8">
        <f>S103*0.06</f>
        <v>0.16897910040000014</v>
      </c>
      <c r="U103" s="8">
        <f>S103/$Z$1</f>
        <v>0.38579703287671263</v>
      </c>
      <c r="V103" s="12">
        <f t="shared" ref="V103:V113" si="135">O103</f>
        <v>0.13764527954170599</v>
      </c>
    </row>
    <row r="104" spans="2:22" x14ac:dyDescent="0.3">
      <c r="B104">
        <v>2</v>
      </c>
      <c r="C104">
        <v>67283.7</v>
      </c>
      <c r="D104">
        <v>92219.199999999997</v>
      </c>
      <c r="E104">
        <v>8720.2000000000007</v>
      </c>
      <c r="F104">
        <f t="shared" si="132"/>
        <v>9.221919999999999</v>
      </c>
      <c r="G104">
        <f t="shared" si="133"/>
        <v>6.72837</v>
      </c>
      <c r="H104">
        <f t="shared" si="134"/>
        <v>2.493549999999999</v>
      </c>
      <c r="I104">
        <f t="shared" ref="I104:I113" si="136">E104/10000</f>
        <v>0.87202000000000002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0.12209663736795459</v>
      </c>
      <c r="P104" s="4">
        <v>3</v>
      </c>
      <c r="Q104" s="5">
        <f t="shared" ref="Q104:R113" si="139">H104</f>
        <v>2.493549999999999</v>
      </c>
      <c r="R104" s="5">
        <f t="shared" si="139"/>
        <v>0.87202000000000002</v>
      </c>
      <c r="S104" s="5">
        <f t="shared" ref="S104:S113" si="140">Q104/10^6*$Z$4*$Z$3/P104*10^12</f>
        <v>2.7703340499999989</v>
      </c>
      <c r="T104" s="5">
        <f t="shared" ref="T104:T113" si="141">S104*0.06</f>
        <v>0.16622004299999993</v>
      </c>
      <c r="U104" s="5">
        <f t="shared" ref="U104:U113" si="142">S104/$Z$1</f>
        <v>0.37949781506849301</v>
      </c>
      <c r="V104" s="5">
        <f t="shared" si="135"/>
        <v>0.12209663736795459</v>
      </c>
    </row>
    <row r="105" spans="2:22" x14ac:dyDescent="0.3">
      <c r="B105">
        <v>3</v>
      </c>
      <c r="C105">
        <v>55639.7</v>
      </c>
      <c r="D105">
        <v>75089</v>
      </c>
      <c r="E105">
        <v>8955.2999999999993</v>
      </c>
      <c r="F105">
        <f t="shared" si="132"/>
        <v>7.5088999999999997</v>
      </c>
      <c r="G105">
        <f t="shared" si="133"/>
        <v>5.5639699999999994</v>
      </c>
      <c r="H105">
        <f t="shared" si="134"/>
        <v>1.9449300000000003</v>
      </c>
      <c r="I105">
        <f t="shared" si="136"/>
        <v>0.89552999999999994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0.1053320019037987</v>
      </c>
      <c r="P105" s="4">
        <v>3</v>
      </c>
      <c r="Q105" s="5">
        <f t="shared" si="139"/>
        <v>1.9449300000000003</v>
      </c>
      <c r="R105" s="5">
        <f t="shared" si="139"/>
        <v>0.89552999999999994</v>
      </c>
      <c r="S105" s="5">
        <f t="shared" si="140"/>
        <v>2.1608172300000001</v>
      </c>
      <c r="T105" s="5">
        <f t="shared" si="141"/>
        <v>0.12964903380000001</v>
      </c>
      <c r="U105" s="5">
        <f t="shared" si="142"/>
        <v>0.29600236027397264</v>
      </c>
      <c r="V105" s="5">
        <f t="shared" si="135"/>
        <v>0.1053320019037987</v>
      </c>
    </row>
    <row r="106" spans="2:22" x14ac:dyDescent="0.3">
      <c r="B106">
        <v>4</v>
      </c>
      <c r="C106">
        <v>0</v>
      </c>
      <c r="D106">
        <v>0</v>
      </c>
      <c r="E106">
        <v>0</v>
      </c>
      <c r="F106">
        <f t="shared" si="132"/>
        <v>0</v>
      </c>
      <c r="G106">
        <f t="shared" si="133"/>
        <v>0</v>
      </c>
      <c r="H106">
        <f t="shared" si="134"/>
        <v>0</v>
      </c>
      <c r="I106">
        <f t="shared" si="136"/>
        <v>0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6.3797034735349145E-2</v>
      </c>
      <c r="P106" s="4">
        <v>3</v>
      </c>
      <c r="Q106" s="5">
        <f t="shared" si="139"/>
        <v>0</v>
      </c>
      <c r="R106" s="5">
        <f t="shared" si="139"/>
        <v>0</v>
      </c>
      <c r="S106" s="5">
        <f t="shared" si="140"/>
        <v>0</v>
      </c>
      <c r="T106" s="5">
        <f t="shared" si="141"/>
        <v>0</v>
      </c>
      <c r="U106" s="5">
        <f t="shared" si="142"/>
        <v>0</v>
      </c>
      <c r="V106" s="5">
        <f t="shared" si="135"/>
        <v>6.3797034735349145E-2</v>
      </c>
    </row>
    <row r="107" spans="2:22" x14ac:dyDescent="0.3">
      <c r="B107">
        <v>5</v>
      </c>
      <c r="C107">
        <v>0</v>
      </c>
      <c r="D107">
        <v>0</v>
      </c>
      <c r="E107">
        <v>0</v>
      </c>
      <c r="F107">
        <f t="shared" si="132"/>
        <v>0</v>
      </c>
      <c r="G107">
        <f t="shared" si="133"/>
        <v>0</v>
      </c>
      <c r="H107">
        <f t="shared" si="134"/>
        <v>0</v>
      </c>
      <c r="I107">
        <f t="shared" si="136"/>
        <v>0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4.6110158344732852E-2</v>
      </c>
      <c r="P107" s="4">
        <v>3</v>
      </c>
      <c r="Q107" s="5">
        <f t="shared" si="139"/>
        <v>0</v>
      </c>
      <c r="R107" s="5">
        <f t="shared" si="139"/>
        <v>0</v>
      </c>
      <c r="S107" s="5">
        <f t="shared" si="140"/>
        <v>0</v>
      </c>
      <c r="T107" s="5">
        <f t="shared" si="141"/>
        <v>0</v>
      </c>
      <c r="U107" s="5">
        <f t="shared" si="142"/>
        <v>0</v>
      </c>
      <c r="V107" s="5">
        <f t="shared" si="135"/>
        <v>4.6110158344732852E-2</v>
      </c>
    </row>
    <row r="108" spans="2:22" x14ac:dyDescent="0.3">
      <c r="B108">
        <v>6</v>
      </c>
      <c r="C108">
        <v>0</v>
      </c>
      <c r="D108">
        <v>0</v>
      </c>
      <c r="E108">
        <v>0</v>
      </c>
      <c r="F108">
        <f t="shared" si="132"/>
        <v>0</v>
      </c>
      <c r="G108">
        <f t="shared" si="133"/>
        <v>0</v>
      </c>
      <c r="H108">
        <f t="shared" si="134"/>
        <v>0</v>
      </c>
      <c r="I108">
        <f t="shared" si="136"/>
        <v>0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3.1917108695816432E-2</v>
      </c>
      <c r="P108" s="4">
        <v>4</v>
      </c>
      <c r="Q108" s="5">
        <f t="shared" si="139"/>
        <v>0</v>
      </c>
      <c r="R108" s="5">
        <f t="shared" si="139"/>
        <v>0</v>
      </c>
      <c r="S108" s="5">
        <f t="shared" si="140"/>
        <v>0</v>
      </c>
      <c r="T108" s="5">
        <f t="shared" si="141"/>
        <v>0</v>
      </c>
      <c r="U108" s="5">
        <f t="shared" si="142"/>
        <v>0</v>
      </c>
      <c r="V108" s="5">
        <f t="shared" si="135"/>
        <v>3.1917108695816432E-2</v>
      </c>
    </row>
    <row r="109" spans="2:22" x14ac:dyDescent="0.3">
      <c r="B109">
        <v>7</v>
      </c>
      <c r="C109">
        <v>0</v>
      </c>
      <c r="D109">
        <v>0</v>
      </c>
      <c r="E109">
        <v>0</v>
      </c>
      <c r="F109">
        <f t="shared" si="132"/>
        <v>0</v>
      </c>
      <c r="G109">
        <f t="shared" si="133"/>
        <v>0</v>
      </c>
      <c r="H109">
        <f t="shared" si="134"/>
        <v>0</v>
      </c>
      <c r="I109">
        <f t="shared" si="136"/>
        <v>0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2.3073392766737314E-2</v>
      </c>
      <c r="P109" s="4">
        <v>4</v>
      </c>
      <c r="Q109" s="5">
        <f t="shared" si="139"/>
        <v>0</v>
      </c>
      <c r="R109" s="5">
        <f t="shared" si="139"/>
        <v>0</v>
      </c>
      <c r="S109" s="5">
        <f t="shared" si="140"/>
        <v>0</v>
      </c>
      <c r="T109" s="5">
        <f t="shared" si="141"/>
        <v>0</v>
      </c>
      <c r="U109" s="5">
        <f t="shared" si="142"/>
        <v>0</v>
      </c>
      <c r="V109" s="5">
        <f t="shared" si="135"/>
        <v>2.3073392766737314E-2</v>
      </c>
    </row>
    <row r="110" spans="2:22" x14ac:dyDescent="0.3">
      <c r="B110">
        <v>8</v>
      </c>
      <c r="C110">
        <v>0</v>
      </c>
      <c r="D110">
        <v>0</v>
      </c>
      <c r="E110">
        <v>0</v>
      </c>
      <c r="F110">
        <f t="shared" si="132"/>
        <v>0</v>
      </c>
      <c r="G110">
        <f t="shared" si="133"/>
        <v>0</v>
      </c>
      <c r="H110">
        <f t="shared" si="134"/>
        <v>0</v>
      </c>
      <c r="I110">
        <f t="shared" si="136"/>
        <v>0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1.9349706661723046E-2</v>
      </c>
      <c r="P110" s="4">
        <v>5</v>
      </c>
      <c r="Q110" s="5">
        <f t="shared" si="139"/>
        <v>0</v>
      </c>
      <c r="R110" s="5">
        <f t="shared" si="139"/>
        <v>0</v>
      </c>
      <c r="S110" s="5">
        <f t="shared" si="140"/>
        <v>0</v>
      </c>
      <c r="T110" s="5">
        <f t="shared" si="141"/>
        <v>0</v>
      </c>
      <c r="U110" s="5">
        <f t="shared" si="142"/>
        <v>0</v>
      </c>
      <c r="V110" s="5">
        <f t="shared" si="135"/>
        <v>1.9349706661723046E-2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32"/>
        <v>0</v>
      </c>
      <c r="G111">
        <f t="shared" si="133"/>
        <v>0</v>
      </c>
      <c r="H111">
        <f t="shared" si="134"/>
        <v>0</v>
      </c>
      <c r="I111">
        <f t="shared" si="136"/>
        <v>0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1.5594487668463167E-2</v>
      </c>
      <c r="P111" s="4">
        <v>8</v>
      </c>
      <c r="Q111" s="5">
        <f t="shared" si="139"/>
        <v>0</v>
      </c>
      <c r="R111" s="5">
        <f t="shared" si="139"/>
        <v>0</v>
      </c>
      <c r="S111" s="5">
        <f t="shared" si="140"/>
        <v>0</v>
      </c>
      <c r="T111" s="5">
        <f t="shared" si="141"/>
        <v>0</v>
      </c>
      <c r="U111" s="5">
        <f t="shared" si="142"/>
        <v>0</v>
      </c>
      <c r="V111" s="5">
        <f t="shared" si="135"/>
        <v>1.5594487668463167E-2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1.1167498160608398E-2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1.1167498160608398E-2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7.2016741030281979E-3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7.2016741030281979E-3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4419.7</v>
      </c>
      <c r="D117">
        <v>27134.7</v>
      </c>
      <c r="E117">
        <v>11615.2</v>
      </c>
      <c r="F117">
        <f t="shared" ref="F117:F127" si="144">D117/10000</f>
        <v>2.71347</v>
      </c>
      <c r="G117">
        <f t="shared" ref="G117:G127" si="145">C117/10000</f>
        <v>0.44196999999999997</v>
      </c>
      <c r="H117">
        <f t="shared" ref="H117:H127" si="146">F117-G117</f>
        <v>2.2715000000000001</v>
      </c>
      <c r="I117">
        <f>E117/10000</f>
        <v>1.1615200000000001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0.12388075158753539</v>
      </c>
      <c r="P117" s="2">
        <v>3</v>
      </c>
      <c r="Q117" s="8">
        <f>H117</f>
        <v>2.2715000000000001</v>
      </c>
      <c r="R117" s="8">
        <f>I117</f>
        <v>1.1615200000000001</v>
      </c>
      <c r="S117" s="8">
        <f>Q117/10^6*$Z$4*$Z$3/P117*10^12</f>
        <v>2.5236365000000003</v>
      </c>
      <c r="T117" s="8">
        <f>S117*0.06</f>
        <v>0.15141819000000001</v>
      </c>
      <c r="U117" s="8">
        <f>S117/$Z$1</f>
        <v>0.34570363013698635</v>
      </c>
      <c r="V117" s="12">
        <f t="shared" ref="V117:V127" si="147">O117</f>
        <v>0.12388075158753539</v>
      </c>
    </row>
    <row r="118" spans="2:22" x14ac:dyDescent="0.3">
      <c r="B118">
        <v>2</v>
      </c>
      <c r="C118">
        <v>-262.60000000000002</v>
      </c>
      <c r="D118">
        <v>36831.699999999997</v>
      </c>
      <c r="E118">
        <v>10005</v>
      </c>
      <c r="F118">
        <f t="shared" si="144"/>
        <v>3.6831699999999996</v>
      </c>
      <c r="G118">
        <f t="shared" si="145"/>
        <v>-2.6260000000000002E-2</v>
      </c>
      <c r="H118">
        <f t="shared" si="146"/>
        <v>3.7094299999999998</v>
      </c>
      <c r="I118">
        <f t="shared" ref="I118:I127" si="148">E118/10000</f>
        <v>1.0004999999999999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0.10988697363115914</v>
      </c>
      <c r="P118" s="4">
        <v>3</v>
      </c>
      <c r="Q118" s="5">
        <f t="shared" ref="Q118:R127" si="151">H118</f>
        <v>3.7094299999999998</v>
      </c>
      <c r="R118" s="5">
        <f t="shared" si="151"/>
        <v>1.0004999999999999</v>
      </c>
      <c r="S118" s="5">
        <f t="shared" ref="S118:S127" si="152">Q118/10^6*$Z$4*$Z$3/P118*10^12</f>
        <v>4.1211767300000002</v>
      </c>
      <c r="T118" s="5">
        <f t="shared" ref="T118:T127" si="153">S118*0.06</f>
        <v>0.24727060379999999</v>
      </c>
      <c r="U118" s="5">
        <f t="shared" ref="U118:U127" si="154">S118/$Z$1</f>
        <v>0.5645447575342466</v>
      </c>
      <c r="V118" s="5">
        <f t="shared" si="147"/>
        <v>0.10988697363115914</v>
      </c>
    </row>
    <row r="119" spans="2:22" x14ac:dyDescent="0.3">
      <c r="B119">
        <v>3</v>
      </c>
      <c r="C119">
        <v>6601.3</v>
      </c>
      <c r="D119">
        <v>31161.1</v>
      </c>
      <c r="E119">
        <v>7514.2</v>
      </c>
      <c r="F119">
        <f t="shared" si="144"/>
        <v>3.1161099999999999</v>
      </c>
      <c r="G119">
        <f t="shared" si="145"/>
        <v>0.66012999999999999</v>
      </c>
      <c r="H119">
        <f t="shared" si="146"/>
        <v>2.4559799999999998</v>
      </c>
      <c r="I119">
        <f t="shared" si="148"/>
        <v>0.75141999999999998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9.4798801713418826E-2</v>
      </c>
      <c r="P119" s="4">
        <v>3</v>
      </c>
      <c r="Q119" s="5">
        <f t="shared" si="151"/>
        <v>2.4559799999999998</v>
      </c>
      <c r="R119" s="5">
        <f t="shared" si="151"/>
        <v>0.75141999999999998</v>
      </c>
      <c r="S119" s="5">
        <f t="shared" si="152"/>
        <v>2.7285937799999997</v>
      </c>
      <c r="T119" s="5">
        <f t="shared" si="153"/>
        <v>0.16371562679999999</v>
      </c>
      <c r="U119" s="5">
        <f t="shared" si="154"/>
        <v>0.37377996986301365</v>
      </c>
      <c r="V119" s="5">
        <f t="shared" si="147"/>
        <v>9.4798801713418826E-2</v>
      </c>
    </row>
    <row r="120" spans="2:22" x14ac:dyDescent="0.3">
      <c r="B120">
        <v>4</v>
      </c>
      <c r="C120">
        <v>0</v>
      </c>
      <c r="D120">
        <v>0</v>
      </c>
      <c r="E120">
        <v>0</v>
      </c>
      <c r="F120">
        <f t="shared" si="144"/>
        <v>0</v>
      </c>
      <c r="G120">
        <f t="shared" si="145"/>
        <v>0</v>
      </c>
      <c r="H120">
        <f t="shared" si="146"/>
        <v>0</v>
      </c>
      <c r="I120">
        <f t="shared" si="148"/>
        <v>0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5.7417331261814232E-2</v>
      </c>
      <c r="P120" s="4">
        <v>3</v>
      </c>
      <c r="Q120" s="5">
        <f t="shared" si="151"/>
        <v>0</v>
      </c>
      <c r="R120" s="5">
        <f t="shared" si="151"/>
        <v>0</v>
      </c>
      <c r="S120" s="5">
        <f t="shared" si="152"/>
        <v>0</v>
      </c>
      <c r="T120" s="5">
        <f t="shared" si="153"/>
        <v>0</v>
      </c>
      <c r="U120" s="5">
        <f t="shared" si="154"/>
        <v>0</v>
      </c>
      <c r="V120" s="5">
        <f t="shared" si="147"/>
        <v>5.7417331261814232E-2</v>
      </c>
    </row>
    <row r="121" spans="2:22" x14ac:dyDescent="0.3">
      <c r="B121">
        <v>5</v>
      </c>
      <c r="C121">
        <v>0</v>
      </c>
      <c r="D121">
        <v>0</v>
      </c>
      <c r="E121">
        <v>0</v>
      </c>
      <c r="F121">
        <f t="shared" si="144"/>
        <v>0</v>
      </c>
      <c r="G121">
        <f t="shared" si="145"/>
        <v>0</v>
      </c>
      <c r="H121">
        <f t="shared" si="146"/>
        <v>0</v>
      </c>
      <c r="I121">
        <f t="shared" si="148"/>
        <v>0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4.1499142510259567E-2</v>
      </c>
      <c r="P121" s="4">
        <v>3</v>
      </c>
      <c r="Q121" s="5">
        <f t="shared" si="151"/>
        <v>0</v>
      </c>
      <c r="R121" s="5">
        <f t="shared" si="151"/>
        <v>0</v>
      </c>
      <c r="S121" s="5">
        <f t="shared" si="152"/>
        <v>0</v>
      </c>
      <c r="T121" s="5">
        <f t="shared" si="153"/>
        <v>0</v>
      </c>
      <c r="U121" s="5">
        <f t="shared" si="154"/>
        <v>0</v>
      </c>
      <c r="V121" s="5">
        <f t="shared" si="147"/>
        <v>4.1499142510259567E-2</v>
      </c>
    </row>
    <row r="122" spans="2:22" x14ac:dyDescent="0.3">
      <c r="B122">
        <v>6</v>
      </c>
      <c r="C122">
        <v>0</v>
      </c>
      <c r="D122">
        <v>0</v>
      </c>
      <c r="E122">
        <v>0</v>
      </c>
      <c r="F122">
        <f t="shared" si="144"/>
        <v>0</v>
      </c>
      <c r="G122">
        <f t="shared" si="145"/>
        <v>0</v>
      </c>
      <c r="H122">
        <f t="shared" si="146"/>
        <v>0</v>
      </c>
      <c r="I122">
        <f t="shared" si="148"/>
        <v>0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2.8725397826234789E-2</v>
      </c>
      <c r="P122" s="4">
        <v>4</v>
      </c>
      <c r="Q122" s="5">
        <f t="shared" si="151"/>
        <v>0</v>
      </c>
      <c r="R122" s="5">
        <f t="shared" si="151"/>
        <v>0</v>
      </c>
      <c r="S122" s="5">
        <f t="shared" si="152"/>
        <v>0</v>
      </c>
      <c r="T122" s="5">
        <f t="shared" si="153"/>
        <v>0</v>
      </c>
      <c r="U122" s="5">
        <f t="shared" si="154"/>
        <v>0</v>
      </c>
      <c r="V122" s="5">
        <f t="shared" si="147"/>
        <v>2.8725397826234789E-2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44"/>
        <v>0</v>
      </c>
      <c r="G123">
        <f t="shared" si="145"/>
        <v>0</v>
      </c>
      <c r="H123">
        <f t="shared" si="146"/>
        <v>0</v>
      </c>
      <c r="I123">
        <f t="shared" si="148"/>
        <v>0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2.0766053490063583E-2</v>
      </c>
      <c r="P123" s="4">
        <v>4</v>
      </c>
      <c r="Q123" s="5">
        <f t="shared" si="151"/>
        <v>0</v>
      </c>
      <c r="R123" s="5">
        <f t="shared" si="151"/>
        <v>0</v>
      </c>
      <c r="S123" s="5">
        <f t="shared" si="152"/>
        <v>0</v>
      </c>
      <c r="T123" s="5">
        <f t="shared" si="153"/>
        <v>0</v>
      </c>
      <c r="U123" s="5">
        <f t="shared" si="154"/>
        <v>0</v>
      </c>
      <c r="V123" s="5">
        <f t="shared" si="147"/>
        <v>2.0766053490063583E-2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44"/>
        <v>0</v>
      </c>
      <c r="G124">
        <f t="shared" si="145"/>
        <v>0</v>
      </c>
      <c r="H124">
        <f t="shared" si="146"/>
        <v>0</v>
      </c>
      <c r="I124">
        <f t="shared" si="148"/>
        <v>0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1.7414735995550743E-2</v>
      </c>
      <c r="P124" s="4">
        <v>5</v>
      </c>
      <c r="Q124" s="5">
        <f t="shared" si="151"/>
        <v>0</v>
      </c>
      <c r="R124" s="5">
        <f t="shared" si="151"/>
        <v>0</v>
      </c>
      <c r="S124" s="5">
        <f t="shared" si="152"/>
        <v>0</v>
      </c>
      <c r="T124" s="5">
        <f t="shared" si="153"/>
        <v>0</v>
      </c>
      <c r="U124" s="5">
        <f t="shared" si="154"/>
        <v>0</v>
      </c>
      <c r="V124" s="5">
        <f t="shared" si="147"/>
        <v>1.7414735995550743E-2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44"/>
        <v>0</v>
      </c>
      <c r="G125">
        <f t="shared" si="145"/>
        <v>0</v>
      </c>
      <c r="H125">
        <f t="shared" si="146"/>
        <v>0</v>
      </c>
      <c r="I125">
        <f t="shared" si="148"/>
        <v>0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1.403503890161685E-2</v>
      </c>
      <c r="P125" s="4">
        <v>8</v>
      </c>
      <c r="Q125" s="5">
        <f t="shared" si="151"/>
        <v>0</v>
      </c>
      <c r="R125" s="5">
        <f t="shared" si="151"/>
        <v>0</v>
      </c>
      <c r="S125" s="5">
        <f t="shared" si="152"/>
        <v>0</v>
      </c>
      <c r="T125" s="5">
        <f t="shared" si="153"/>
        <v>0</v>
      </c>
      <c r="U125" s="5">
        <f t="shared" si="154"/>
        <v>0</v>
      </c>
      <c r="V125" s="5">
        <f t="shared" si="147"/>
        <v>1.403503890161685E-2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1.0050748344547559E-2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1.0050748344547559E-2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6.4815066927253777E-3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6.4815066927253777E-3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-8837.1</v>
      </c>
      <c r="D131">
        <v>21602.2</v>
      </c>
      <c r="E131">
        <v>14576.1</v>
      </c>
      <c r="F131">
        <f t="shared" ref="F131:F141" si="156">D131/10000</f>
        <v>2.1602200000000003</v>
      </c>
      <c r="G131">
        <f t="shared" ref="G131:G141" si="157">C131/10000</f>
        <v>-0.88371</v>
      </c>
      <c r="H131">
        <f t="shared" ref="H131:H141" si="158">F131-G131</f>
        <v>3.0439300000000005</v>
      </c>
      <c r="I131">
        <f>E131/10000</f>
        <v>1.4576100000000001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8.25871677250236E-2</v>
      </c>
      <c r="P131" s="2">
        <v>3</v>
      </c>
      <c r="Q131" s="8">
        <f>H131</f>
        <v>3.0439300000000005</v>
      </c>
      <c r="R131" s="8">
        <f>I131</f>
        <v>1.4576100000000001</v>
      </c>
      <c r="S131" s="8">
        <f>Q131/10^6*$Z$4*$Z$3/P131*10^12</f>
        <v>3.3818062300000005</v>
      </c>
      <c r="T131" s="8">
        <f>S131*0.06</f>
        <v>0.20290837380000001</v>
      </c>
      <c r="U131" s="8">
        <f>S131/$Z$1</f>
        <v>0.46326112739726033</v>
      </c>
      <c r="V131" s="12">
        <f t="shared" ref="V131:V141" si="159">O131</f>
        <v>8.25871677250236E-2</v>
      </c>
    </row>
    <row r="132" spans="2:22" x14ac:dyDescent="0.3">
      <c r="B132">
        <v>2</v>
      </c>
      <c r="C132">
        <v>-10322.6</v>
      </c>
      <c r="D132">
        <v>39277</v>
      </c>
      <c r="E132">
        <v>8794.1</v>
      </c>
      <c r="F132">
        <f t="shared" si="156"/>
        <v>3.9277000000000002</v>
      </c>
      <c r="G132">
        <f t="shared" si="157"/>
        <v>-1.03226</v>
      </c>
      <c r="H132">
        <f t="shared" si="158"/>
        <v>4.9599600000000006</v>
      </c>
      <c r="I132">
        <f t="shared" ref="I132:I141" si="160">E132/10000</f>
        <v>0.87941000000000003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7.3257982420772763E-2</v>
      </c>
      <c r="P132" s="4">
        <v>3</v>
      </c>
      <c r="Q132" s="5">
        <f t="shared" ref="Q132:R141" si="163">H132</f>
        <v>4.9599600000000006</v>
      </c>
      <c r="R132" s="5">
        <f t="shared" si="163"/>
        <v>0.87941000000000003</v>
      </c>
      <c r="S132" s="5">
        <f t="shared" ref="S132:S141" si="164">Q132/10^6*$Z$4*$Z$3/P132*10^12</f>
        <v>5.5105155600000009</v>
      </c>
      <c r="T132" s="5">
        <f t="shared" ref="T132:T141" si="165">S132*0.06</f>
        <v>0.33063093360000007</v>
      </c>
      <c r="U132" s="5">
        <f t="shared" ref="U132:U141" si="166">S132/$Z$1</f>
        <v>0.75486514520547954</v>
      </c>
      <c r="V132" s="5">
        <f t="shared" si="159"/>
        <v>7.3257982420772763E-2</v>
      </c>
    </row>
    <row r="133" spans="2:22" x14ac:dyDescent="0.3">
      <c r="B133">
        <v>3</v>
      </c>
      <c r="C133">
        <v>-8279.6</v>
      </c>
      <c r="D133">
        <v>44510.6</v>
      </c>
      <c r="E133">
        <v>5582.6</v>
      </c>
      <c r="F133">
        <f t="shared" si="156"/>
        <v>4.45106</v>
      </c>
      <c r="G133">
        <f t="shared" si="157"/>
        <v>-0.82796000000000003</v>
      </c>
      <c r="H133">
        <f t="shared" si="158"/>
        <v>5.27902</v>
      </c>
      <c r="I133">
        <f t="shared" si="160"/>
        <v>0.55826000000000009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6.3199201142279213E-2</v>
      </c>
      <c r="P133" s="4">
        <v>3</v>
      </c>
      <c r="Q133" s="5">
        <f t="shared" si="163"/>
        <v>5.27902</v>
      </c>
      <c r="R133" s="5">
        <f t="shared" si="163"/>
        <v>0.55826000000000009</v>
      </c>
      <c r="S133" s="5">
        <f t="shared" si="164"/>
        <v>5.8649912200000003</v>
      </c>
      <c r="T133" s="5">
        <f t="shared" si="165"/>
        <v>0.35189947319999998</v>
      </c>
      <c r="U133" s="5">
        <f t="shared" si="166"/>
        <v>0.8034234547945206</v>
      </c>
      <c r="V133" s="5">
        <f t="shared" si="159"/>
        <v>6.3199201142279213E-2</v>
      </c>
    </row>
    <row r="134" spans="2:22" x14ac:dyDescent="0.3">
      <c r="B134">
        <v>4</v>
      </c>
      <c r="C134">
        <v>-11102.4</v>
      </c>
      <c r="D134">
        <v>31504.799999999999</v>
      </c>
      <c r="E134">
        <v>6240</v>
      </c>
      <c r="F134">
        <f t="shared" si="156"/>
        <v>3.1504799999999999</v>
      </c>
      <c r="G134">
        <f t="shared" si="157"/>
        <v>-1.1102399999999999</v>
      </c>
      <c r="H134">
        <f t="shared" si="158"/>
        <v>4.2607200000000001</v>
      </c>
      <c r="I134">
        <f t="shared" si="160"/>
        <v>0.624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3.8278220841209486E-2</v>
      </c>
      <c r="P134" s="4">
        <v>3</v>
      </c>
      <c r="Q134" s="5">
        <f t="shared" si="163"/>
        <v>4.2607200000000001</v>
      </c>
      <c r="R134" s="5">
        <f t="shared" si="163"/>
        <v>0.624</v>
      </c>
      <c r="S134" s="5">
        <f t="shared" si="164"/>
        <v>4.7336599200000009</v>
      </c>
      <c r="T134" s="5">
        <f t="shared" si="165"/>
        <v>0.28401959520000003</v>
      </c>
      <c r="U134" s="5">
        <f t="shared" si="166"/>
        <v>0.64844656438356174</v>
      </c>
      <c r="V134" s="5">
        <f t="shared" si="159"/>
        <v>3.8278220841209486E-2</v>
      </c>
    </row>
    <row r="135" spans="2:22" x14ac:dyDescent="0.3">
      <c r="B135">
        <v>5</v>
      </c>
      <c r="C135">
        <v>-11643.3</v>
      </c>
      <c r="D135">
        <v>17649</v>
      </c>
      <c r="E135">
        <v>6319</v>
      </c>
      <c r="F135">
        <f t="shared" si="156"/>
        <v>1.7648999999999999</v>
      </c>
      <c r="G135">
        <f t="shared" si="157"/>
        <v>-1.1643299999999999</v>
      </c>
      <c r="H135">
        <f t="shared" si="158"/>
        <v>2.9292299999999996</v>
      </c>
      <c r="I135">
        <f t="shared" si="160"/>
        <v>0.63190000000000002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2.7666095006839711E-2</v>
      </c>
      <c r="P135" s="4">
        <v>3</v>
      </c>
      <c r="Q135" s="5">
        <f t="shared" si="163"/>
        <v>2.9292299999999996</v>
      </c>
      <c r="R135" s="5">
        <f t="shared" si="163"/>
        <v>0.63190000000000002</v>
      </c>
      <c r="S135" s="5">
        <f t="shared" si="164"/>
        <v>3.2543745299999998</v>
      </c>
      <c r="T135" s="5">
        <f t="shared" si="165"/>
        <v>0.19526247179999998</v>
      </c>
      <c r="U135" s="5">
        <f t="shared" si="166"/>
        <v>0.44580473013698629</v>
      </c>
      <c r="V135" s="5">
        <f t="shared" si="159"/>
        <v>2.7666095006839711E-2</v>
      </c>
    </row>
    <row r="136" spans="2:22" x14ac:dyDescent="0.3">
      <c r="B136">
        <v>6</v>
      </c>
      <c r="C136">
        <v>0</v>
      </c>
      <c r="D136">
        <v>0</v>
      </c>
      <c r="E136">
        <v>0</v>
      </c>
      <c r="F136">
        <f t="shared" si="156"/>
        <v>0</v>
      </c>
      <c r="G136">
        <f t="shared" si="157"/>
        <v>0</v>
      </c>
      <c r="H136">
        <f t="shared" si="158"/>
        <v>0</v>
      </c>
      <c r="I136">
        <f t="shared" si="160"/>
        <v>0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1.9150265217489859E-2</v>
      </c>
      <c r="P136" s="4">
        <v>4</v>
      </c>
      <c r="Q136" s="5">
        <f t="shared" si="163"/>
        <v>0</v>
      </c>
      <c r="R136" s="5">
        <f t="shared" si="163"/>
        <v>0</v>
      </c>
      <c r="S136" s="5">
        <f t="shared" si="164"/>
        <v>0</v>
      </c>
      <c r="T136" s="5">
        <f t="shared" si="165"/>
        <v>0</v>
      </c>
      <c r="U136" s="5">
        <f t="shared" si="166"/>
        <v>0</v>
      </c>
      <c r="V136" s="5">
        <f t="shared" si="159"/>
        <v>1.9150265217489859E-2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1.3844035660042388E-2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1.3844035660042388E-2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1.1609823997033829E-2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1.1609823997033829E-2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9.3566926010779008E-3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9.3566926010779008E-3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6.7004988963650387E-3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6.7004988963650387E-3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4.3210044618169187E-3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4.3210044618169187E-3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-4698.2</v>
      </c>
      <c r="D145">
        <v>22885.599999999999</v>
      </c>
      <c r="E145">
        <v>17200.8</v>
      </c>
      <c r="F145">
        <f t="shared" ref="F145:F155" si="168">D145/10000</f>
        <v>2.2885599999999999</v>
      </c>
      <c r="G145">
        <f t="shared" ref="G145:G155" si="169">C145/10000</f>
        <v>-0.46981999999999996</v>
      </c>
      <c r="H145">
        <f t="shared" ref="H145:H155" si="170">F145-G145</f>
        <v>2.7583799999999998</v>
      </c>
      <c r="I145">
        <f>E145/10000</f>
        <v>1.7200799999999998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6.1940375793767696E-2</v>
      </c>
      <c r="P145" s="2">
        <v>3</v>
      </c>
      <c r="Q145" s="8">
        <f>H145</f>
        <v>2.7583799999999998</v>
      </c>
      <c r="R145" s="8">
        <f>I145</f>
        <v>1.7200799999999998</v>
      </c>
      <c r="S145" s="8">
        <f>Q145/10^6*$Z$4*$Z$3/P145*10^12</f>
        <v>3.06456018</v>
      </c>
      <c r="T145" s="8">
        <f>S145*0.06</f>
        <v>0.1838736108</v>
      </c>
      <c r="U145" s="8">
        <f>S145/$Z$1</f>
        <v>0.41980276438356162</v>
      </c>
      <c r="V145" s="12">
        <f t="shared" ref="V145:V155" si="171">O145</f>
        <v>6.1940375793767696E-2</v>
      </c>
    </row>
    <row r="146" spans="2:22" x14ac:dyDescent="0.3">
      <c r="B146">
        <v>2</v>
      </c>
      <c r="C146">
        <v>-9635.5</v>
      </c>
      <c r="D146">
        <v>34139.199999999997</v>
      </c>
      <c r="E146">
        <v>8087.3</v>
      </c>
      <c r="F146">
        <f t="shared" si="168"/>
        <v>3.4139199999999996</v>
      </c>
      <c r="G146">
        <f t="shared" si="169"/>
        <v>-0.96355000000000002</v>
      </c>
      <c r="H146">
        <f t="shared" si="170"/>
        <v>4.3774699999999998</v>
      </c>
      <c r="I146">
        <f t="shared" ref="I146:I155" si="172">E146/10000</f>
        <v>0.80873000000000006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5.4943486815579569E-2</v>
      </c>
      <c r="P146" s="4">
        <v>3</v>
      </c>
      <c r="Q146" s="5">
        <f t="shared" ref="Q146:R155" si="175">H146</f>
        <v>4.3774699999999998</v>
      </c>
      <c r="R146" s="5">
        <f t="shared" si="175"/>
        <v>0.80873000000000006</v>
      </c>
      <c r="S146" s="5">
        <f t="shared" ref="S146:S155" si="176">Q146/10^6*$Z$4*$Z$3/P146*10^12</f>
        <v>4.8633691699999995</v>
      </c>
      <c r="T146" s="5">
        <f t="shared" ref="T146:T155" si="177">S146*0.06</f>
        <v>0.29180215019999994</v>
      </c>
      <c r="U146" s="5">
        <f t="shared" ref="U146:U155" si="178">S146/$Z$1</f>
        <v>0.66621495479452053</v>
      </c>
      <c r="V146" s="5">
        <f t="shared" si="171"/>
        <v>5.4943486815579569E-2</v>
      </c>
    </row>
    <row r="147" spans="2:22" x14ac:dyDescent="0.3">
      <c r="B147">
        <v>3</v>
      </c>
      <c r="C147">
        <v>-13657.1</v>
      </c>
      <c r="D147">
        <v>40829.599999999999</v>
      </c>
      <c r="E147">
        <v>6084.4</v>
      </c>
      <c r="F147">
        <f t="shared" si="168"/>
        <v>4.0829599999999999</v>
      </c>
      <c r="G147">
        <f t="shared" si="169"/>
        <v>-1.36571</v>
      </c>
      <c r="H147">
        <f t="shared" si="170"/>
        <v>5.4486699999999999</v>
      </c>
      <c r="I147">
        <f t="shared" si="172"/>
        <v>0.60843999999999998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4.7399400856709413E-2</v>
      </c>
      <c r="P147" s="4">
        <v>3</v>
      </c>
      <c r="Q147" s="5">
        <f t="shared" si="175"/>
        <v>5.4486699999999999</v>
      </c>
      <c r="R147" s="5">
        <f t="shared" si="175"/>
        <v>0.60843999999999998</v>
      </c>
      <c r="S147" s="5">
        <f t="shared" si="176"/>
        <v>6.0534723699999997</v>
      </c>
      <c r="T147" s="5">
        <f t="shared" si="177"/>
        <v>0.36320834219999998</v>
      </c>
      <c r="U147" s="5">
        <f t="shared" si="178"/>
        <v>0.82924279041095883</v>
      </c>
      <c r="V147" s="5">
        <f t="shared" si="171"/>
        <v>4.7399400856709413E-2</v>
      </c>
    </row>
    <row r="148" spans="2:22" x14ac:dyDescent="0.3">
      <c r="B148">
        <v>4</v>
      </c>
      <c r="C148">
        <v>-6873.3</v>
      </c>
      <c r="D148">
        <v>29327</v>
      </c>
      <c r="E148">
        <v>8445</v>
      </c>
      <c r="F148">
        <f t="shared" si="168"/>
        <v>2.9327000000000001</v>
      </c>
      <c r="G148">
        <f t="shared" si="169"/>
        <v>-0.68733</v>
      </c>
      <c r="H148">
        <f t="shared" si="170"/>
        <v>3.6200299999999999</v>
      </c>
      <c r="I148">
        <f t="shared" si="172"/>
        <v>0.84450000000000003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2.8708665630907116E-2</v>
      </c>
      <c r="P148" s="4">
        <v>3</v>
      </c>
      <c r="Q148" s="5">
        <f t="shared" si="175"/>
        <v>3.6200299999999999</v>
      </c>
      <c r="R148" s="5">
        <f t="shared" si="175"/>
        <v>0.84450000000000003</v>
      </c>
      <c r="S148" s="5">
        <f t="shared" si="176"/>
        <v>4.0218533299999999</v>
      </c>
      <c r="T148" s="5">
        <f t="shared" si="177"/>
        <v>0.24131119979999999</v>
      </c>
      <c r="U148" s="5">
        <f t="shared" si="178"/>
        <v>0.55093881232876707</v>
      </c>
      <c r="V148" s="5">
        <f t="shared" si="171"/>
        <v>2.8708665630907116E-2</v>
      </c>
    </row>
    <row r="149" spans="2:22" x14ac:dyDescent="0.3">
      <c r="B149">
        <v>5</v>
      </c>
      <c r="C149">
        <v>-9886.6</v>
      </c>
      <c r="D149">
        <v>10899.8</v>
      </c>
      <c r="E149">
        <v>6813.4</v>
      </c>
      <c r="F149">
        <f t="shared" si="168"/>
        <v>1.0899799999999999</v>
      </c>
      <c r="G149">
        <f t="shared" si="169"/>
        <v>-0.98865999999999998</v>
      </c>
      <c r="H149">
        <f t="shared" si="170"/>
        <v>2.07864</v>
      </c>
      <c r="I149">
        <f t="shared" si="172"/>
        <v>0.68133999999999995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2.0749571255129783E-2</v>
      </c>
      <c r="P149" s="4">
        <v>3</v>
      </c>
      <c r="Q149" s="5">
        <f t="shared" si="175"/>
        <v>2.07864</v>
      </c>
      <c r="R149" s="5">
        <f t="shared" si="175"/>
        <v>0.68133999999999995</v>
      </c>
      <c r="S149" s="5">
        <f t="shared" si="176"/>
        <v>2.3093690400000004</v>
      </c>
      <c r="T149" s="5">
        <f t="shared" si="177"/>
        <v>0.13856214240000003</v>
      </c>
      <c r="U149" s="5">
        <f t="shared" si="178"/>
        <v>0.31635192328767131</v>
      </c>
      <c r="V149" s="5">
        <f t="shared" si="171"/>
        <v>2.0749571255129783E-2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1.4362698913117394E-2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1.4362698913117394E-2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1.0383026745031792E-2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1.0383026745031792E-2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8.7073679977753716E-3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8.7073679977753716E-3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7.0175194508084252E-3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7.0175194508084252E-3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5.0253741722737794E-3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5.0253741722737794E-3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3.2407533463626888E-3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3.2407533463626888E-3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2289.5</v>
      </c>
      <c r="D159">
        <v>31752.3</v>
      </c>
      <c r="E159">
        <v>17234</v>
      </c>
      <c r="F159">
        <f t="shared" ref="F159:F169" si="180">D159/10000</f>
        <v>3.17523</v>
      </c>
      <c r="G159">
        <f t="shared" ref="G159:G169" si="181">C159/10000</f>
        <v>0.22894999999999999</v>
      </c>
      <c r="H159">
        <f t="shared" ref="H159:H169" si="182">F159-G159</f>
        <v>2.9462799999999998</v>
      </c>
      <c r="I159">
        <f>E159/10000</f>
        <v>1.7234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4.955230063501416E-2</v>
      </c>
      <c r="P159" s="2">
        <v>3</v>
      </c>
      <c r="Q159" s="8">
        <f>H159</f>
        <v>2.9462799999999998</v>
      </c>
      <c r="R159" s="8">
        <f>I159</f>
        <v>1.7234</v>
      </c>
      <c r="S159" s="8">
        <f>Q159/10^6*$Z$4*$Z$3/P159*10^12</f>
        <v>3.27331708</v>
      </c>
      <c r="T159" s="8">
        <f>S159*0.06</f>
        <v>0.19639902479999999</v>
      </c>
      <c r="U159" s="8">
        <f>S159/$Z$1</f>
        <v>0.44839960000000001</v>
      </c>
      <c r="V159" s="12">
        <f t="shared" ref="V159:V169" si="183">O159</f>
        <v>4.955230063501416E-2</v>
      </c>
    </row>
    <row r="160" spans="2:22" x14ac:dyDescent="0.3">
      <c r="B160">
        <v>2</v>
      </c>
      <c r="C160">
        <v>-576.6</v>
      </c>
      <c r="D160">
        <v>38730.400000000001</v>
      </c>
      <c r="E160">
        <v>9335.7000000000007</v>
      </c>
      <c r="F160">
        <f t="shared" si="180"/>
        <v>3.87304</v>
      </c>
      <c r="G160">
        <f t="shared" si="181"/>
        <v>-5.7660000000000003E-2</v>
      </c>
      <c r="H160">
        <f t="shared" si="182"/>
        <v>3.9306999999999999</v>
      </c>
      <c r="I160">
        <f t="shared" ref="I160:I169" si="184">E160/10000</f>
        <v>0.93357000000000012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4.3954789452463651E-2</v>
      </c>
      <c r="P160" s="4">
        <v>3</v>
      </c>
      <c r="Q160" s="5">
        <f t="shared" ref="Q160:R169" si="187">H160</f>
        <v>3.9306999999999999</v>
      </c>
      <c r="R160" s="5">
        <f t="shared" si="187"/>
        <v>0.93357000000000012</v>
      </c>
      <c r="S160" s="5">
        <f t="shared" ref="S160:S169" si="188">Q160/10^6*$Z$4*$Z$3/P160*10^12</f>
        <v>4.3670076999999994</v>
      </c>
      <c r="T160" s="5">
        <f t="shared" ref="T160:T169" si="189">S160*0.06</f>
        <v>0.26202046199999995</v>
      </c>
      <c r="U160" s="5">
        <f t="shared" ref="U160:U169" si="190">S160/$Z$1</f>
        <v>0.59822023287671222</v>
      </c>
      <c r="V160" s="5">
        <f t="shared" si="183"/>
        <v>4.3954789452463651E-2</v>
      </c>
    </row>
    <row r="161" spans="2:22" x14ac:dyDescent="0.3">
      <c r="B161">
        <v>3</v>
      </c>
      <c r="C161">
        <v>-3540</v>
      </c>
      <c r="D161">
        <v>36487</v>
      </c>
      <c r="E161">
        <v>5611.3</v>
      </c>
      <c r="F161">
        <f t="shared" si="180"/>
        <v>3.6486999999999998</v>
      </c>
      <c r="G161">
        <f t="shared" si="181"/>
        <v>-0.35399999999999998</v>
      </c>
      <c r="H161">
        <f t="shared" si="182"/>
        <v>4.0026999999999999</v>
      </c>
      <c r="I161">
        <f t="shared" si="184"/>
        <v>0.56113000000000002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3.7919520685367532E-2</v>
      </c>
      <c r="P161" s="4">
        <v>3</v>
      </c>
      <c r="Q161" s="5">
        <f t="shared" si="187"/>
        <v>4.0026999999999999</v>
      </c>
      <c r="R161" s="5">
        <f t="shared" si="187"/>
        <v>0.56113000000000002</v>
      </c>
      <c r="S161" s="5">
        <f t="shared" si="188"/>
        <v>4.446999700000001</v>
      </c>
      <c r="T161" s="5">
        <f t="shared" si="189"/>
        <v>0.26681998200000007</v>
      </c>
      <c r="U161" s="5">
        <f t="shared" si="190"/>
        <v>0.60917804109589058</v>
      </c>
      <c r="V161" s="5">
        <f t="shared" si="183"/>
        <v>3.7919520685367532E-2</v>
      </c>
    </row>
    <row r="162" spans="2:22" x14ac:dyDescent="0.3">
      <c r="B162">
        <v>4</v>
      </c>
      <c r="C162">
        <v>-5565</v>
      </c>
      <c r="D162">
        <v>20063.400000000001</v>
      </c>
      <c r="E162">
        <v>6416.8</v>
      </c>
      <c r="F162">
        <f t="shared" si="180"/>
        <v>2.0063400000000002</v>
      </c>
      <c r="G162">
        <f t="shared" si="181"/>
        <v>-0.55649999999999999</v>
      </c>
      <c r="H162">
        <f t="shared" si="182"/>
        <v>2.5628400000000005</v>
      </c>
      <c r="I162">
        <f t="shared" si="184"/>
        <v>0.64168000000000003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2.2966932504725691E-2</v>
      </c>
      <c r="P162" s="4">
        <v>3</v>
      </c>
      <c r="Q162" s="5">
        <f t="shared" si="187"/>
        <v>2.5628400000000005</v>
      </c>
      <c r="R162" s="5">
        <f t="shared" si="187"/>
        <v>0.64168000000000003</v>
      </c>
      <c r="S162" s="5">
        <f t="shared" si="188"/>
        <v>2.8473152400000004</v>
      </c>
      <c r="T162" s="5">
        <f t="shared" si="189"/>
        <v>0.17083891440000001</v>
      </c>
      <c r="U162" s="5">
        <f t="shared" si="190"/>
        <v>0.39004318356164391</v>
      </c>
      <c r="V162" s="5">
        <f t="shared" si="183"/>
        <v>2.2966932504725691E-2</v>
      </c>
    </row>
    <row r="163" spans="2:22" x14ac:dyDescent="0.3">
      <c r="B163">
        <v>5</v>
      </c>
      <c r="C163">
        <v>0</v>
      </c>
      <c r="D163">
        <v>0</v>
      </c>
      <c r="E163">
        <v>0</v>
      </c>
      <c r="F163">
        <f t="shared" si="180"/>
        <v>0</v>
      </c>
      <c r="G163">
        <f t="shared" si="181"/>
        <v>0</v>
      </c>
      <c r="H163">
        <f t="shared" si="182"/>
        <v>0</v>
      </c>
      <c r="I163">
        <f t="shared" si="184"/>
        <v>0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1.6599657004103829E-2</v>
      </c>
      <c r="P163" s="4">
        <v>3</v>
      </c>
      <c r="Q163" s="5">
        <f t="shared" si="187"/>
        <v>0</v>
      </c>
      <c r="R163" s="5">
        <f t="shared" si="187"/>
        <v>0</v>
      </c>
      <c r="S163" s="5">
        <f t="shared" si="188"/>
        <v>0</v>
      </c>
      <c r="T163" s="5">
        <f t="shared" si="189"/>
        <v>0</v>
      </c>
      <c r="U163" s="5">
        <f t="shared" si="190"/>
        <v>0</v>
      </c>
      <c r="V163" s="5">
        <f t="shared" si="183"/>
        <v>1.6599657004103829E-2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1.1490159130493916E-2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1.1490159130493916E-2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8.3064213960254325E-3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8.3064213960254325E-3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6.9658943982202973E-3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6.9658943982202973E-3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5.6140155606467399E-3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5.6140155606467399E-3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4.0202993378190234E-3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4.0202993378190234E-3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2.5926026770901511E-3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2.5926026770901511E-3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CQ170"/>
  <sheetViews>
    <sheetView workbookViewId="0">
      <selection activeCell="Y5" sqref="Y5:Z6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7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31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-15709.8</v>
      </c>
      <c r="D5">
        <v>67065.2</v>
      </c>
      <c r="E5">
        <v>8782.2999999999993</v>
      </c>
      <c r="F5">
        <f t="shared" ref="F5:F15" si="0">D5/10000</f>
        <v>6.7065199999999994</v>
      </c>
      <c r="G5">
        <f t="shared" ref="G5:G15" si="1">C5/10000</f>
        <v>-1.5709799999999998</v>
      </c>
      <c r="H5">
        <f t="shared" ref="H5:H15" si="2">F5-G5</f>
        <v>8.2774999999999999</v>
      </c>
      <c r="I5">
        <f>E5/10000</f>
        <v>0.87822999999999996</v>
      </c>
      <c r="K5" s="66">
        <v>2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0.55058111816682398</v>
      </c>
      <c r="P5" s="2">
        <v>3</v>
      </c>
      <c r="Q5" s="8">
        <f>H5</f>
        <v>8.2774999999999999</v>
      </c>
      <c r="R5" s="8">
        <f>I5</f>
        <v>0.87822999999999996</v>
      </c>
      <c r="S5" s="8">
        <f>Q5/10^6*$Z$4*$Z$3/P5*10^12</f>
        <v>9.1963025000000016</v>
      </c>
      <c r="T5" s="8">
        <f>S5*0.06</f>
        <v>0.55177815000000008</v>
      </c>
      <c r="U5" s="8">
        <f>S5/$Z$1</f>
        <v>1.2597674657534248</v>
      </c>
      <c r="V5" s="12">
        <f t="shared" ref="V5:V15" si="4">O5</f>
        <v>0.55058111816682398</v>
      </c>
    </row>
    <row r="6" spans="2:95" x14ac:dyDescent="0.3">
      <c r="B6">
        <v>2</v>
      </c>
      <c r="C6">
        <v>-19380.599999999999</v>
      </c>
      <c r="D6">
        <v>74733.100000000006</v>
      </c>
      <c r="E6">
        <v>4405.3</v>
      </c>
      <c r="F6">
        <f t="shared" si="0"/>
        <v>7.4733100000000006</v>
      </c>
      <c r="G6">
        <f t="shared" si="1"/>
        <v>-1.9380599999999999</v>
      </c>
      <c r="H6">
        <f t="shared" si="2"/>
        <v>9.4113699999999998</v>
      </c>
      <c r="I6">
        <f t="shared" ref="I6:I15" si="5">E6/10000</f>
        <v>0.44053000000000003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0.48838654947181837</v>
      </c>
      <c r="P6" s="4">
        <v>3</v>
      </c>
      <c r="Q6" s="5">
        <f t="shared" ref="Q6:R15" si="7">H6</f>
        <v>9.4113699999999998</v>
      </c>
      <c r="R6" s="5">
        <f t="shared" si="7"/>
        <v>0.44053000000000003</v>
      </c>
      <c r="S6" s="5">
        <f t="shared" ref="S6:S15" si="8">Q6/10^6*$Z$4*$Z$3/P6*10^12</f>
        <v>10.456032069999999</v>
      </c>
      <c r="T6" s="5">
        <f t="shared" ref="T6:T15" si="9">S6*0.06</f>
        <v>0.62736192419999992</v>
      </c>
      <c r="U6" s="5">
        <f t="shared" ref="U6:U15" si="10">S6/$Z$1</f>
        <v>1.4323331602739726</v>
      </c>
      <c r="V6" s="5">
        <f t="shared" si="4"/>
        <v>0.48838654947181837</v>
      </c>
    </row>
    <row r="7" spans="2:95" x14ac:dyDescent="0.3">
      <c r="B7">
        <v>3</v>
      </c>
      <c r="C7">
        <v>-20653.2</v>
      </c>
      <c r="D7">
        <v>64703.7</v>
      </c>
      <c r="E7">
        <v>4812.5</v>
      </c>
      <c r="F7">
        <f t="shared" si="0"/>
        <v>6.47037</v>
      </c>
      <c r="G7">
        <f t="shared" si="1"/>
        <v>-2.0653200000000003</v>
      </c>
      <c r="H7">
        <f t="shared" si="2"/>
        <v>8.5356900000000007</v>
      </c>
      <c r="I7">
        <f t="shared" si="5"/>
        <v>0.48125000000000001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0.42132800761519479</v>
      </c>
      <c r="P7" s="4">
        <v>3</v>
      </c>
      <c r="Q7" s="5">
        <f t="shared" si="7"/>
        <v>8.5356900000000007</v>
      </c>
      <c r="R7" s="5">
        <f t="shared" si="7"/>
        <v>0.48125000000000001</v>
      </c>
      <c r="S7" s="5">
        <f t="shared" si="8"/>
        <v>9.4831515900000021</v>
      </c>
      <c r="T7" s="5">
        <f t="shared" si="9"/>
        <v>0.56898909540000009</v>
      </c>
      <c r="U7" s="5">
        <f t="shared" si="10"/>
        <v>1.2990618616438359</v>
      </c>
      <c r="V7" s="5">
        <f t="shared" si="4"/>
        <v>0.42132800761519479</v>
      </c>
      <c r="Y7" t="s">
        <v>41</v>
      </c>
      <c r="Z7">
        <v>9</v>
      </c>
    </row>
    <row r="8" spans="2:95" x14ac:dyDescent="0.3">
      <c r="B8">
        <v>4</v>
      </c>
      <c r="C8">
        <v>-15985</v>
      </c>
      <c r="D8">
        <v>53511.3</v>
      </c>
      <c r="E8">
        <v>2914.4</v>
      </c>
      <c r="F8">
        <f t="shared" si="0"/>
        <v>5.3511300000000004</v>
      </c>
      <c r="G8">
        <f t="shared" si="1"/>
        <v>-1.5985</v>
      </c>
      <c r="H8">
        <f t="shared" si="2"/>
        <v>6.9496300000000009</v>
      </c>
      <c r="I8">
        <f t="shared" si="5"/>
        <v>0.29144000000000003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0.25518813894139658</v>
      </c>
      <c r="P8" s="4">
        <v>3</v>
      </c>
      <c r="Q8" s="5">
        <f t="shared" si="7"/>
        <v>6.9496300000000009</v>
      </c>
      <c r="R8" s="5">
        <f t="shared" si="7"/>
        <v>0.29144000000000003</v>
      </c>
      <c r="S8" s="5">
        <f t="shared" si="8"/>
        <v>7.7210389300000015</v>
      </c>
      <c r="T8" s="5">
        <f t="shared" si="9"/>
        <v>0.46326233580000009</v>
      </c>
      <c r="U8" s="5">
        <f t="shared" si="10"/>
        <v>1.0576765657534248</v>
      </c>
      <c r="V8" s="5">
        <f t="shared" si="4"/>
        <v>0.25518813894139658</v>
      </c>
    </row>
    <row r="9" spans="2:95" x14ac:dyDescent="0.3">
      <c r="B9">
        <v>5</v>
      </c>
      <c r="C9">
        <v>-18647.3</v>
      </c>
      <c r="D9">
        <v>37329.800000000003</v>
      </c>
      <c r="E9">
        <v>3792.1</v>
      </c>
      <c r="F9">
        <f t="shared" si="0"/>
        <v>3.7329800000000004</v>
      </c>
      <c r="G9">
        <f t="shared" si="1"/>
        <v>-1.86473</v>
      </c>
      <c r="H9">
        <f t="shared" si="2"/>
        <v>5.5977100000000002</v>
      </c>
      <c r="I9">
        <f t="shared" si="5"/>
        <v>0.37920999999999999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0.18444063337893141</v>
      </c>
      <c r="P9" s="4">
        <v>3</v>
      </c>
      <c r="Q9" s="5">
        <f t="shared" si="7"/>
        <v>5.5977100000000002</v>
      </c>
      <c r="R9" s="5">
        <f t="shared" si="7"/>
        <v>0.37920999999999999</v>
      </c>
      <c r="S9" s="5">
        <f t="shared" si="8"/>
        <v>6.2190558100000004</v>
      </c>
      <c r="T9" s="5">
        <f t="shared" si="9"/>
        <v>0.37314334860000004</v>
      </c>
      <c r="U9" s="5">
        <f t="shared" si="10"/>
        <v>0.85192545342465764</v>
      </c>
      <c r="V9" s="5">
        <f t="shared" si="4"/>
        <v>0.18444063337893141</v>
      </c>
    </row>
    <row r="10" spans="2:95" ht="15" thickBot="1" x14ac:dyDescent="0.35">
      <c r="B10">
        <v>6</v>
      </c>
      <c r="C10">
        <v>-13497.7</v>
      </c>
      <c r="D10">
        <v>45056.6</v>
      </c>
      <c r="E10">
        <v>4088.6</v>
      </c>
      <c r="F10">
        <f t="shared" si="0"/>
        <v>4.5056599999999998</v>
      </c>
      <c r="G10">
        <f t="shared" si="1"/>
        <v>-1.3497700000000001</v>
      </c>
      <c r="H10">
        <f t="shared" si="2"/>
        <v>5.8554300000000001</v>
      </c>
      <c r="I10">
        <f t="shared" si="5"/>
        <v>0.40886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0.12766843478326573</v>
      </c>
      <c r="P10" s="4">
        <v>4</v>
      </c>
      <c r="Q10" s="5">
        <f t="shared" si="7"/>
        <v>5.8554300000000001</v>
      </c>
      <c r="R10" s="5">
        <f t="shared" si="7"/>
        <v>0.40886</v>
      </c>
      <c r="S10" s="5">
        <f t="shared" si="8"/>
        <v>4.8790370474999998</v>
      </c>
      <c r="T10" s="5">
        <f t="shared" si="9"/>
        <v>0.29274222284999996</v>
      </c>
      <c r="U10" s="5">
        <f t="shared" si="10"/>
        <v>0.66836123938356162</v>
      </c>
      <c r="V10" s="5">
        <f t="shared" si="4"/>
        <v>0.12766843478326573</v>
      </c>
    </row>
    <row r="11" spans="2:95" ht="15.6" thickTop="1" thickBot="1" x14ac:dyDescent="0.35">
      <c r="B11">
        <v>7</v>
      </c>
      <c r="C11">
        <v>-9542.4</v>
      </c>
      <c r="D11">
        <v>38677.699999999997</v>
      </c>
      <c r="E11">
        <v>7048</v>
      </c>
      <c r="F11">
        <f t="shared" si="0"/>
        <v>3.8677699999999997</v>
      </c>
      <c r="G11">
        <f t="shared" si="1"/>
        <v>-0.95423999999999998</v>
      </c>
      <c r="H11">
        <f t="shared" si="2"/>
        <v>4.8220099999999997</v>
      </c>
      <c r="I11">
        <f t="shared" si="5"/>
        <v>0.70479999999999998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9.2293571066949256E-2</v>
      </c>
      <c r="P11" s="4">
        <v>4</v>
      </c>
      <c r="Q11" s="5">
        <f t="shared" si="7"/>
        <v>4.8220099999999997</v>
      </c>
      <c r="R11" s="5">
        <f t="shared" si="7"/>
        <v>0.70479999999999998</v>
      </c>
      <c r="S11" s="5">
        <f t="shared" si="8"/>
        <v>4.0179398324999998</v>
      </c>
      <c r="T11" s="5">
        <f t="shared" si="9"/>
        <v>0.24107638994999997</v>
      </c>
      <c r="U11" s="5">
        <f t="shared" si="10"/>
        <v>0.55040271678082187</v>
      </c>
      <c r="V11" s="5">
        <f t="shared" si="4"/>
        <v>9.2293571066949256E-2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4" t="s">
        <v>60</v>
      </c>
      <c r="CA11" s="27" t="s">
        <v>61</v>
      </c>
      <c r="CB11" s="27" t="s">
        <v>62</v>
      </c>
      <c r="CC11" s="27" t="s">
        <v>56</v>
      </c>
      <c r="CD11" s="45" t="s">
        <v>63</v>
      </c>
      <c r="CE11" s="45" t="s">
        <v>64</v>
      </c>
      <c r="CF11" s="44" t="s">
        <v>60</v>
      </c>
      <c r="CG11" s="27" t="s">
        <v>61</v>
      </c>
      <c r="CH11" s="27" t="s">
        <v>62</v>
      </c>
      <c r="CI11" s="27" t="s">
        <v>56</v>
      </c>
      <c r="CJ11" s="45" t="s">
        <v>63</v>
      </c>
      <c r="CK11" s="45" t="s">
        <v>64</v>
      </c>
      <c r="CL11" s="44" t="s">
        <v>60</v>
      </c>
      <c r="CM11" s="27" t="s">
        <v>61</v>
      </c>
      <c r="CN11" s="27" t="s">
        <v>62</v>
      </c>
      <c r="CO11" s="27" t="s">
        <v>56</v>
      </c>
      <c r="CP11" s="45" t="s">
        <v>63</v>
      </c>
      <c r="CQ11" s="45" t="s">
        <v>64</v>
      </c>
    </row>
    <row r="12" spans="2:95" ht="15" thickBot="1" x14ac:dyDescent="0.35">
      <c r="B12">
        <v>8</v>
      </c>
      <c r="C12">
        <v>-7369.9</v>
      </c>
      <c r="D12">
        <v>41371.199999999997</v>
      </c>
      <c r="E12">
        <v>9437.2000000000007</v>
      </c>
      <c r="F12">
        <f t="shared" si="0"/>
        <v>4.1371199999999995</v>
      </c>
      <c r="G12">
        <f t="shared" si="1"/>
        <v>-0.73698999999999992</v>
      </c>
      <c r="H12">
        <f t="shared" si="2"/>
        <v>4.8741099999999991</v>
      </c>
      <c r="I12">
        <f t="shared" si="5"/>
        <v>0.94372000000000011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7.7398826646892183E-2</v>
      </c>
      <c r="P12" s="4">
        <v>5</v>
      </c>
      <c r="Q12" s="5">
        <f t="shared" si="7"/>
        <v>4.8741099999999991</v>
      </c>
      <c r="R12" s="5">
        <f t="shared" si="7"/>
        <v>0.94372000000000011</v>
      </c>
      <c r="S12" s="5">
        <f t="shared" si="8"/>
        <v>3.2490817259999996</v>
      </c>
      <c r="T12" s="5">
        <f t="shared" si="9"/>
        <v>0.19494490355999997</v>
      </c>
      <c r="U12" s="5">
        <f t="shared" si="10"/>
        <v>0.44507968849315066</v>
      </c>
      <c r="V12" s="5">
        <f t="shared" si="4"/>
        <v>7.7398826646892183E-2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28" t="s">
        <v>53</v>
      </c>
      <c r="CA12" s="29" t="s">
        <v>54</v>
      </c>
      <c r="CB12" s="29" t="s">
        <v>55</v>
      </c>
      <c r="CC12" s="29" t="s">
        <v>57</v>
      </c>
      <c r="CD12" s="40" t="s">
        <v>59</v>
      </c>
      <c r="CE12" s="30" t="s">
        <v>58</v>
      </c>
      <c r="CF12" s="28" t="s">
        <v>53</v>
      </c>
      <c r="CG12" s="29" t="s">
        <v>54</v>
      </c>
      <c r="CH12" s="29" t="s">
        <v>55</v>
      </c>
      <c r="CI12" s="29" t="s">
        <v>57</v>
      </c>
      <c r="CJ12" s="40" t="s">
        <v>59</v>
      </c>
      <c r="CK12" s="30" t="s">
        <v>58</v>
      </c>
      <c r="CL12" s="28" t="s">
        <v>53</v>
      </c>
      <c r="CM12" s="29" t="s">
        <v>54</v>
      </c>
      <c r="CN12" s="29" t="s">
        <v>55</v>
      </c>
      <c r="CO12" s="29" t="s">
        <v>57</v>
      </c>
      <c r="CP12" s="40" t="s">
        <v>59</v>
      </c>
      <c r="CQ12" s="30" t="s">
        <v>58</v>
      </c>
    </row>
    <row r="13" spans="2:95" ht="15" thickBot="1" x14ac:dyDescent="0.35">
      <c r="B13">
        <v>9</v>
      </c>
      <c r="C13">
        <v>-1375.7</v>
      </c>
      <c r="D13">
        <v>55876.7</v>
      </c>
      <c r="E13">
        <v>10715.3</v>
      </c>
      <c r="F13">
        <f t="shared" si="0"/>
        <v>5.5876700000000001</v>
      </c>
      <c r="G13">
        <f t="shared" si="1"/>
        <v>-0.13757</v>
      </c>
      <c r="H13">
        <f t="shared" si="2"/>
        <v>5.7252400000000003</v>
      </c>
      <c r="I13">
        <f t="shared" si="5"/>
        <v>1.0715299999999999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6.237795067385267E-2</v>
      </c>
      <c r="P13" s="4">
        <v>8</v>
      </c>
      <c r="Q13" s="5">
        <f t="shared" si="7"/>
        <v>5.7252400000000003</v>
      </c>
      <c r="R13" s="5">
        <f t="shared" si="7"/>
        <v>1.0715299999999999</v>
      </c>
      <c r="S13" s="5">
        <f t="shared" si="8"/>
        <v>2.3852781150000002</v>
      </c>
      <c r="T13" s="5">
        <f t="shared" si="9"/>
        <v>0.14311668690000001</v>
      </c>
      <c r="U13" s="5">
        <f t="shared" si="10"/>
        <v>0.32675042671232879</v>
      </c>
      <c r="V13" s="5">
        <f t="shared" si="4"/>
        <v>6.237795067385267E-2</v>
      </c>
      <c r="X13" s="28">
        <v>2</v>
      </c>
      <c r="Y13" s="29">
        <v>2</v>
      </c>
      <c r="Z13" s="29">
        <v>2</v>
      </c>
      <c r="AA13" s="29">
        <v>2</v>
      </c>
      <c r="AB13" s="40">
        <v>2</v>
      </c>
      <c r="AC13" s="30">
        <v>2</v>
      </c>
      <c r="AD13" s="28">
        <v>3</v>
      </c>
      <c r="AE13" s="29">
        <v>3</v>
      </c>
      <c r="AF13" s="29">
        <v>3</v>
      </c>
      <c r="AG13" s="29">
        <v>3</v>
      </c>
      <c r="AH13" s="40">
        <v>3</v>
      </c>
      <c r="AI13" s="30">
        <v>3</v>
      </c>
      <c r="AJ13" s="28">
        <v>4</v>
      </c>
      <c r="AK13" s="29">
        <v>4</v>
      </c>
      <c r="AL13" s="29">
        <v>4</v>
      </c>
      <c r="AM13" s="29">
        <v>4</v>
      </c>
      <c r="AN13" s="40">
        <v>4</v>
      </c>
      <c r="AO13" s="30">
        <v>4</v>
      </c>
      <c r="AP13" s="28">
        <v>5</v>
      </c>
      <c r="AQ13" s="29">
        <v>5</v>
      </c>
      <c r="AR13" s="29">
        <v>5</v>
      </c>
      <c r="AS13" s="29">
        <v>5</v>
      </c>
      <c r="AT13" s="40">
        <v>5</v>
      </c>
      <c r="AU13" s="30">
        <v>5</v>
      </c>
      <c r="AV13" s="28">
        <v>6</v>
      </c>
      <c r="AW13" s="29">
        <v>6</v>
      </c>
      <c r="AX13" s="29">
        <v>6</v>
      </c>
      <c r="AY13" s="29">
        <v>6</v>
      </c>
      <c r="AZ13" s="40">
        <v>6</v>
      </c>
      <c r="BA13" s="30">
        <v>6</v>
      </c>
      <c r="BB13" s="28">
        <v>7</v>
      </c>
      <c r="BC13" s="29">
        <v>7</v>
      </c>
      <c r="BD13" s="29">
        <v>7</v>
      </c>
      <c r="BE13" s="29">
        <v>7</v>
      </c>
      <c r="BF13" s="40">
        <v>7</v>
      </c>
      <c r="BG13" s="30">
        <v>7</v>
      </c>
      <c r="BH13" s="28">
        <v>8</v>
      </c>
      <c r="BI13" s="29">
        <v>8</v>
      </c>
      <c r="BJ13" s="29">
        <v>8</v>
      </c>
      <c r="BK13" s="29">
        <v>8</v>
      </c>
      <c r="BL13" s="40">
        <v>8</v>
      </c>
      <c r="BM13" s="30">
        <v>8</v>
      </c>
      <c r="BN13" s="28">
        <v>9</v>
      </c>
      <c r="BO13" s="29">
        <v>9</v>
      </c>
      <c r="BP13" s="29">
        <v>9</v>
      </c>
      <c r="BQ13" s="29">
        <v>9</v>
      </c>
      <c r="BR13" s="40">
        <v>9</v>
      </c>
      <c r="BS13" s="30">
        <v>9</v>
      </c>
      <c r="BT13" s="28">
        <v>10</v>
      </c>
      <c r="BU13" s="29">
        <v>10</v>
      </c>
      <c r="BV13" s="29">
        <v>10</v>
      </c>
      <c r="BW13" s="29">
        <v>10</v>
      </c>
      <c r="BX13" s="40">
        <v>10</v>
      </c>
      <c r="BY13" s="30">
        <v>10</v>
      </c>
      <c r="BZ13" s="28">
        <v>15</v>
      </c>
      <c r="CA13" s="29">
        <v>15</v>
      </c>
      <c r="CB13" s="29">
        <v>15</v>
      </c>
      <c r="CC13" s="29">
        <v>15</v>
      </c>
      <c r="CD13" s="40">
        <v>15</v>
      </c>
      <c r="CE13" s="30">
        <v>15</v>
      </c>
      <c r="CF13" s="28">
        <v>20</v>
      </c>
      <c r="CG13" s="29">
        <v>20</v>
      </c>
      <c r="CH13" s="29">
        <v>20</v>
      </c>
      <c r="CI13" s="29">
        <v>20</v>
      </c>
      <c r="CJ13" s="40">
        <v>20</v>
      </c>
      <c r="CK13" s="30">
        <v>20</v>
      </c>
      <c r="CL13" s="28">
        <v>25</v>
      </c>
      <c r="CM13" s="29">
        <v>25</v>
      </c>
      <c r="CN13" s="29">
        <v>25</v>
      </c>
      <c r="CO13" s="29">
        <v>25</v>
      </c>
      <c r="CP13" s="40">
        <v>25</v>
      </c>
      <c r="CQ13" s="30">
        <v>25</v>
      </c>
    </row>
    <row r="14" spans="2:95" x14ac:dyDescent="0.3">
      <c r="B14">
        <v>10</v>
      </c>
      <c r="C14">
        <v>716</v>
      </c>
      <c r="D14">
        <v>70892.600000000006</v>
      </c>
      <c r="E14">
        <v>11129.4</v>
      </c>
      <c r="F14">
        <f t="shared" si="0"/>
        <v>7.0892600000000003</v>
      </c>
      <c r="G14">
        <f t="shared" si="1"/>
        <v>7.1599999999999997E-2</v>
      </c>
      <c r="H14">
        <f t="shared" si="2"/>
        <v>7.0176600000000002</v>
      </c>
      <c r="I14">
        <f t="shared" si="5"/>
        <v>1.11294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4.4669992642433591E-2</v>
      </c>
      <c r="P14" s="4">
        <v>14</v>
      </c>
      <c r="Q14" s="5">
        <f t="shared" si="7"/>
        <v>7.0176600000000002</v>
      </c>
      <c r="R14" s="5">
        <f t="shared" si="7"/>
        <v>1.11294</v>
      </c>
      <c r="S14" s="5">
        <f t="shared" si="8"/>
        <v>1.6707043414285718</v>
      </c>
      <c r="T14" s="5">
        <f t="shared" si="9"/>
        <v>0.1002422604857143</v>
      </c>
      <c r="U14" s="5">
        <f t="shared" si="10"/>
        <v>0.22886360841487285</v>
      </c>
      <c r="V14" s="5">
        <f t="shared" si="4"/>
        <v>4.4669992642433591E-2</v>
      </c>
      <c r="X14" s="31">
        <f t="shared" ref="X14:X24" si="12">O5</f>
        <v>0.55058111816682398</v>
      </c>
      <c r="Y14" s="32">
        <f t="shared" ref="Y14:AA24" si="13">S5</f>
        <v>9.1963025000000016</v>
      </c>
      <c r="Z14" s="32">
        <f t="shared" si="13"/>
        <v>0.55177815000000008</v>
      </c>
      <c r="AA14" s="32">
        <f t="shared" si="13"/>
        <v>1.2597674657534248</v>
      </c>
      <c r="AB14" s="41">
        <f>I5/H5</f>
        <v>0.10609845967985503</v>
      </c>
      <c r="AC14" s="33">
        <f t="shared" ref="AC14:AC24" si="14">R5</f>
        <v>0.87822999999999996</v>
      </c>
      <c r="AD14" s="31">
        <f t="shared" ref="AD14:AD23" si="15">O19</f>
        <v>0.36705407877788265</v>
      </c>
      <c r="AE14" s="32">
        <f t="shared" ref="AE14:AG23" si="16">S19</f>
        <v>4.9970113600000001</v>
      </c>
      <c r="AF14" s="32">
        <f t="shared" si="16"/>
        <v>0.29982068159999997</v>
      </c>
      <c r="AG14" s="32">
        <f t="shared" si="16"/>
        <v>0.68452210410958902</v>
      </c>
      <c r="AH14" s="41">
        <f>I19/H19</f>
        <v>0.21042696809078296</v>
      </c>
      <c r="AI14" s="33">
        <f>R19</f>
        <v>0.94645000000000001</v>
      </c>
      <c r="AJ14" s="31">
        <f t="shared" ref="AJ14:AJ20" si="17">O33</f>
        <v>0.27529055908341199</v>
      </c>
      <c r="AK14" s="32">
        <f t="shared" ref="AK14:AM20" si="18">S33</f>
        <v>4.2760834599999997</v>
      </c>
      <c r="AL14" s="32">
        <f t="shared" si="18"/>
        <v>0.25656500759999995</v>
      </c>
      <c r="AM14" s="32">
        <f t="shared" si="18"/>
        <v>0.58576485753424656</v>
      </c>
      <c r="AN14" s="41">
        <f>I33/H33</f>
        <v>0.25707352306916853</v>
      </c>
      <c r="AO14" s="33">
        <f>R33</f>
        <v>0.98943999999999999</v>
      </c>
      <c r="AP14" s="31">
        <f t="shared" ref="AP14:AP19" si="19">O47</f>
        <v>0.22023244726672958</v>
      </c>
      <c r="AQ14" s="32">
        <f t="shared" ref="AQ14:AS19" si="20">S47</f>
        <v>4.0816806799999998</v>
      </c>
      <c r="AR14" s="32">
        <f t="shared" si="20"/>
        <v>0.24490084079999999</v>
      </c>
      <c r="AS14" s="32">
        <f t="shared" si="20"/>
        <v>0.55913433972602744</v>
      </c>
      <c r="AT14" s="41">
        <f>I47/H47</f>
        <v>0.26662003113874161</v>
      </c>
      <c r="AU14" s="33">
        <f>R47</f>
        <v>0.9795299999999999</v>
      </c>
      <c r="AV14" s="31">
        <f t="shared" ref="AV14:AV17" si="21">O61</f>
        <v>0.18352703938894133</v>
      </c>
      <c r="AW14" s="32">
        <f t="shared" ref="AW14:AY17" si="22">S61</f>
        <v>4.7987089699999999</v>
      </c>
      <c r="AX14" s="32">
        <f t="shared" si="22"/>
        <v>0.28792253819999997</v>
      </c>
      <c r="AY14" s="32">
        <f t="shared" si="22"/>
        <v>0.65735739315068498</v>
      </c>
      <c r="AZ14" s="41">
        <f>I61/H61</f>
        <v>0.26146547912031437</v>
      </c>
      <c r="BA14" s="33">
        <f>R61</f>
        <v>1.12934</v>
      </c>
      <c r="BB14" s="31">
        <f t="shared" ref="BB14:BB17" si="23">O75</f>
        <v>0.15730889090480685</v>
      </c>
      <c r="BC14" s="32">
        <f t="shared" ref="BC14:BE17" si="24">S75</f>
        <v>4.04806182</v>
      </c>
      <c r="BD14" s="32">
        <f t="shared" si="24"/>
        <v>0.24288370919999999</v>
      </c>
      <c r="BE14" s="32">
        <f t="shared" si="24"/>
        <v>0.55452901643835617</v>
      </c>
      <c r="BF14" s="41">
        <f>I75/H75</f>
        <v>0.30618725333596802</v>
      </c>
      <c r="BG14" s="33">
        <f>R75</f>
        <v>1.1156299999999999</v>
      </c>
      <c r="BH14" s="31">
        <f t="shared" ref="BH14:BH17" si="25">O89</f>
        <v>0.13764527954170599</v>
      </c>
      <c r="BI14" s="32">
        <f t="shared" ref="BI14:BK17" si="26">S89</f>
        <v>4.8931995200000005</v>
      </c>
      <c r="BJ14" s="32">
        <f t="shared" si="26"/>
        <v>0.29359197120000002</v>
      </c>
      <c r="BK14" s="32">
        <f t="shared" si="26"/>
        <v>0.6703013041095891</v>
      </c>
      <c r="BL14" s="41">
        <f>I89/H89</f>
        <v>0.22665246848548695</v>
      </c>
      <c r="BM14" s="33">
        <f>R89</f>
        <v>0.99824999999999997</v>
      </c>
      <c r="BN14" s="31">
        <f t="shared" ref="BN14:BN17" si="27">O103</f>
        <v>0.12235135959262755</v>
      </c>
      <c r="BO14" s="32">
        <f t="shared" ref="BO14:BQ17" si="28">S103</f>
        <v>4.4514103699999996</v>
      </c>
      <c r="BP14" s="32">
        <f t="shared" si="28"/>
        <v>0.26708462219999995</v>
      </c>
      <c r="BQ14" s="32">
        <f t="shared" si="28"/>
        <v>0.60978224246575341</v>
      </c>
      <c r="BR14" s="41">
        <f>I103/H103</f>
        <v>0.22960962594873052</v>
      </c>
      <c r="BS14" s="33">
        <f>R103</f>
        <v>0.91997000000000007</v>
      </c>
      <c r="BT14" s="31">
        <f t="shared" ref="BT14:BT17" si="29">O117</f>
        <v>0.11011622363336479</v>
      </c>
      <c r="BU14" s="32">
        <f t="shared" ref="BU14:BW17" si="30">S117</f>
        <v>3.8768789400000006</v>
      </c>
      <c r="BV14" s="32">
        <f t="shared" si="30"/>
        <v>0.23261273640000002</v>
      </c>
      <c r="BW14" s="32">
        <f t="shared" si="30"/>
        <v>0.53107930684931515</v>
      </c>
      <c r="BX14" s="41">
        <f>I117/H117</f>
        <v>0.29228494300108326</v>
      </c>
      <c r="BY14" s="33">
        <f>R117</f>
        <v>1.0199400000000001</v>
      </c>
      <c r="BZ14" s="31">
        <f t="shared" ref="BZ14:BZ18" si="31">O131</f>
        <v>7.3410815755576536E-2</v>
      </c>
      <c r="CA14" s="32">
        <f t="shared" ref="CA14:CC18" si="32">S131</f>
        <v>5.50790471</v>
      </c>
      <c r="CB14" s="32">
        <f t="shared" si="32"/>
        <v>0.3304742826</v>
      </c>
      <c r="CC14" s="32">
        <f t="shared" si="32"/>
        <v>0.75450749452054799</v>
      </c>
      <c r="CD14" s="41">
        <f>I131/H131</f>
        <v>0.30555852517644588</v>
      </c>
      <c r="CE14" s="33">
        <f>R131</f>
        <v>1.51484</v>
      </c>
      <c r="CF14" s="31">
        <f t="shared" ref="CF14:CF18" si="33">O145</f>
        <v>5.5058111816682395E-2</v>
      </c>
      <c r="CG14" s="32">
        <f t="shared" ref="CG14:CI18" si="34">S145</f>
        <v>3.9014542600000008</v>
      </c>
      <c r="CH14" s="32">
        <f t="shared" si="34"/>
        <v>0.23408725560000004</v>
      </c>
      <c r="CI14" s="32">
        <f t="shared" si="34"/>
        <v>0.53444578904109596</v>
      </c>
      <c r="CJ14" s="41">
        <f>I145/H145</f>
        <v>0.4527232135229492</v>
      </c>
      <c r="CK14" s="33">
        <f>R145</f>
        <v>1.5898099999999999</v>
      </c>
      <c r="CL14" s="31">
        <f t="shared" ref="CL14:CL17" si="35">O159</f>
        <v>4.4046489453345918E-2</v>
      </c>
      <c r="CM14" s="32">
        <f t="shared" ref="CM14:CO17" si="36">S159</f>
        <v>2.6987189900000006</v>
      </c>
      <c r="CN14" s="32">
        <f t="shared" si="36"/>
        <v>0.16192313940000003</v>
      </c>
      <c r="CO14" s="32">
        <f t="shared" si="36"/>
        <v>0.36968753287671241</v>
      </c>
      <c r="CP14" s="41">
        <f>I159/H159</f>
        <v>0.45283213055094701</v>
      </c>
      <c r="CQ14" s="33">
        <f>R159</f>
        <v>1.0999700000000001</v>
      </c>
    </row>
    <row r="15" spans="2:95" ht="15" thickBot="1" x14ac:dyDescent="0.35">
      <c r="B15">
        <v>11</v>
      </c>
      <c r="C15">
        <v>6589.9</v>
      </c>
      <c r="D15">
        <v>59145.7</v>
      </c>
      <c r="E15">
        <v>8959.2000000000007</v>
      </c>
      <c r="F15">
        <f t="shared" si="0"/>
        <v>5.9145699999999994</v>
      </c>
      <c r="G15">
        <f t="shared" si="1"/>
        <v>0.65898999999999996</v>
      </c>
      <c r="H15">
        <f t="shared" si="2"/>
        <v>5.2555799999999993</v>
      </c>
      <c r="I15">
        <f t="shared" si="5"/>
        <v>0.89592000000000005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2.8806696412112791E-2</v>
      </c>
      <c r="P15" s="7">
        <v>21</v>
      </c>
      <c r="Q15" s="6">
        <f t="shared" si="7"/>
        <v>5.2555799999999993</v>
      </c>
      <c r="R15" s="6">
        <f t="shared" si="7"/>
        <v>0.89592000000000005</v>
      </c>
      <c r="S15" s="6">
        <f t="shared" si="8"/>
        <v>0.83413562571428568</v>
      </c>
      <c r="T15" s="6">
        <f t="shared" si="9"/>
        <v>5.0048137542857141E-2</v>
      </c>
      <c r="U15" s="6">
        <f t="shared" si="10"/>
        <v>0.1142651542074364</v>
      </c>
      <c r="V15" s="6">
        <f t="shared" si="4"/>
        <v>2.8806696412112791E-2</v>
      </c>
      <c r="X15" s="34">
        <f t="shared" si="12"/>
        <v>0.48838654947181837</v>
      </c>
      <c r="Y15" s="35">
        <f t="shared" si="13"/>
        <v>10.456032069999999</v>
      </c>
      <c r="Z15" s="35">
        <f t="shared" si="13"/>
        <v>0.62736192419999992</v>
      </c>
      <c r="AA15" s="35">
        <f t="shared" si="13"/>
        <v>1.4323331602739726</v>
      </c>
      <c r="AB15" s="42">
        <f t="shared" ref="AB15:AB24" si="37">I6/H6</f>
        <v>4.6808275522054708E-2</v>
      </c>
      <c r="AC15" s="36">
        <f t="shared" si="14"/>
        <v>0.44053000000000003</v>
      </c>
      <c r="AD15" s="34">
        <f t="shared" si="15"/>
        <v>0.32559103298121228</v>
      </c>
      <c r="AE15" s="35">
        <f t="shared" si="16"/>
        <v>6.2043350600000009</v>
      </c>
      <c r="AF15" s="35">
        <f t="shared" si="16"/>
        <v>0.37226010360000006</v>
      </c>
      <c r="AG15" s="35">
        <f t="shared" si="16"/>
        <v>0.84990891232876731</v>
      </c>
      <c r="AH15" s="42">
        <f t="shared" ref="AH15:AH23" si="38">I20/H20</f>
        <v>8.8769549786371471E-2</v>
      </c>
      <c r="AI15" s="36">
        <f t="shared" ref="AI15:AI23" si="39">R20</f>
        <v>0.49573</v>
      </c>
      <c r="AJ15" s="34">
        <f t="shared" si="17"/>
        <v>0.24419327473590918</v>
      </c>
      <c r="AK15" s="35">
        <f t="shared" si="18"/>
        <v>5.3268339299999994</v>
      </c>
      <c r="AL15" s="35">
        <f t="shared" si="18"/>
        <v>0.31961003579999997</v>
      </c>
      <c r="AM15" s="35">
        <f t="shared" si="18"/>
        <v>0.72970327808219171</v>
      </c>
      <c r="AN15" s="42">
        <f t="shared" ref="AN15:AN20" si="40">I34/H34</f>
        <v>8.7864965596928246E-2</v>
      </c>
      <c r="AO15" s="36">
        <f t="shared" ref="AO15:AO20" si="41">R34</f>
        <v>0.42128000000000004</v>
      </c>
      <c r="AP15" s="34">
        <f t="shared" si="19"/>
        <v>0.19535461978872737</v>
      </c>
      <c r="AQ15" s="35">
        <f t="shared" si="20"/>
        <v>4.3199679599999987</v>
      </c>
      <c r="AR15" s="35">
        <f t="shared" si="20"/>
        <v>0.25919807759999991</v>
      </c>
      <c r="AS15" s="35">
        <f t="shared" si="20"/>
        <v>0.59177643287671222</v>
      </c>
      <c r="AT15" s="42">
        <f t="shared" ref="AT15:AT19" si="42">I48/H48</f>
        <v>0.14853048586036274</v>
      </c>
      <c r="AU15" s="36">
        <f t="shared" ref="AU15:AU19" si="43">R48</f>
        <v>0.57753999999999994</v>
      </c>
      <c r="AV15" s="34">
        <f t="shared" si="21"/>
        <v>0.16279551649060614</v>
      </c>
      <c r="AW15" s="35">
        <f t="shared" si="22"/>
        <v>4.8171404600000001</v>
      </c>
      <c r="AX15" s="35">
        <f t="shared" si="22"/>
        <v>0.28902842759999997</v>
      </c>
      <c r="AY15" s="35">
        <f t="shared" si="22"/>
        <v>0.65988225479452056</v>
      </c>
      <c r="AZ15" s="42">
        <f t="shared" ref="AZ15:AZ17" si="44">I62/H62</f>
        <v>0.15377802788835432</v>
      </c>
      <c r="BA15" s="36">
        <f t="shared" ref="BA15:BA17" si="45">R62</f>
        <v>0.66676000000000002</v>
      </c>
      <c r="BB15" s="34">
        <f t="shared" si="23"/>
        <v>0.13953901413480527</v>
      </c>
      <c r="BC15" s="35">
        <f t="shared" si="24"/>
        <v>3.8850336799999994</v>
      </c>
      <c r="BD15" s="35">
        <f t="shared" si="24"/>
        <v>0.23310202079999995</v>
      </c>
      <c r="BE15" s="35">
        <f t="shared" si="24"/>
        <v>0.5321963945205479</v>
      </c>
      <c r="BF15" s="42">
        <f t="shared" ref="BF15:BF17" si="46">I76/H76</f>
        <v>0.22660485918876258</v>
      </c>
      <c r="BG15" s="36">
        <f t="shared" ref="BG15:BG17" si="47">R76</f>
        <v>0.79241000000000006</v>
      </c>
      <c r="BH15" s="34">
        <f t="shared" si="25"/>
        <v>0.12209663736795459</v>
      </c>
      <c r="BI15" s="35">
        <f t="shared" si="26"/>
        <v>5.1903031400000001</v>
      </c>
      <c r="BJ15" s="35">
        <f t="shared" si="26"/>
        <v>0.31141818840000002</v>
      </c>
      <c r="BK15" s="35">
        <f t="shared" si="26"/>
        <v>0.71100043013698633</v>
      </c>
      <c r="BL15" s="42">
        <f t="shared" ref="BL15:BL17" si="48">I90/H90</f>
        <v>0.16239345511522474</v>
      </c>
      <c r="BM15" s="36">
        <f t="shared" ref="BM15:BM17" si="49">R90</f>
        <v>0.75866</v>
      </c>
      <c r="BN15" s="34">
        <f t="shared" si="27"/>
        <v>0.10853034432707075</v>
      </c>
      <c r="BO15" s="35">
        <f t="shared" si="28"/>
        <v>4.7798330800000004</v>
      </c>
      <c r="BP15" s="35">
        <f t="shared" si="28"/>
        <v>0.28678998480000001</v>
      </c>
      <c r="BQ15" s="35">
        <f t="shared" si="28"/>
        <v>0.6547716547945206</v>
      </c>
      <c r="BR15" s="42">
        <f t="shared" ref="BR15:BR17" si="50">I104/H104</f>
        <v>0.15619624943053451</v>
      </c>
      <c r="BS15" s="36">
        <f t="shared" ref="BS15:BS17" si="51">R104</f>
        <v>0.67200000000000004</v>
      </c>
      <c r="BT15" s="34">
        <f t="shared" si="29"/>
        <v>9.7677309894363684E-2</v>
      </c>
      <c r="BU15" s="35">
        <f t="shared" si="30"/>
        <v>5.0452065400000015</v>
      </c>
      <c r="BV15" s="35">
        <f t="shared" si="30"/>
        <v>0.30271239240000009</v>
      </c>
      <c r="BW15" s="35">
        <f t="shared" si="30"/>
        <v>0.69112418356164407</v>
      </c>
      <c r="BX15" s="42">
        <f t="shared" ref="BX15:BX17" si="52">I118/H118</f>
        <v>0.18557014317990636</v>
      </c>
      <c r="BY15" s="36">
        <f t="shared" ref="BY15:BY17" si="53">R118</f>
        <v>0.8427</v>
      </c>
      <c r="BZ15" s="34">
        <f t="shared" si="31"/>
        <v>6.5118206596242456E-2</v>
      </c>
      <c r="CA15" s="35">
        <f t="shared" si="32"/>
        <v>5.8460486700000018</v>
      </c>
      <c r="CB15" s="35">
        <f t="shared" si="32"/>
        <v>0.35076292020000011</v>
      </c>
      <c r="CC15" s="35">
        <f t="shared" si="32"/>
        <v>0.8008285849315071</v>
      </c>
      <c r="CD15" s="42">
        <f t="shared" ref="CD15:CD18" si="54">I132/H132</f>
        <v>0.1492045754726842</v>
      </c>
      <c r="CE15" s="36">
        <f t="shared" ref="CE15:CE18" si="55">R132</f>
        <v>0.78511000000000009</v>
      </c>
      <c r="CF15" s="34">
        <f t="shared" si="33"/>
        <v>4.8838654947181842E-2</v>
      </c>
      <c r="CG15" s="35">
        <f t="shared" si="34"/>
        <v>4.8817784400000006</v>
      </c>
      <c r="CH15" s="35">
        <f t="shared" si="34"/>
        <v>0.29290670640000005</v>
      </c>
      <c r="CI15" s="35">
        <f t="shared" si="34"/>
        <v>0.66873677260273978</v>
      </c>
      <c r="CJ15" s="42">
        <f t="shared" ref="CJ15:CJ18" si="56">I146/H146</f>
        <v>0.15333042029658353</v>
      </c>
      <c r="CK15" s="36">
        <f t="shared" ref="CK15:CK18" si="57">R146</f>
        <v>0.67374000000000001</v>
      </c>
      <c r="CL15" s="34">
        <f t="shared" si="35"/>
        <v>3.9070923957745467E-2</v>
      </c>
      <c r="CM15" s="35">
        <f t="shared" si="36"/>
        <v>3.6185381100000003</v>
      </c>
      <c r="CN15" s="35">
        <f t="shared" si="36"/>
        <v>0.21711228660000001</v>
      </c>
      <c r="CO15" s="35">
        <f t="shared" si="36"/>
        <v>0.49569015205479455</v>
      </c>
      <c r="CP15" s="42">
        <f t="shared" ref="CP15:CP17" si="58">I160/H160</f>
        <v>0.3184086017543698</v>
      </c>
      <c r="CQ15" s="36">
        <f t="shared" ref="CQ15:CQ17" si="59">R160</f>
        <v>1.0370600000000001</v>
      </c>
    </row>
    <row r="16" spans="2:95" ht="15" thickTop="1" x14ac:dyDescent="0.3">
      <c r="X16" s="34">
        <f t="shared" si="12"/>
        <v>0.42132800761519479</v>
      </c>
      <c r="Y16" s="35">
        <f t="shared" si="13"/>
        <v>9.4831515900000021</v>
      </c>
      <c r="Z16" s="35">
        <f t="shared" si="13"/>
        <v>0.56898909540000009</v>
      </c>
      <c r="AA16" s="35">
        <f t="shared" si="13"/>
        <v>1.2990618616438359</v>
      </c>
      <c r="AB16" s="42">
        <f t="shared" si="37"/>
        <v>5.638091355239002E-2</v>
      </c>
      <c r="AC16" s="36">
        <f t="shared" si="14"/>
        <v>0.48125000000000001</v>
      </c>
      <c r="AD16" s="34">
        <f t="shared" si="15"/>
        <v>0.28088533841012986</v>
      </c>
      <c r="AE16" s="35">
        <f t="shared" si="16"/>
        <v>6.9431944999999997</v>
      </c>
      <c r="AF16" s="35">
        <f t="shared" si="16"/>
        <v>0.41659166999999997</v>
      </c>
      <c r="AG16" s="35">
        <f t="shared" si="16"/>
        <v>0.95112253424657534</v>
      </c>
      <c r="AH16" s="42">
        <f t="shared" si="38"/>
        <v>5.3151452116169284E-2</v>
      </c>
      <c r="AI16" s="36">
        <f t="shared" si="39"/>
        <v>0.33216999999999997</v>
      </c>
      <c r="AJ16" s="34">
        <f t="shared" si="17"/>
        <v>0.21066400380759739</v>
      </c>
      <c r="AK16" s="35">
        <f t="shared" si="18"/>
        <v>5.53834611</v>
      </c>
      <c r="AL16" s="35">
        <f t="shared" si="18"/>
        <v>0.33230076659999996</v>
      </c>
      <c r="AM16" s="35">
        <f t="shared" si="18"/>
        <v>0.75867754931506848</v>
      </c>
      <c r="AN16" s="42">
        <f t="shared" si="40"/>
        <v>7.3841376446586865E-2</v>
      </c>
      <c r="AO16" s="36">
        <f t="shared" si="41"/>
        <v>0.36809999999999998</v>
      </c>
      <c r="AP16" s="34">
        <f t="shared" si="19"/>
        <v>0.16853120304607791</v>
      </c>
      <c r="AQ16" s="35">
        <f t="shared" si="20"/>
        <v>4.5556443900000003</v>
      </c>
      <c r="AR16" s="35">
        <f t="shared" si="20"/>
        <v>0.27333866340000001</v>
      </c>
      <c r="AS16" s="35">
        <f t="shared" si="20"/>
        <v>0.62406087534246579</v>
      </c>
      <c r="AT16" s="42">
        <f t="shared" si="42"/>
        <v>0.10163907240354202</v>
      </c>
      <c r="AU16" s="36">
        <f t="shared" si="43"/>
        <v>0.41676999999999997</v>
      </c>
      <c r="AV16" s="34">
        <f t="shared" si="21"/>
        <v>0.14044266920506493</v>
      </c>
      <c r="AW16" s="35">
        <f t="shared" si="22"/>
        <v>4.4797853099999996</v>
      </c>
      <c r="AX16" s="35">
        <f t="shared" si="22"/>
        <v>0.26878711859999999</v>
      </c>
      <c r="AY16" s="35">
        <f t="shared" si="22"/>
        <v>0.61366922054794515</v>
      </c>
      <c r="AZ16" s="42">
        <f t="shared" si="44"/>
        <v>0.13104476205356366</v>
      </c>
      <c r="BA16" s="36">
        <f t="shared" si="45"/>
        <v>0.52839999999999998</v>
      </c>
      <c r="BB16" s="34">
        <f t="shared" si="23"/>
        <v>0.12037943074719852</v>
      </c>
      <c r="BC16" s="35">
        <f t="shared" si="24"/>
        <v>3.4638980200000002</v>
      </c>
      <c r="BD16" s="35">
        <f t="shared" si="24"/>
        <v>0.20783388120000001</v>
      </c>
      <c r="BE16" s="35">
        <f t="shared" si="24"/>
        <v>0.47450657808219182</v>
      </c>
      <c r="BF16" s="42">
        <f t="shared" si="46"/>
        <v>0.15522063493081703</v>
      </c>
      <c r="BG16" s="36">
        <f t="shared" si="47"/>
        <v>0.48394999999999999</v>
      </c>
      <c r="BH16" s="34">
        <f t="shared" si="25"/>
        <v>0.1053320019037987</v>
      </c>
      <c r="BI16" s="35">
        <f t="shared" si="26"/>
        <v>4.1192435899999991</v>
      </c>
      <c r="BJ16" s="35">
        <f t="shared" si="26"/>
        <v>0.24715461539999994</v>
      </c>
      <c r="BK16" s="35">
        <f t="shared" si="26"/>
        <v>0.5642799438356163</v>
      </c>
      <c r="BL16" s="42">
        <f t="shared" si="48"/>
        <v>0.15301171349276774</v>
      </c>
      <c r="BM16" s="36">
        <f t="shared" si="49"/>
        <v>0.56731999999999994</v>
      </c>
      <c r="BN16" s="34">
        <f t="shared" si="27"/>
        <v>9.3628446136709953E-2</v>
      </c>
      <c r="BO16" s="35">
        <f t="shared" si="28"/>
        <v>3.9802352699999997</v>
      </c>
      <c r="BP16" s="35">
        <f t="shared" si="28"/>
        <v>0.23881411619999998</v>
      </c>
      <c r="BQ16" s="35">
        <f t="shared" si="28"/>
        <v>0.54523770821917805</v>
      </c>
      <c r="BR16" s="42">
        <f t="shared" si="50"/>
        <v>0.16452714113052921</v>
      </c>
      <c r="BS16" s="36">
        <f t="shared" si="51"/>
        <v>0.58943000000000001</v>
      </c>
      <c r="BT16" s="34">
        <f t="shared" si="29"/>
        <v>8.4265601523038955E-2</v>
      </c>
      <c r="BU16" s="35">
        <f t="shared" si="30"/>
        <v>4.4339676700000004</v>
      </c>
      <c r="BV16" s="35">
        <f t="shared" si="30"/>
        <v>0.26603806020000004</v>
      </c>
      <c r="BW16" s="35">
        <f t="shared" si="30"/>
        <v>0.60739283150684942</v>
      </c>
      <c r="BX16" s="42">
        <f t="shared" si="52"/>
        <v>0.17364700812083278</v>
      </c>
      <c r="BY16" s="36">
        <f t="shared" si="53"/>
        <v>0.69301999999999997</v>
      </c>
      <c r="BZ16" s="34">
        <f t="shared" si="31"/>
        <v>5.6177067682025968E-2</v>
      </c>
      <c r="CA16" s="35">
        <f t="shared" si="32"/>
        <v>5.7459920100000001</v>
      </c>
      <c r="CB16" s="35">
        <f t="shared" si="32"/>
        <v>0.34475952059999998</v>
      </c>
      <c r="CC16" s="35">
        <f t="shared" si="32"/>
        <v>0.78712219315068499</v>
      </c>
      <c r="CD16" s="42">
        <f t="shared" si="54"/>
        <v>0.10826367821559153</v>
      </c>
      <c r="CE16" s="36">
        <f t="shared" si="55"/>
        <v>0.55993000000000004</v>
      </c>
      <c r="CF16" s="34">
        <f t="shared" si="33"/>
        <v>4.2132800761519477E-2</v>
      </c>
      <c r="CG16" s="35">
        <f t="shared" si="34"/>
        <v>5.8536812399999985</v>
      </c>
      <c r="CH16" s="35">
        <f t="shared" si="34"/>
        <v>0.35122087439999988</v>
      </c>
      <c r="CI16" s="35">
        <f t="shared" si="34"/>
        <v>0.80187414246575328</v>
      </c>
      <c r="CJ16" s="42">
        <f t="shared" si="56"/>
        <v>0.14570379817948545</v>
      </c>
      <c r="CK16" s="36">
        <f t="shared" si="57"/>
        <v>0.76768999999999998</v>
      </c>
      <c r="CL16" s="34">
        <f t="shared" si="35"/>
        <v>3.3706240609215586E-2</v>
      </c>
      <c r="CM16" s="35">
        <f t="shared" si="36"/>
        <v>4.6686330900000019</v>
      </c>
      <c r="CN16" s="35">
        <f t="shared" si="36"/>
        <v>0.2801179854000001</v>
      </c>
      <c r="CO16" s="35">
        <f t="shared" si="36"/>
        <v>0.63953877945205506</v>
      </c>
      <c r="CP16" s="42">
        <f t="shared" si="58"/>
        <v>0.1769410712033487</v>
      </c>
      <c r="CQ16" s="36">
        <f t="shared" si="59"/>
        <v>0.74353999999999998</v>
      </c>
    </row>
    <row r="17" spans="2:95" ht="15" thickBot="1" x14ac:dyDescent="0.35">
      <c r="X17" s="34">
        <f t="shared" si="12"/>
        <v>0.25518813894139658</v>
      </c>
      <c r="Y17" s="35">
        <f t="shared" si="13"/>
        <v>7.7210389300000015</v>
      </c>
      <c r="Z17" s="35">
        <f t="shared" si="13"/>
        <v>0.46326233580000009</v>
      </c>
      <c r="AA17" s="35">
        <f t="shared" si="13"/>
        <v>1.0576765657534248</v>
      </c>
      <c r="AB17" s="42">
        <f t="shared" si="37"/>
        <v>4.1936045516092223E-2</v>
      </c>
      <c r="AC17" s="36">
        <f t="shared" si="14"/>
        <v>0.29144000000000003</v>
      </c>
      <c r="AD17" s="34">
        <f t="shared" si="15"/>
        <v>0.17012542596093105</v>
      </c>
      <c r="AE17" s="35">
        <f t="shared" si="16"/>
        <v>4.157795290000001</v>
      </c>
      <c r="AF17" s="35">
        <f t="shared" si="16"/>
        <v>0.24946771740000007</v>
      </c>
      <c r="AG17" s="35">
        <f t="shared" si="16"/>
        <v>0.56956099863013709</v>
      </c>
      <c r="AH17" s="42">
        <f t="shared" si="38"/>
        <v>0.10914415654167522</v>
      </c>
      <c r="AI17" s="36">
        <f t="shared" si="39"/>
        <v>0.40845999999999999</v>
      </c>
      <c r="AJ17" s="34">
        <f t="shared" si="17"/>
        <v>0.12759406947069829</v>
      </c>
      <c r="AK17" s="35">
        <f t="shared" si="18"/>
        <v>3.3373773400000002</v>
      </c>
      <c r="AL17" s="35">
        <f t="shared" si="18"/>
        <v>0.2002426404</v>
      </c>
      <c r="AM17" s="35">
        <f t="shared" si="18"/>
        <v>0.45717497808219182</v>
      </c>
      <c r="AN17" s="42">
        <f t="shared" si="40"/>
        <v>0.1983761326790815</v>
      </c>
      <c r="AO17" s="36">
        <f t="shared" si="41"/>
        <v>0.59591000000000005</v>
      </c>
      <c r="AP17" s="34">
        <f t="shared" si="19"/>
        <v>0.10207525557655864</v>
      </c>
      <c r="AQ17" s="35">
        <f t="shared" si="20"/>
        <v>2.6576675399999998</v>
      </c>
      <c r="AR17" s="35">
        <f t="shared" si="20"/>
        <v>0.1594600524</v>
      </c>
      <c r="AS17" s="35">
        <f t="shared" si="20"/>
        <v>0.36406404657534247</v>
      </c>
      <c r="AT17" s="42">
        <f t="shared" si="42"/>
        <v>0.24354761845042516</v>
      </c>
      <c r="AU17" s="36">
        <f t="shared" si="43"/>
        <v>0.58260000000000001</v>
      </c>
      <c r="AV17" s="34">
        <f t="shared" si="21"/>
        <v>8.5062712980465527E-2</v>
      </c>
      <c r="AW17" s="35">
        <f t="shared" si="22"/>
        <v>1.5271806000000003</v>
      </c>
      <c r="AX17" s="35">
        <f t="shared" si="22"/>
        <v>9.1630836000000021E-2</v>
      </c>
      <c r="AY17" s="35">
        <f t="shared" si="22"/>
        <v>0.20920282191780826</v>
      </c>
      <c r="AZ17" s="42">
        <f t="shared" si="44"/>
        <v>0.37322130074203402</v>
      </c>
      <c r="BA17" s="36">
        <f t="shared" si="45"/>
        <v>0.51302999999999999</v>
      </c>
      <c r="BB17" s="34">
        <f t="shared" si="23"/>
        <v>7.2910896840399031E-2</v>
      </c>
      <c r="BC17" s="35">
        <f t="shared" si="24"/>
        <v>1.2900820900000003</v>
      </c>
      <c r="BD17" s="35">
        <f t="shared" si="24"/>
        <v>7.7404925400000019E-2</v>
      </c>
      <c r="BE17" s="35">
        <f t="shared" si="24"/>
        <v>0.17672357397260277</v>
      </c>
      <c r="BF17" s="42">
        <f t="shared" si="46"/>
        <v>0.36765731706266847</v>
      </c>
      <c r="BG17" s="36">
        <f t="shared" si="47"/>
        <v>0.42691999999999997</v>
      </c>
      <c r="BH17" s="34">
        <f t="shared" si="25"/>
        <v>6.3797034735349145E-2</v>
      </c>
      <c r="BI17" s="35">
        <f t="shared" si="26"/>
        <v>1.9343732100000002</v>
      </c>
      <c r="BJ17" s="35">
        <f t="shared" si="26"/>
        <v>0.11606239260000001</v>
      </c>
      <c r="BK17" s="35">
        <f t="shared" si="26"/>
        <v>0.26498263150684936</v>
      </c>
      <c r="BL17" s="42">
        <f t="shared" si="48"/>
        <v>0.22131284065911977</v>
      </c>
      <c r="BM17" s="36">
        <f t="shared" si="49"/>
        <v>0.38533000000000001</v>
      </c>
      <c r="BN17" s="34">
        <f t="shared" si="27"/>
        <v>5.6708475320310349E-2</v>
      </c>
      <c r="BO17" s="35">
        <f t="shared" si="28"/>
        <v>1.3456654200000004</v>
      </c>
      <c r="BP17" s="35">
        <f t="shared" si="28"/>
        <v>8.0739925200000021E-2</v>
      </c>
      <c r="BQ17" s="35">
        <f t="shared" si="28"/>
        <v>0.18433772876712334</v>
      </c>
      <c r="BR17" s="42">
        <f t="shared" si="50"/>
        <v>0.31586334439655883</v>
      </c>
      <c r="BS17" s="36">
        <f t="shared" si="51"/>
        <v>0.38258000000000003</v>
      </c>
      <c r="BT17" s="34">
        <f t="shared" si="29"/>
        <v>5.1037627788279319E-2</v>
      </c>
      <c r="BU17" s="35">
        <f t="shared" si="30"/>
        <v>1.2752835699999998</v>
      </c>
      <c r="BV17" s="35">
        <f t="shared" si="30"/>
        <v>7.6517014199999983E-2</v>
      </c>
      <c r="BW17" s="35">
        <f t="shared" si="30"/>
        <v>0.17469637945205477</v>
      </c>
      <c r="BX17" s="42">
        <f t="shared" si="52"/>
        <v>0.38295277339768452</v>
      </c>
      <c r="BY17" s="36">
        <f t="shared" si="53"/>
        <v>0.43958000000000003</v>
      </c>
      <c r="BZ17" s="34">
        <f t="shared" si="31"/>
        <v>3.4025085192186208E-2</v>
      </c>
      <c r="CA17" s="35">
        <f t="shared" si="32"/>
        <v>4.58266391</v>
      </c>
      <c r="CB17" s="35">
        <f t="shared" si="32"/>
        <v>0.27495983460000001</v>
      </c>
      <c r="CC17" s="35">
        <f t="shared" si="32"/>
        <v>0.62776217945205481</v>
      </c>
      <c r="CD17" s="42">
        <f t="shared" si="54"/>
        <v>0.13423163733602275</v>
      </c>
      <c r="CE17" s="36">
        <f t="shared" si="55"/>
        <v>0.55368000000000006</v>
      </c>
      <c r="CF17" s="34">
        <f t="shared" si="33"/>
        <v>2.5518813894139659E-2</v>
      </c>
      <c r="CG17" s="35">
        <f t="shared" si="34"/>
        <v>3.9338399100000001</v>
      </c>
      <c r="CH17" s="35">
        <f t="shared" si="34"/>
        <v>0.2360303946</v>
      </c>
      <c r="CI17" s="35">
        <f t="shared" si="34"/>
        <v>0.53888217945205485</v>
      </c>
      <c r="CJ17" s="42">
        <f t="shared" si="56"/>
        <v>0.21735422120927136</v>
      </c>
      <c r="CK17" s="36">
        <f t="shared" si="57"/>
        <v>0.76961000000000002</v>
      </c>
      <c r="CL17" s="34">
        <f t="shared" si="35"/>
        <v>2.0415051115311725E-2</v>
      </c>
      <c r="CM17" s="35">
        <f t="shared" si="36"/>
        <v>2.6110277599999998</v>
      </c>
      <c r="CN17" s="35">
        <f t="shared" si="36"/>
        <v>0.15666166559999997</v>
      </c>
      <c r="CO17" s="35">
        <f t="shared" si="36"/>
        <v>0.35767503561643832</v>
      </c>
      <c r="CP17" s="42">
        <f t="shared" si="58"/>
        <v>0.3001370119481227</v>
      </c>
      <c r="CQ17" s="36">
        <f t="shared" si="59"/>
        <v>0.70536999999999994</v>
      </c>
    </row>
    <row r="18" spans="2:95" ht="17.399999999999999" thickTop="1" thickBot="1" x14ac:dyDescent="0.35">
      <c r="B18" t="s">
        <v>8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31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0.18444063337893141</v>
      </c>
      <c r="Y18" s="35">
        <f t="shared" si="13"/>
        <v>6.2190558100000004</v>
      </c>
      <c r="Z18" s="35">
        <f t="shared" si="13"/>
        <v>0.37314334860000004</v>
      </c>
      <c r="AA18" s="35">
        <f t="shared" si="13"/>
        <v>0.85192545342465764</v>
      </c>
      <c r="AB18" s="42">
        <f t="shared" si="37"/>
        <v>6.7743773793211864E-2</v>
      </c>
      <c r="AC18" s="36">
        <f t="shared" si="14"/>
        <v>0.37920999999999999</v>
      </c>
      <c r="AD18" s="34">
        <f t="shared" si="15"/>
        <v>0.12296042225262095</v>
      </c>
      <c r="AE18" s="35">
        <f t="shared" si="16"/>
        <v>3.2105900200000006</v>
      </c>
      <c r="AF18" s="35">
        <f t="shared" si="16"/>
        <v>0.19263540120000003</v>
      </c>
      <c r="AG18" s="35">
        <f t="shared" si="16"/>
        <v>0.43980685205479464</v>
      </c>
      <c r="AH18" s="42">
        <f t="shared" si="38"/>
        <v>0.16669204310303062</v>
      </c>
      <c r="AI18" s="36">
        <f t="shared" si="39"/>
        <v>0.48171000000000003</v>
      </c>
      <c r="AJ18" s="34">
        <f t="shared" si="17"/>
        <v>9.2220316689465703E-2</v>
      </c>
      <c r="AK18" s="35">
        <f t="shared" si="18"/>
        <v>2.5386238899999998</v>
      </c>
      <c r="AL18" s="35">
        <f t="shared" si="18"/>
        <v>0.15231743339999998</v>
      </c>
      <c r="AM18" s="35">
        <f t="shared" si="18"/>
        <v>0.34775669726027397</v>
      </c>
      <c r="AN18" s="42">
        <f t="shared" si="40"/>
        <v>0.21830292473927673</v>
      </c>
      <c r="AO18" s="36">
        <f t="shared" si="41"/>
        <v>0.49881999999999999</v>
      </c>
      <c r="AP18" s="34">
        <f t="shared" si="19"/>
        <v>7.3776253351572563E-2</v>
      </c>
      <c r="AQ18" s="35">
        <f t="shared" si="20"/>
        <v>1.8141074600000002</v>
      </c>
      <c r="AR18" s="35">
        <f t="shared" si="20"/>
        <v>0.10884644760000001</v>
      </c>
      <c r="AS18" s="35">
        <f t="shared" si="20"/>
        <v>0.24850787123287674</v>
      </c>
      <c r="AT18" s="42">
        <f t="shared" si="42"/>
        <v>0.27295665274426467</v>
      </c>
      <c r="AU18" s="36">
        <f t="shared" si="43"/>
        <v>0.44569999999999999</v>
      </c>
      <c r="AV18" s="34"/>
      <c r="AW18" s="35"/>
      <c r="AX18" s="35"/>
      <c r="AY18" s="35"/>
      <c r="AZ18" s="42"/>
      <c r="BA18" s="36"/>
      <c r="BB18" s="34"/>
      <c r="BC18" s="35"/>
      <c r="BD18" s="35"/>
      <c r="BE18" s="35"/>
      <c r="BF18" s="42"/>
      <c r="BG18" s="36"/>
      <c r="BH18" s="34"/>
      <c r="BI18" s="35"/>
      <c r="BJ18" s="35"/>
      <c r="BK18" s="35"/>
      <c r="BL18" s="42"/>
      <c r="BM18" s="36"/>
      <c r="BN18" s="34"/>
      <c r="BO18" s="35"/>
      <c r="BP18" s="35"/>
      <c r="BQ18" s="35"/>
      <c r="BR18" s="42"/>
      <c r="BS18" s="36"/>
      <c r="BT18" s="34"/>
      <c r="BU18" s="35"/>
      <c r="BV18" s="35"/>
      <c r="BW18" s="35"/>
      <c r="BX18" s="42"/>
      <c r="BY18" s="36"/>
      <c r="BZ18" s="34">
        <f t="shared" si="31"/>
        <v>2.4592084450524188E-2</v>
      </c>
      <c r="CA18" s="35">
        <f t="shared" si="32"/>
        <v>2.4515548200000001</v>
      </c>
      <c r="CB18" s="35">
        <f t="shared" si="32"/>
        <v>0.1470932892</v>
      </c>
      <c r="CC18" s="35">
        <f t="shared" si="32"/>
        <v>0.33582942739726029</v>
      </c>
      <c r="CD18" s="42">
        <f t="shared" si="54"/>
        <v>0.25251289302190683</v>
      </c>
      <c r="CE18" s="36">
        <f t="shared" si="55"/>
        <v>0.55720000000000003</v>
      </c>
      <c r="CF18" s="34">
        <f t="shared" si="33"/>
        <v>1.8444063337893141E-2</v>
      </c>
      <c r="CG18" s="35">
        <f t="shared" si="34"/>
        <v>2.7015409300000006</v>
      </c>
      <c r="CH18" s="35">
        <f t="shared" si="34"/>
        <v>0.16209245580000003</v>
      </c>
      <c r="CI18" s="35">
        <f t="shared" si="34"/>
        <v>0.37007410000000007</v>
      </c>
      <c r="CJ18" s="42">
        <f t="shared" si="56"/>
        <v>0.27484444590665519</v>
      </c>
      <c r="CK18" s="36">
        <f t="shared" si="57"/>
        <v>0.66832000000000003</v>
      </c>
      <c r="CL18" s="34"/>
      <c r="CM18" s="35"/>
      <c r="CN18" s="35"/>
      <c r="CO18" s="35"/>
      <c r="CP18" s="42"/>
      <c r="CQ18" s="36"/>
    </row>
    <row r="19" spans="2:95" ht="15" thickTop="1" x14ac:dyDescent="0.3">
      <c r="B19">
        <v>1</v>
      </c>
      <c r="C19">
        <v>10592</v>
      </c>
      <c r="D19">
        <v>55569.599999999999</v>
      </c>
      <c r="E19">
        <v>9464.5</v>
      </c>
      <c r="F19">
        <f t="shared" ref="F19:F29" si="60">D19/10000</f>
        <v>5.5569600000000001</v>
      </c>
      <c r="G19">
        <f t="shared" ref="G19:G29" si="61">C19/10000</f>
        <v>1.0591999999999999</v>
      </c>
      <c r="H19">
        <f t="shared" ref="H19:H29" si="62">F19-G19</f>
        <v>4.4977600000000004</v>
      </c>
      <c r="I19">
        <f>E19/10000</f>
        <v>0.94645000000000001</v>
      </c>
      <c r="K19" s="66">
        <v>3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0.36705407877788265</v>
      </c>
      <c r="P19" s="2">
        <v>3</v>
      </c>
      <c r="Q19" s="8">
        <f>H19</f>
        <v>4.4977600000000004</v>
      </c>
      <c r="R19" s="8">
        <f>I19</f>
        <v>0.94645000000000001</v>
      </c>
      <c r="S19" s="8">
        <f>Q19/10^6*$Z$4*$Z$3/P19*10^12</f>
        <v>4.9970113600000001</v>
      </c>
      <c r="T19" s="8">
        <f>S19*0.06</f>
        <v>0.29982068159999997</v>
      </c>
      <c r="U19" s="8">
        <f>S19/$Z$1</f>
        <v>0.68452210410958902</v>
      </c>
      <c r="V19" s="12">
        <f t="shared" ref="V19:V29" si="63">O19</f>
        <v>0.36705407877788265</v>
      </c>
      <c r="W19" s="19"/>
      <c r="X19" s="34">
        <f t="shared" si="12"/>
        <v>0.12766843478326573</v>
      </c>
      <c r="Y19" s="35">
        <f t="shared" si="13"/>
        <v>4.8790370474999998</v>
      </c>
      <c r="Z19" s="35">
        <f t="shared" si="13"/>
        <v>0.29274222284999996</v>
      </c>
      <c r="AA19" s="35">
        <f t="shared" si="13"/>
        <v>0.66836123938356162</v>
      </c>
      <c r="AB19" s="42">
        <f t="shared" si="37"/>
        <v>6.9825785638287882E-2</v>
      </c>
      <c r="AC19" s="36">
        <f t="shared" si="14"/>
        <v>0.40886</v>
      </c>
      <c r="AD19" s="34">
        <f t="shared" si="15"/>
        <v>8.511228985551049E-2</v>
      </c>
      <c r="AE19" s="35">
        <f t="shared" si="16"/>
        <v>2.6135386200000004</v>
      </c>
      <c r="AF19" s="35">
        <f t="shared" si="16"/>
        <v>0.15681231720000002</v>
      </c>
      <c r="AG19" s="35">
        <f t="shared" si="16"/>
        <v>0.35801898904109597</v>
      </c>
      <c r="AH19" s="42">
        <f t="shared" si="38"/>
        <v>0.18420817711123014</v>
      </c>
      <c r="AI19" s="36">
        <f t="shared" si="39"/>
        <v>0.57778000000000007</v>
      </c>
      <c r="AJ19" s="34">
        <f t="shared" si="17"/>
        <v>6.3834217391632864E-2</v>
      </c>
      <c r="AK19" s="35">
        <f t="shared" si="18"/>
        <v>2.2357680675</v>
      </c>
      <c r="AL19" s="35">
        <f t="shared" si="18"/>
        <v>0.13414608405</v>
      </c>
      <c r="AM19" s="35">
        <f t="shared" si="18"/>
        <v>0.30626959828767125</v>
      </c>
      <c r="AN19" s="42">
        <f t="shared" si="40"/>
        <v>0.23815309389197192</v>
      </c>
      <c r="AO19" s="36">
        <f t="shared" si="41"/>
        <v>0.63901000000000008</v>
      </c>
      <c r="AP19" s="34">
        <f t="shared" si="19"/>
        <v>5.1067373913306291E-2</v>
      </c>
      <c r="AQ19" s="35">
        <f t="shared" si="20"/>
        <v>1.4931256724999999</v>
      </c>
      <c r="AR19" s="35">
        <f t="shared" si="20"/>
        <v>8.9587540349999994E-2</v>
      </c>
      <c r="AS19" s="35">
        <f t="shared" si="20"/>
        <v>0.20453776335616439</v>
      </c>
      <c r="AT19" s="42">
        <f t="shared" si="42"/>
        <v>0.28185252772150698</v>
      </c>
      <c r="AU19" s="36">
        <f t="shared" si="43"/>
        <v>0.50506000000000006</v>
      </c>
      <c r="AV19" s="34"/>
      <c r="AW19" s="35"/>
      <c r="AX19" s="35"/>
      <c r="AY19" s="35"/>
      <c r="AZ19" s="42"/>
      <c r="BA19" s="36"/>
      <c r="BB19" s="34"/>
      <c r="BC19" s="35"/>
      <c r="BD19" s="35"/>
      <c r="BE19" s="35"/>
      <c r="BF19" s="42"/>
      <c r="BG19" s="36"/>
      <c r="BH19" s="34"/>
      <c r="BI19" s="35"/>
      <c r="BJ19" s="35"/>
      <c r="BK19" s="35"/>
      <c r="BL19" s="42"/>
      <c r="BM19" s="36"/>
      <c r="BN19" s="34"/>
      <c r="BO19" s="35"/>
      <c r="BP19" s="35"/>
      <c r="BQ19" s="35"/>
      <c r="BR19" s="42"/>
      <c r="BS19" s="36"/>
      <c r="BT19" s="34"/>
      <c r="BU19" s="35"/>
      <c r="BV19" s="35"/>
      <c r="BW19" s="35"/>
      <c r="BX19" s="42"/>
      <c r="BY19" s="36"/>
      <c r="BZ19" s="34"/>
      <c r="CA19" s="35"/>
      <c r="CB19" s="35"/>
      <c r="CC19" s="35"/>
      <c r="CD19" s="42"/>
      <c r="CE19" s="36"/>
      <c r="CF19" s="34"/>
      <c r="CG19" s="35"/>
      <c r="CH19" s="35"/>
      <c r="CI19" s="35"/>
      <c r="CJ19" s="42"/>
      <c r="CK19" s="36"/>
      <c r="CL19" s="34"/>
      <c r="CM19" s="35"/>
      <c r="CN19" s="35"/>
      <c r="CO19" s="35"/>
      <c r="CP19" s="42"/>
      <c r="CQ19" s="36"/>
    </row>
    <row r="20" spans="2:95" x14ac:dyDescent="0.3">
      <c r="B20">
        <v>2</v>
      </c>
      <c r="C20">
        <v>10986.4</v>
      </c>
      <c r="D20">
        <v>66831</v>
      </c>
      <c r="E20">
        <v>4957.3</v>
      </c>
      <c r="F20">
        <f t="shared" si="60"/>
        <v>6.6830999999999996</v>
      </c>
      <c r="G20">
        <f t="shared" si="61"/>
        <v>1.0986400000000001</v>
      </c>
      <c r="H20">
        <f t="shared" si="62"/>
        <v>5.58446</v>
      </c>
      <c r="I20">
        <f t="shared" ref="I20:I29" si="64">E20/10000</f>
        <v>0.49573</v>
      </c>
      <c r="K20" s="67"/>
      <c r="L20" s="3">
        <v>-98</v>
      </c>
      <c r="M20" s="5">
        <f>L20+98.2</f>
        <v>0.20000000000000284</v>
      </c>
      <c r="N20" s="5">
        <f t="shared" ref="N20:N29" si="65">20.56036*SQRT(1+((L20-(-98.58903))*1.03*1095.70644/(3.14159*20.56036^2))^2)</f>
        <v>22.992351577801337</v>
      </c>
      <c r="O20" s="5">
        <f t="shared" ref="O20:O29" si="66">2*$Z$1/$Z$2/PI()/(N20*10^-4)^2/$K$19/$Z$7</f>
        <v>0.32559103298121228</v>
      </c>
      <c r="P20" s="4">
        <v>3</v>
      </c>
      <c r="Q20" s="5">
        <f t="shared" ref="Q20:R29" si="67">H20</f>
        <v>5.58446</v>
      </c>
      <c r="R20" s="5">
        <f t="shared" si="67"/>
        <v>0.49573</v>
      </c>
      <c r="S20" s="5">
        <f t="shared" ref="S20:S29" si="68">Q20/10^6*$Z$4*$Z$3/P20*10^12</f>
        <v>6.2043350600000009</v>
      </c>
      <c r="T20" s="5">
        <f t="shared" ref="T20:T29" si="69">S20*0.06</f>
        <v>0.37226010360000006</v>
      </c>
      <c r="U20" s="5">
        <f t="shared" ref="U20:U29" si="70">S20/$Z$1</f>
        <v>0.84990891232876731</v>
      </c>
      <c r="V20" s="5">
        <f t="shared" si="63"/>
        <v>0.32559103298121228</v>
      </c>
      <c r="W20" s="19"/>
      <c r="X20" s="34">
        <f t="shared" si="12"/>
        <v>9.2293571066949256E-2</v>
      </c>
      <c r="Y20" s="35">
        <f t="shared" si="13"/>
        <v>4.0179398324999998</v>
      </c>
      <c r="Z20" s="35">
        <f t="shared" si="13"/>
        <v>0.24107638994999997</v>
      </c>
      <c r="AA20" s="35">
        <f t="shared" si="13"/>
        <v>0.55040271678082187</v>
      </c>
      <c r="AB20" s="42">
        <f t="shared" si="37"/>
        <v>0.14616311455181555</v>
      </c>
      <c r="AC20" s="36">
        <f t="shared" si="14"/>
        <v>0.70479999999999998</v>
      </c>
      <c r="AD20" s="34">
        <f t="shared" si="15"/>
        <v>6.1529047377966176E-2</v>
      </c>
      <c r="AE20" s="35">
        <f t="shared" si="16"/>
        <v>2.0444038724999998</v>
      </c>
      <c r="AF20" s="35">
        <f t="shared" si="16"/>
        <v>0.12266423234999999</v>
      </c>
      <c r="AG20" s="35">
        <f t="shared" si="16"/>
        <v>0.28005532499999997</v>
      </c>
      <c r="AH20" s="42">
        <f t="shared" si="38"/>
        <v>0.25114019392467185</v>
      </c>
      <c r="AI20" s="36">
        <f t="shared" si="39"/>
        <v>0.61618000000000006</v>
      </c>
      <c r="AJ20" s="34">
        <f t="shared" si="17"/>
        <v>4.6146785533474628E-2</v>
      </c>
      <c r="AK20" s="35">
        <f t="shared" si="18"/>
        <v>1.6433189849999998</v>
      </c>
      <c r="AL20" s="35">
        <f t="shared" si="18"/>
        <v>9.8599139099999983E-2</v>
      </c>
      <c r="AM20" s="35">
        <f t="shared" si="18"/>
        <v>0.22511218972602737</v>
      </c>
      <c r="AN20" s="42">
        <f t="shared" si="40"/>
        <v>0.30230506343234392</v>
      </c>
      <c r="AO20" s="36">
        <f t="shared" si="41"/>
        <v>0.59619999999999995</v>
      </c>
      <c r="AP20" s="34"/>
      <c r="AQ20" s="35"/>
      <c r="AR20" s="35"/>
      <c r="AS20" s="35"/>
      <c r="AT20" s="42"/>
      <c r="AU20" s="36"/>
      <c r="AV20" s="34"/>
      <c r="AW20" s="35"/>
      <c r="AX20" s="35"/>
      <c r="AY20" s="35"/>
      <c r="AZ20" s="42"/>
      <c r="BA20" s="36"/>
      <c r="BB20" s="34"/>
      <c r="BC20" s="35"/>
      <c r="BD20" s="35"/>
      <c r="BE20" s="35"/>
      <c r="BF20" s="42"/>
      <c r="BG20" s="36"/>
      <c r="BH20" s="34"/>
      <c r="BI20" s="35"/>
      <c r="BJ20" s="35"/>
      <c r="BK20" s="35"/>
      <c r="BL20" s="42"/>
      <c r="BM20" s="36"/>
      <c r="BN20" s="34"/>
      <c r="BO20" s="35"/>
      <c r="BP20" s="35"/>
      <c r="BQ20" s="35"/>
      <c r="BR20" s="42"/>
      <c r="BS20" s="36"/>
      <c r="BT20" s="34"/>
      <c r="BU20" s="35"/>
      <c r="BV20" s="35"/>
      <c r="BW20" s="35"/>
      <c r="BX20" s="42"/>
      <c r="BY20" s="36"/>
      <c r="BZ20" s="34"/>
      <c r="CA20" s="35"/>
      <c r="CB20" s="35"/>
      <c r="CC20" s="35"/>
      <c r="CD20" s="42"/>
      <c r="CE20" s="36"/>
      <c r="CF20" s="34"/>
      <c r="CG20" s="35"/>
      <c r="CH20" s="35"/>
      <c r="CI20" s="35"/>
      <c r="CJ20" s="42"/>
      <c r="CK20" s="36"/>
      <c r="CL20" s="34"/>
      <c r="CM20" s="35"/>
      <c r="CN20" s="35"/>
      <c r="CO20" s="35"/>
      <c r="CP20" s="42"/>
      <c r="CQ20" s="36"/>
    </row>
    <row r="21" spans="2:95" x14ac:dyDescent="0.3">
      <c r="B21">
        <v>3</v>
      </c>
      <c r="C21">
        <v>4207.5</v>
      </c>
      <c r="D21">
        <v>66702.5</v>
      </c>
      <c r="E21">
        <v>3321.7</v>
      </c>
      <c r="F21">
        <f t="shared" si="60"/>
        <v>6.6702500000000002</v>
      </c>
      <c r="G21">
        <f t="shared" si="61"/>
        <v>0.42075000000000001</v>
      </c>
      <c r="H21">
        <f t="shared" si="62"/>
        <v>6.2495000000000003</v>
      </c>
      <c r="I21">
        <f t="shared" si="64"/>
        <v>0.33216999999999997</v>
      </c>
      <c r="K21" s="67"/>
      <c r="L21" s="3">
        <v>-97.8</v>
      </c>
      <c r="M21" s="5">
        <f t="shared" ref="M21:M29" si="71">L21+98.2</f>
        <v>0.40000000000000568</v>
      </c>
      <c r="N21" s="5">
        <f t="shared" si="65"/>
        <v>24.754552179927092</v>
      </c>
      <c r="O21" s="5">
        <f t="shared" si="66"/>
        <v>0.28088533841012986</v>
      </c>
      <c r="P21" s="4">
        <v>3</v>
      </c>
      <c r="Q21" s="5">
        <f t="shared" si="67"/>
        <v>6.2495000000000003</v>
      </c>
      <c r="R21" s="5">
        <f t="shared" si="67"/>
        <v>0.33216999999999997</v>
      </c>
      <c r="S21" s="5">
        <f t="shared" si="68"/>
        <v>6.9431944999999997</v>
      </c>
      <c r="T21" s="5">
        <f t="shared" si="69"/>
        <v>0.41659166999999997</v>
      </c>
      <c r="U21" s="5">
        <f t="shared" si="70"/>
        <v>0.95112253424657534</v>
      </c>
      <c r="V21" s="5">
        <f t="shared" si="63"/>
        <v>0.28088533841012986</v>
      </c>
      <c r="W21" s="19"/>
      <c r="X21" s="34">
        <f t="shared" si="12"/>
        <v>7.7398826646892183E-2</v>
      </c>
      <c r="Y21" s="35">
        <f t="shared" si="13"/>
        <v>3.2490817259999996</v>
      </c>
      <c r="Z21" s="35">
        <f t="shared" si="13"/>
        <v>0.19494490355999997</v>
      </c>
      <c r="AA21" s="35">
        <f t="shared" si="13"/>
        <v>0.44507968849315066</v>
      </c>
      <c r="AB21" s="42">
        <f t="shared" si="37"/>
        <v>0.19361893761117421</v>
      </c>
      <c r="AC21" s="36">
        <f t="shared" si="14"/>
        <v>0.94372000000000011</v>
      </c>
      <c r="AD21" s="34">
        <f t="shared" si="15"/>
        <v>5.1599217764594793E-2</v>
      </c>
      <c r="AE21" s="35">
        <f t="shared" si="16"/>
        <v>1.2783588180000001</v>
      </c>
      <c r="AF21" s="35">
        <f t="shared" si="16"/>
        <v>7.6701529079999997E-2</v>
      </c>
      <c r="AG21" s="35">
        <f t="shared" si="16"/>
        <v>0.17511764630136989</v>
      </c>
      <c r="AH21" s="42">
        <f t="shared" si="38"/>
        <v>0.35218722135024222</v>
      </c>
      <c r="AI21" s="36">
        <f t="shared" si="39"/>
        <v>0.6754</v>
      </c>
      <c r="AJ21" s="34"/>
      <c r="AK21" s="35"/>
      <c r="AL21" s="35"/>
      <c r="AM21" s="35"/>
      <c r="AN21" s="42"/>
      <c r="AO21" s="36"/>
      <c r="AP21" s="34"/>
      <c r="AQ21" s="35"/>
      <c r="AR21" s="35"/>
      <c r="AS21" s="35"/>
      <c r="AT21" s="42"/>
      <c r="AU21" s="36"/>
      <c r="AV21" s="34"/>
      <c r="AW21" s="35"/>
      <c r="AX21" s="35"/>
      <c r="AY21" s="35"/>
      <c r="AZ21" s="42"/>
      <c r="BA21" s="36"/>
      <c r="BB21" s="34"/>
      <c r="BC21" s="35"/>
      <c r="BD21" s="35"/>
      <c r="BE21" s="35"/>
      <c r="BF21" s="42"/>
      <c r="BG21" s="36"/>
      <c r="BH21" s="34"/>
      <c r="BI21" s="35"/>
      <c r="BJ21" s="35"/>
      <c r="BK21" s="35"/>
      <c r="BL21" s="42"/>
      <c r="BM21" s="36"/>
      <c r="BN21" s="34"/>
      <c r="BO21" s="35"/>
      <c r="BP21" s="35"/>
      <c r="BQ21" s="35"/>
      <c r="BR21" s="42"/>
      <c r="BS21" s="36"/>
      <c r="BT21" s="34"/>
      <c r="BU21" s="35"/>
      <c r="BV21" s="35"/>
      <c r="BW21" s="35"/>
      <c r="BX21" s="42"/>
      <c r="BY21" s="36"/>
      <c r="BZ21" s="34"/>
      <c r="CA21" s="35"/>
      <c r="CB21" s="35"/>
      <c r="CC21" s="35"/>
      <c r="CD21" s="42"/>
      <c r="CE21" s="36"/>
      <c r="CF21" s="34"/>
      <c r="CG21" s="35"/>
      <c r="CH21" s="35"/>
      <c r="CI21" s="35"/>
      <c r="CJ21" s="42"/>
      <c r="CK21" s="36"/>
      <c r="CL21" s="34"/>
      <c r="CM21" s="35"/>
      <c r="CN21" s="35"/>
      <c r="CO21" s="35"/>
      <c r="CP21" s="42"/>
      <c r="CQ21" s="36"/>
    </row>
    <row r="22" spans="2:95" x14ac:dyDescent="0.3">
      <c r="B22">
        <v>4</v>
      </c>
      <c r="C22">
        <v>4260.8</v>
      </c>
      <c r="D22">
        <v>41684.699999999997</v>
      </c>
      <c r="E22">
        <v>4084.6</v>
      </c>
      <c r="F22">
        <f t="shared" si="60"/>
        <v>4.1684700000000001</v>
      </c>
      <c r="G22">
        <f t="shared" si="61"/>
        <v>0.42608000000000001</v>
      </c>
      <c r="H22">
        <f t="shared" si="62"/>
        <v>3.7423900000000003</v>
      </c>
      <c r="I22">
        <f t="shared" si="64"/>
        <v>0.40845999999999999</v>
      </c>
      <c r="K22" s="67"/>
      <c r="L22" s="3">
        <v>-97.2</v>
      </c>
      <c r="M22" s="5">
        <f t="shared" si="71"/>
        <v>1</v>
      </c>
      <c r="N22" s="5">
        <f t="shared" si="65"/>
        <v>31.807899949628325</v>
      </c>
      <c r="O22" s="5">
        <f t="shared" si="66"/>
        <v>0.17012542596093105</v>
      </c>
      <c r="P22" s="4">
        <v>3</v>
      </c>
      <c r="Q22" s="5">
        <f t="shared" si="67"/>
        <v>3.7423900000000003</v>
      </c>
      <c r="R22" s="5">
        <f t="shared" si="67"/>
        <v>0.40845999999999999</v>
      </c>
      <c r="S22" s="5">
        <f t="shared" si="68"/>
        <v>4.157795290000001</v>
      </c>
      <c r="T22" s="5">
        <f t="shared" si="69"/>
        <v>0.24946771740000007</v>
      </c>
      <c r="U22" s="5">
        <f t="shared" si="70"/>
        <v>0.56956099863013709</v>
      </c>
      <c r="V22" s="5">
        <f t="shared" si="63"/>
        <v>0.17012542596093105</v>
      </c>
      <c r="W22" s="19"/>
      <c r="X22" s="34">
        <f t="shared" si="12"/>
        <v>6.237795067385267E-2</v>
      </c>
      <c r="Y22" s="35">
        <f t="shared" si="13"/>
        <v>2.3852781150000002</v>
      </c>
      <c r="Z22" s="35">
        <f t="shared" si="13"/>
        <v>0.14311668690000001</v>
      </c>
      <c r="AA22" s="35">
        <f t="shared" si="13"/>
        <v>0.32675042671232879</v>
      </c>
      <c r="AB22" s="42">
        <f t="shared" si="37"/>
        <v>0.18715896626167633</v>
      </c>
      <c r="AC22" s="36">
        <f t="shared" si="14"/>
        <v>1.0715299999999999</v>
      </c>
      <c r="AD22" s="34">
        <f t="shared" si="15"/>
        <v>4.1585300449235113E-2</v>
      </c>
      <c r="AE22" s="35">
        <f t="shared" si="16"/>
        <v>1.0278763687500001</v>
      </c>
      <c r="AF22" s="35">
        <f t="shared" si="16"/>
        <v>6.1672582125000007E-2</v>
      </c>
      <c r="AG22" s="35">
        <f t="shared" si="16"/>
        <v>0.14080498202054798</v>
      </c>
      <c r="AH22" s="42">
        <f t="shared" si="38"/>
        <v>0.3088908254463652</v>
      </c>
      <c r="AI22" s="36">
        <f t="shared" si="39"/>
        <v>0.76207999999999998</v>
      </c>
      <c r="AJ22" s="34"/>
      <c r="AK22" s="35"/>
      <c r="AL22" s="35"/>
      <c r="AM22" s="35"/>
      <c r="AN22" s="42"/>
      <c r="AO22" s="36"/>
      <c r="AP22" s="34"/>
      <c r="AQ22" s="35"/>
      <c r="AR22" s="35"/>
      <c r="AS22" s="35"/>
      <c r="AT22" s="42"/>
      <c r="AU22" s="36"/>
      <c r="AV22" s="34"/>
      <c r="AW22" s="35"/>
      <c r="AX22" s="35"/>
      <c r="AY22" s="35"/>
      <c r="AZ22" s="42"/>
      <c r="BA22" s="36"/>
      <c r="BB22" s="34"/>
      <c r="BC22" s="35"/>
      <c r="BD22" s="35"/>
      <c r="BE22" s="35"/>
      <c r="BF22" s="42"/>
      <c r="BG22" s="36"/>
      <c r="BH22" s="34"/>
      <c r="BI22" s="35"/>
      <c r="BJ22" s="35"/>
      <c r="BK22" s="35"/>
      <c r="BL22" s="42"/>
      <c r="BM22" s="36"/>
      <c r="BN22" s="34"/>
      <c r="BO22" s="35"/>
      <c r="BP22" s="35"/>
      <c r="BQ22" s="35"/>
      <c r="BR22" s="42"/>
      <c r="BS22" s="36"/>
      <c r="BT22" s="34"/>
      <c r="BU22" s="35"/>
      <c r="BV22" s="35"/>
      <c r="BW22" s="35"/>
      <c r="BX22" s="42"/>
      <c r="BY22" s="36"/>
      <c r="BZ22" s="34"/>
      <c r="CA22" s="35"/>
      <c r="CB22" s="35"/>
      <c r="CC22" s="35"/>
      <c r="CD22" s="42"/>
      <c r="CE22" s="36"/>
      <c r="CF22" s="34"/>
      <c r="CG22" s="35"/>
      <c r="CH22" s="35"/>
      <c r="CI22" s="35"/>
      <c r="CJ22" s="42"/>
      <c r="CK22" s="36"/>
      <c r="CL22" s="34"/>
      <c r="CM22" s="35"/>
      <c r="CN22" s="35"/>
      <c r="CO22" s="35"/>
      <c r="CP22" s="42"/>
      <c r="CQ22" s="36"/>
    </row>
    <row r="23" spans="2:95" x14ac:dyDescent="0.3">
      <c r="B23">
        <v>5</v>
      </c>
      <c r="C23">
        <v>3805.5</v>
      </c>
      <c r="D23">
        <v>32703.7</v>
      </c>
      <c r="E23">
        <v>4817.1000000000004</v>
      </c>
      <c r="F23">
        <f t="shared" si="60"/>
        <v>3.2703700000000002</v>
      </c>
      <c r="G23">
        <f t="shared" si="61"/>
        <v>0.38055</v>
      </c>
      <c r="H23">
        <f t="shared" si="62"/>
        <v>2.8898200000000003</v>
      </c>
      <c r="I23">
        <f t="shared" si="64"/>
        <v>0.48171000000000003</v>
      </c>
      <c r="K23" s="67"/>
      <c r="L23" s="3">
        <v>-96.8</v>
      </c>
      <c r="M23" s="5">
        <f t="shared" si="71"/>
        <v>1.4000000000000057</v>
      </c>
      <c r="N23" s="5">
        <f t="shared" si="65"/>
        <v>37.414240753916886</v>
      </c>
      <c r="O23" s="5">
        <f t="shared" si="66"/>
        <v>0.12296042225262095</v>
      </c>
      <c r="P23" s="4">
        <v>3</v>
      </c>
      <c r="Q23" s="5">
        <f t="shared" si="67"/>
        <v>2.8898200000000003</v>
      </c>
      <c r="R23" s="5">
        <f t="shared" si="67"/>
        <v>0.48171000000000003</v>
      </c>
      <c r="S23" s="5">
        <f t="shared" si="68"/>
        <v>3.2105900200000006</v>
      </c>
      <c r="T23" s="5">
        <f t="shared" si="69"/>
        <v>0.19263540120000003</v>
      </c>
      <c r="U23" s="5">
        <f t="shared" si="70"/>
        <v>0.43980685205479464</v>
      </c>
      <c r="V23" s="5">
        <f t="shared" si="63"/>
        <v>0.12296042225262095</v>
      </c>
      <c r="W23" s="19"/>
      <c r="X23" s="34">
        <f t="shared" si="12"/>
        <v>4.4669992642433591E-2</v>
      </c>
      <c r="Y23" s="35">
        <f t="shared" si="13"/>
        <v>1.6707043414285718</v>
      </c>
      <c r="Z23" s="35">
        <f t="shared" si="13"/>
        <v>0.1002422604857143</v>
      </c>
      <c r="AA23" s="35">
        <f t="shared" si="13"/>
        <v>0.22886360841487285</v>
      </c>
      <c r="AB23" s="42">
        <f t="shared" si="37"/>
        <v>0.15859132531356607</v>
      </c>
      <c r="AC23" s="36">
        <f t="shared" si="14"/>
        <v>1.11294</v>
      </c>
      <c r="AD23" s="34">
        <f t="shared" si="15"/>
        <v>2.9779995094955727E-2</v>
      </c>
      <c r="AE23" s="35">
        <f t="shared" si="16"/>
        <v>0.64116682928571433</v>
      </c>
      <c r="AF23" s="35">
        <f t="shared" si="16"/>
        <v>3.8470009757142862E-2</v>
      </c>
      <c r="AG23" s="35">
        <f t="shared" si="16"/>
        <v>8.7831072504892374E-2</v>
      </c>
      <c r="AH23" s="42">
        <f t="shared" si="38"/>
        <v>0.31648206388753775</v>
      </c>
      <c r="AI23" s="36">
        <f t="shared" si="39"/>
        <v>0.85233999999999999</v>
      </c>
      <c r="AJ23" s="34"/>
      <c r="AK23" s="35"/>
      <c r="AL23" s="35"/>
      <c r="AM23" s="35"/>
      <c r="AN23" s="42"/>
      <c r="AO23" s="36"/>
      <c r="AP23" s="34"/>
      <c r="AQ23" s="35"/>
      <c r="AR23" s="35"/>
      <c r="AS23" s="35"/>
      <c r="AT23" s="42"/>
      <c r="AU23" s="36"/>
      <c r="AV23" s="34"/>
      <c r="AW23" s="35"/>
      <c r="AX23" s="35"/>
      <c r="AY23" s="35"/>
      <c r="AZ23" s="42"/>
      <c r="BA23" s="36"/>
      <c r="BB23" s="34"/>
      <c r="BC23" s="35"/>
      <c r="BD23" s="35"/>
      <c r="BE23" s="35"/>
      <c r="BF23" s="42"/>
      <c r="BG23" s="36"/>
      <c r="BH23" s="34"/>
      <c r="BI23" s="35"/>
      <c r="BJ23" s="35"/>
      <c r="BK23" s="35"/>
      <c r="BL23" s="42"/>
      <c r="BM23" s="36"/>
      <c r="BN23" s="34"/>
      <c r="BO23" s="35"/>
      <c r="BP23" s="35"/>
      <c r="BQ23" s="35"/>
      <c r="BR23" s="42"/>
      <c r="BS23" s="36"/>
      <c r="BT23" s="34"/>
      <c r="BU23" s="35"/>
      <c r="BV23" s="35"/>
      <c r="BW23" s="35"/>
      <c r="BX23" s="42"/>
      <c r="BY23" s="36"/>
      <c r="BZ23" s="34"/>
      <c r="CA23" s="35"/>
      <c r="CB23" s="35"/>
      <c r="CC23" s="35"/>
      <c r="CD23" s="42"/>
      <c r="CE23" s="36"/>
      <c r="CF23" s="34"/>
      <c r="CG23" s="35"/>
      <c r="CH23" s="35"/>
      <c r="CI23" s="35"/>
      <c r="CJ23" s="42"/>
      <c r="CK23" s="36"/>
      <c r="CL23" s="34"/>
      <c r="CM23" s="35"/>
      <c r="CN23" s="35"/>
      <c r="CO23" s="35"/>
      <c r="CP23" s="42"/>
      <c r="CQ23" s="36"/>
    </row>
    <row r="24" spans="2:95" ht="15" thickBot="1" x14ac:dyDescent="0.35">
      <c r="B24">
        <v>6</v>
      </c>
      <c r="C24">
        <v>852.6</v>
      </c>
      <c r="D24">
        <v>32218.2</v>
      </c>
      <c r="E24">
        <v>5777.8</v>
      </c>
      <c r="F24">
        <f t="shared" si="60"/>
        <v>3.2218200000000001</v>
      </c>
      <c r="G24">
        <f t="shared" si="61"/>
        <v>8.5260000000000002E-2</v>
      </c>
      <c r="H24">
        <f t="shared" si="62"/>
        <v>3.1365600000000002</v>
      </c>
      <c r="I24">
        <f t="shared" si="64"/>
        <v>0.57778000000000007</v>
      </c>
      <c r="K24" s="67"/>
      <c r="L24" s="3">
        <v>-96.3</v>
      </c>
      <c r="M24" s="5">
        <f t="shared" si="71"/>
        <v>1.9000000000000057</v>
      </c>
      <c r="N24" s="5">
        <f t="shared" si="65"/>
        <v>44.970060517830404</v>
      </c>
      <c r="O24" s="5">
        <f t="shared" si="66"/>
        <v>8.511228985551049E-2</v>
      </c>
      <c r="P24" s="4">
        <v>4</v>
      </c>
      <c r="Q24" s="5">
        <f t="shared" si="67"/>
        <v>3.1365600000000002</v>
      </c>
      <c r="R24" s="5">
        <f t="shared" si="67"/>
        <v>0.57778000000000007</v>
      </c>
      <c r="S24" s="5">
        <f t="shared" si="68"/>
        <v>2.6135386200000004</v>
      </c>
      <c r="T24" s="5">
        <f t="shared" si="69"/>
        <v>0.15681231720000002</v>
      </c>
      <c r="U24" s="5">
        <f t="shared" si="70"/>
        <v>0.35801898904109597</v>
      </c>
      <c r="V24" s="5">
        <f t="shared" si="63"/>
        <v>8.511228985551049E-2</v>
      </c>
      <c r="W24" s="19"/>
      <c r="X24" s="37">
        <f t="shared" si="12"/>
        <v>2.8806696412112791E-2</v>
      </c>
      <c r="Y24" s="38">
        <f t="shared" si="13"/>
        <v>0.83413562571428568</v>
      </c>
      <c r="Z24" s="38">
        <f t="shared" si="13"/>
        <v>5.0048137542857141E-2</v>
      </c>
      <c r="AA24" s="38">
        <f t="shared" si="13"/>
        <v>0.1142651542074364</v>
      </c>
      <c r="AB24" s="43">
        <f t="shared" si="37"/>
        <v>0.17047024305595199</v>
      </c>
      <c r="AC24" s="39">
        <f t="shared" si="14"/>
        <v>0.89592000000000005</v>
      </c>
      <c r="AD24" s="37"/>
      <c r="AE24" s="38"/>
      <c r="AF24" s="38"/>
      <c r="AG24" s="38"/>
      <c r="AH24" s="43"/>
      <c r="AI24" s="39"/>
      <c r="AJ24" s="37"/>
      <c r="AK24" s="38"/>
      <c r="AL24" s="38"/>
      <c r="AM24" s="38"/>
      <c r="AN24" s="43"/>
      <c r="AO24" s="39"/>
      <c r="AP24" s="37"/>
      <c r="AQ24" s="38"/>
      <c r="AR24" s="38"/>
      <c r="AS24" s="38"/>
      <c r="AT24" s="43"/>
      <c r="AU24" s="39"/>
      <c r="AV24" s="37"/>
      <c r="AW24" s="38"/>
      <c r="AX24" s="38"/>
      <c r="AY24" s="38"/>
      <c r="AZ24" s="43"/>
      <c r="BA24" s="39"/>
      <c r="BB24" s="37"/>
      <c r="BC24" s="38"/>
      <c r="BD24" s="38"/>
      <c r="BE24" s="38"/>
      <c r="BF24" s="43"/>
      <c r="BG24" s="39"/>
      <c r="BH24" s="37"/>
      <c r="BI24" s="38"/>
      <c r="BJ24" s="38"/>
      <c r="BK24" s="38"/>
      <c r="BL24" s="43"/>
      <c r="BM24" s="39"/>
      <c r="BN24" s="37"/>
      <c r="BO24" s="38"/>
      <c r="BP24" s="38"/>
      <c r="BQ24" s="38"/>
      <c r="BR24" s="43"/>
      <c r="BS24" s="39"/>
      <c r="BT24" s="37"/>
      <c r="BU24" s="38"/>
      <c r="BV24" s="38"/>
      <c r="BW24" s="38"/>
      <c r="BX24" s="43"/>
      <c r="BY24" s="39"/>
      <c r="BZ24" s="37"/>
      <c r="CA24" s="38"/>
      <c r="CB24" s="38"/>
      <c r="CC24" s="38"/>
      <c r="CD24" s="43"/>
      <c r="CE24" s="39"/>
      <c r="CF24" s="37"/>
      <c r="CG24" s="38"/>
      <c r="CH24" s="38"/>
      <c r="CI24" s="38"/>
      <c r="CJ24" s="43"/>
      <c r="CK24" s="39"/>
      <c r="CL24" s="37"/>
      <c r="CM24" s="38"/>
      <c r="CN24" s="38"/>
      <c r="CO24" s="38"/>
      <c r="CP24" s="43"/>
      <c r="CQ24" s="39"/>
    </row>
    <row r="25" spans="2:95" ht="15" thickTop="1" x14ac:dyDescent="0.3">
      <c r="B25">
        <v>7</v>
      </c>
      <c r="C25">
        <v>2644</v>
      </c>
      <c r="D25">
        <v>27179.3</v>
      </c>
      <c r="E25">
        <v>6161.8</v>
      </c>
      <c r="F25">
        <f t="shared" si="60"/>
        <v>2.71793</v>
      </c>
      <c r="G25">
        <f t="shared" si="61"/>
        <v>0.26440000000000002</v>
      </c>
      <c r="H25">
        <f t="shared" si="62"/>
        <v>2.4535299999999998</v>
      </c>
      <c r="I25">
        <f t="shared" si="64"/>
        <v>0.61618000000000006</v>
      </c>
      <c r="K25" s="67"/>
      <c r="L25" s="3">
        <v>-95.8</v>
      </c>
      <c r="M25" s="5">
        <f t="shared" si="71"/>
        <v>2.4000000000000057</v>
      </c>
      <c r="N25" s="5">
        <f t="shared" si="65"/>
        <v>52.890724234957723</v>
      </c>
      <c r="O25" s="5">
        <f t="shared" si="66"/>
        <v>6.1529047377966176E-2</v>
      </c>
      <c r="P25" s="4">
        <v>4</v>
      </c>
      <c r="Q25" s="5">
        <f t="shared" si="67"/>
        <v>2.4535299999999998</v>
      </c>
      <c r="R25" s="5">
        <f t="shared" si="67"/>
        <v>0.61618000000000006</v>
      </c>
      <c r="S25" s="5">
        <f t="shared" si="68"/>
        <v>2.0444038724999998</v>
      </c>
      <c r="T25" s="5">
        <f t="shared" si="69"/>
        <v>0.12266423234999999</v>
      </c>
      <c r="U25" s="5">
        <f t="shared" si="70"/>
        <v>0.28005532499999997</v>
      </c>
      <c r="V25" s="5">
        <f t="shared" si="63"/>
        <v>6.1529047377966176E-2</v>
      </c>
      <c r="W25" s="19"/>
      <c r="X25" s="20"/>
      <c r="Y25" s="21"/>
      <c r="Z25" s="18"/>
      <c r="AA25" s="22">
        <f>MAX(AA14:AA24)</f>
        <v>1.4323331602739726</v>
      </c>
      <c r="AB25" s="17"/>
      <c r="AC25" s="26">
        <f>MIN(AC14:AC24)</f>
        <v>0.29144000000000003</v>
      </c>
      <c r="AG25" s="22">
        <f>MAX(AG14:AG24)</f>
        <v>0.95112253424657534</v>
      </c>
      <c r="AI25" s="26">
        <f>MIN(AI14:AI24)</f>
        <v>0.33216999999999997</v>
      </c>
      <c r="AM25" s="22">
        <f>MAX(AM14:AM24)</f>
        <v>0.75867754931506848</v>
      </c>
      <c r="AO25" s="26">
        <f>MIN(AO14:AO24)</f>
        <v>0.36809999999999998</v>
      </c>
      <c r="AS25" s="22">
        <f>MAX(AS14:AS24)</f>
        <v>0.62406087534246579</v>
      </c>
      <c r="AU25" s="26">
        <f>MIN(AU14:AU24)</f>
        <v>0.41676999999999997</v>
      </c>
      <c r="AY25" s="22">
        <f>MAX(AY14:AY24)</f>
        <v>0.65988225479452056</v>
      </c>
      <c r="BA25" s="26">
        <f>MIN(BA14:BA24)</f>
        <v>0.51302999999999999</v>
      </c>
      <c r="BE25" s="22">
        <f>MAX(BE14:BE24)</f>
        <v>0.55452901643835617</v>
      </c>
      <c r="BG25" s="26">
        <f>MIN(BG14:BG24)</f>
        <v>0.42691999999999997</v>
      </c>
      <c r="BK25" s="22">
        <f>MAX(BK14:BK24)</f>
        <v>0.71100043013698633</v>
      </c>
      <c r="BM25" s="26">
        <f>MIN(BM14:BM24)</f>
        <v>0.38533000000000001</v>
      </c>
      <c r="BQ25" s="22">
        <f>MAX(BQ14:BQ24)</f>
        <v>0.6547716547945206</v>
      </c>
      <c r="BS25" s="26">
        <f>MIN(BS14:BS24)</f>
        <v>0.38258000000000003</v>
      </c>
      <c r="BW25" s="22">
        <f>MAX(BW14:BW24)</f>
        <v>0.69112418356164407</v>
      </c>
      <c r="BY25" s="26">
        <f>MIN(BY14:BY24)</f>
        <v>0.43958000000000003</v>
      </c>
      <c r="CC25" s="22">
        <f>MAX(CC14:CC24)</f>
        <v>0.8008285849315071</v>
      </c>
      <c r="CE25" s="26">
        <f>MIN(CE14:CE24)</f>
        <v>0.55368000000000006</v>
      </c>
      <c r="CI25" s="22">
        <f>MAX(CI14:CI24)</f>
        <v>0.80187414246575328</v>
      </c>
      <c r="CK25" s="26">
        <f>MIN(CK14:CK24)</f>
        <v>0.66832000000000003</v>
      </c>
      <c r="CO25" s="22">
        <f>MAX(CO14:CO24)</f>
        <v>0.63953877945205506</v>
      </c>
      <c r="CQ25" s="26">
        <f>MIN(CQ14:CQ24)</f>
        <v>0.70536999999999994</v>
      </c>
    </row>
    <row r="26" spans="2:95" x14ac:dyDescent="0.3">
      <c r="B26">
        <v>8</v>
      </c>
      <c r="C26">
        <v>2275.1999999999998</v>
      </c>
      <c r="D26">
        <v>21452.5</v>
      </c>
      <c r="E26">
        <v>6754</v>
      </c>
      <c r="F26">
        <f t="shared" si="60"/>
        <v>2.1452499999999999</v>
      </c>
      <c r="G26">
        <f t="shared" si="61"/>
        <v>0.22751999999999997</v>
      </c>
      <c r="H26">
        <f t="shared" si="62"/>
        <v>1.9177299999999999</v>
      </c>
      <c r="I26">
        <f t="shared" si="64"/>
        <v>0.6754</v>
      </c>
      <c r="K26" s="67"/>
      <c r="L26" s="3">
        <v>-95.5</v>
      </c>
      <c r="M26" s="5">
        <f t="shared" si="71"/>
        <v>2.7000000000000028</v>
      </c>
      <c r="N26" s="5">
        <f t="shared" si="65"/>
        <v>57.756125383651771</v>
      </c>
      <c r="O26" s="5">
        <f t="shared" si="66"/>
        <v>5.1599217764594793E-2</v>
      </c>
      <c r="P26" s="4">
        <v>5</v>
      </c>
      <c r="Q26" s="5">
        <f t="shared" si="67"/>
        <v>1.9177299999999999</v>
      </c>
      <c r="R26" s="5">
        <f t="shared" si="67"/>
        <v>0.6754</v>
      </c>
      <c r="S26" s="5">
        <f t="shared" si="68"/>
        <v>1.2783588180000001</v>
      </c>
      <c r="T26" s="5">
        <f t="shared" si="69"/>
        <v>7.6701529079999997E-2</v>
      </c>
      <c r="U26" s="5">
        <f t="shared" si="70"/>
        <v>0.17511764630136989</v>
      </c>
      <c r="V26" s="5">
        <f t="shared" si="63"/>
        <v>5.1599217764594793E-2</v>
      </c>
      <c r="W26" s="19"/>
      <c r="X26" s="20"/>
      <c r="Y26" s="21"/>
      <c r="Z26" s="18"/>
    </row>
    <row r="27" spans="2:95" x14ac:dyDescent="0.3">
      <c r="B27">
        <v>9</v>
      </c>
      <c r="C27">
        <v>2590.4</v>
      </c>
      <c r="D27">
        <v>27261.9</v>
      </c>
      <c r="E27">
        <v>7620.8</v>
      </c>
      <c r="F27">
        <f t="shared" si="60"/>
        <v>2.7261900000000003</v>
      </c>
      <c r="G27">
        <f t="shared" si="61"/>
        <v>0.25903999999999999</v>
      </c>
      <c r="H27">
        <f t="shared" si="62"/>
        <v>2.4671500000000002</v>
      </c>
      <c r="I27">
        <f t="shared" si="64"/>
        <v>0.76207999999999998</v>
      </c>
      <c r="K27" s="67"/>
      <c r="L27" s="5">
        <v>-95.1</v>
      </c>
      <c r="M27" s="5">
        <f t="shared" si="71"/>
        <v>3.1000000000000085</v>
      </c>
      <c r="N27" s="5">
        <f t="shared" si="65"/>
        <v>64.335352920706185</v>
      </c>
      <c r="O27" s="5">
        <f t="shared" si="66"/>
        <v>4.1585300449235113E-2</v>
      </c>
      <c r="P27" s="4">
        <v>8</v>
      </c>
      <c r="Q27" s="5">
        <f t="shared" si="67"/>
        <v>2.4671500000000002</v>
      </c>
      <c r="R27" s="5">
        <f t="shared" si="67"/>
        <v>0.76207999999999998</v>
      </c>
      <c r="S27" s="5">
        <f t="shared" si="68"/>
        <v>1.0278763687500001</v>
      </c>
      <c r="T27" s="5">
        <f t="shared" si="69"/>
        <v>6.1672582125000007E-2</v>
      </c>
      <c r="U27" s="5">
        <f t="shared" si="70"/>
        <v>0.14080498202054798</v>
      </c>
      <c r="V27" s="5">
        <f t="shared" si="63"/>
        <v>4.1585300449235113E-2</v>
      </c>
      <c r="W27" s="19"/>
      <c r="X27" s="20"/>
      <c r="Y27" s="21"/>
      <c r="Z27" s="17"/>
    </row>
    <row r="28" spans="2:95" x14ac:dyDescent="0.3">
      <c r="B28">
        <v>10</v>
      </c>
      <c r="C28">
        <v>8409.2000000000007</v>
      </c>
      <c r="D28">
        <v>35340.9</v>
      </c>
      <c r="E28">
        <v>8523.4</v>
      </c>
      <c r="F28">
        <f t="shared" si="60"/>
        <v>3.53409</v>
      </c>
      <c r="G28">
        <f t="shared" si="61"/>
        <v>0.84092000000000011</v>
      </c>
      <c r="H28">
        <f t="shared" si="62"/>
        <v>2.6931699999999998</v>
      </c>
      <c r="I28">
        <f t="shared" si="64"/>
        <v>0.85233999999999999</v>
      </c>
      <c r="K28" s="67"/>
      <c r="L28" s="5">
        <v>-94.399999999999991</v>
      </c>
      <c r="M28" s="5">
        <f t="shared" si="71"/>
        <v>3.8000000000000114</v>
      </c>
      <c r="N28" s="5">
        <f t="shared" si="65"/>
        <v>76.025152245972833</v>
      </c>
      <c r="O28" s="5">
        <f t="shared" si="66"/>
        <v>2.9779995094955727E-2</v>
      </c>
      <c r="P28" s="4">
        <v>14</v>
      </c>
      <c r="Q28" s="5">
        <f t="shared" si="67"/>
        <v>2.6931699999999998</v>
      </c>
      <c r="R28" s="5">
        <f t="shared" si="67"/>
        <v>0.85233999999999999</v>
      </c>
      <c r="S28" s="5">
        <f t="shared" si="68"/>
        <v>0.64116682928571433</v>
      </c>
      <c r="T28" s="5">
        <f t="shared" si="69"/>
        <v>3.8470009757142862E-2</v>
      </c>
      <c r="U28" s="5">
        <f t="shared" si="70"/>
        <v>8.7831072504892374E-2</v>
      </c>
      <c r="V28" s="5">
        <f t="shared" si="63"/>
        <v>2.9779995094955727E-2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0</v>
      </c>
      <c r="D29">
        <v>0</v>
      </c>
      <c r="E29">
        <v>0</v>
      </c>
      <c r="F29">
        <f t="shared" si="60"/>
        <v>0</v>
      </c>
      <c r="G29">
        <f t="shared" si="61"/>
        <v>0</v>
      </c>
      <c r="H29">
        <f t="shared" si="62"/>
        <v>0</v>
      </c>
      <c r="I29">
        <f t="shared" si="64"/>
        <v>0</v>
      </c>
      <c r="K29" s="68"/>
      <c r="L29" s="6">
        <v>-93.3</v>
      </c>
      <c r="M29" s="6">
        <f t="shared" si="71"/>
        <v>4.9000000000000057</v>
      </c>
      <c r="N29" s="6">
        <f t="shared" si="65"/>
        <v>94.671337139281746</v>
      </c>
      <c r="O29" s="6">
        <f t="shared" si="66"/>
        <v>1.9204464274741859E-2</v>
      </c>
      <c r="P29" s="7">
        <v>21</v>
      </c>
      <c r="Q29" s="6">
        <f t="shared" si="67"/>
        <v>0</v>
      </c>
      <c r="R29" s="6">
        <f t="shared" si="67"/>
        <v>0</v>
      </c>
      <c r="S29" s="6">
        <f t="shared" si="68"/>
        <v>0</v>
      </c>
      <c r="T29" s="6">
        <f t="shared" si="69"/>
        <v>0</v>
      </c>
      <c r="U29" s="6">
        <f t="shared" si="70"/>
        <v>0</v>
      </c>
      <c r="V29" s="6">
        <f t="shared" si="63"/>
        <v>1.9204464274741859E-2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9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31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6166.2</v>
      </c>
      <c r="D33">
        <v>44654.8</v>
      </c>
      <c r="E33">
        <v>9894.4</v>
      </c>
      <c r="F33">
        <f t="shared" ref="F33:F43" si="72">D33/10000</f>
        <v>4.4654800000000003</v>
      </c>
      <c r="G33">
        <f t="shared" ref="G33:G43" si="73">C33/10000</f>
        <v>0.61661999999999995</v>
      </c>
      <c r="H33">
        <f t="shared" ref="H33:H43" si="74">F33-G33</f>
        <v>3.8488600000000002</v>
      </c>
      <c r="I33">
        <f>E33/10000</f>
        <v>0.98943999999999999</v>
      </c>
      <c r="K33" s="66">
        <v>4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0.27529055908341199</v>
      </c>
      <c r="P33" s="2">
        <v>3</v>
      </c>
      <c r="Q33" s="8">
        <f>H33</f>
        <v>3.8488600000000002</v>
      </c>
      <c r="R33" s="8">
        <f>I33</f>
        <v>0.98943999999999999</v>
      </c>
      <c r="S33" s="8">
        <f>Q33/10^6*$Z$4*$Z$3/P33*10^12</f>
        <v>4.2760834599999997</v>
      </c>
      <c r="T33" s="8">
        <f>S33*0.06</f>
        <v>0.25656500759999995</v>
      </c>
      <c r="U33" s="8">
        <f>S33/$Z$1</f>
        <v>0.58576485753424656</v>
      </c>
      <c r="V33" s="12">
        <f t="shared" ref="V33:V43" si="75">O33</f>
        <v>0.27529055908341199</v>
      </c>
    </row>
    <row r="34" spans="2:22" x14ac:dyDescent="0.3">
      <c r="B34">
        <v>2</v>
      </c>
      <c r="C34">
        <v>1930.8</v>
      </c>
      <c r="D34">
        <v>49877.1</v>
      </c>
      <c r="E34">
        <v>4212.8</v>
      </c>
      <c r="F34">
        <f t="shared" si="72"/>
        <v>4.9877099999999999</v>
      </c>
      <c r="G34">
        <f t="shared" si="73"/>
        <v>0.19308</v>
      </c>
      <c r="H34">
        <f t="shared" si="74"/>
        <v>4.7946299999999997</v>
      </c>
      <c r="I34">
        <f t="shared" ref="I34:I43" si="76">E34/10000</f>
        <v>0.42128000000000004</v>
      </c>
      <c r="K34" s="67"/>
      <c r="L34" s="3">
        <v>-98</v>
      </c>
      <c r="M34" s="5">
        <f>L34+98.2</f>
        <v>0.20000000000000284</v>
      </c>
      <c r="N34" s="5">
        <f t="shared" ref="N34:N43" si="77">20.56036*SQRT(1+((L34-(-98.58903))*1.03*1095.70644/(3.14159*20.56036^2))^2)</f>
        <v>22.992351577801337</v>
      </c>
      <c r="O34" s="5">
        <f t="shared" ref="O34:O43" si="78">2*$Z$1/$Z$2/PI()/(N34*10^-4)^2/$K$33/$Z$7</f>
        <v>0.24419327473590918</v>
      </c>
      <c r="P34" s="4">
        <v>3</v>
      </c>
      <c r="Q34" s="5">
        <f t="shared" ref="Q34:R43" si="79">H34</f>
        <v>4.7946299999999997</v>
      </c>
      <c r="R34" s="5">
        <f t="shared" si="79"/>
        <v>0.42128000000000004</v>
      </c>
      <c r="S34" s="5">
        <f t="shared" ref="S34:S43" si="80">Q34/10^6*$Z$4*$Z$3/P34*10^12</f>
        <v>5.3268339299999994</v>
      </c>
      <c r="T34" s="5">
        <f t="shared" ref="T34:T43" si="81">S34*0.06</f>
        <v>0.31961003579999997</v>
      </c>
      <c r="U34" s="5">
        <f t="shared" ref="U34:U43" si="82">S34/$Z$1</f>
        <v>0.72970327808219171</v>
      </c>
      <c r="V34" s="5">
        <f t="shared" si="75"/>
        <v>0.24419327473590918</v>
      </c>
    </row>
    <row r="35" spans="2:22" x14ac:dyDescent="0.3">
      <c r="B35">
        <v>3</v>
      </c>
      <c r="C35">
        <v>-3374.1</v>
      </c>
      <c r="D35">
        <v>46476</v>
      </c>
      <c r="E35">
        <v>3681</v>
      </c>
      <c r="F35">
        <f t="shared" si="72"/>
        <v>4.6475999999999997</v>
      </c>
      <c r="G35">
        <f t="shared" si="73"/>
        <v>-0.33740999999999999</v>
      </c>
      <c r="H35">
        <f t="shared" si="74"/>
        <v>4.9850099999999999</v>
      </c>
      <c r="I35">
        <f t="shared" si="76"/>
        <v>0.36809999999999998</v>
      </c>
      <c r="K35" s="67"/>
      <c r="L35" s="3">
        <v>-97.8</v>
      </c>
      <c r="M35" s="5">
        <f t="shared" ref="M35:M43" si="83">L35+98.2</f>
        <v>0.40000000000000568</v>
      </c>
      <c r="N35" s="5">
        <f t="shared" si="77"/>
        <v>24.754552179927092</v>
      </c>
      <c r="O35" s="5">
        <f t="shared" si="78"/>
        <v>0.21066400380759739</v>
      </c>
      <c r="P35" s="4">
        <v>3</v>
      </c>
      <c r="Q35" s="5">
        <f t="shared" si="79"/>
        <v>4.9850099999999999</v>
      </c>
      <c r="R35" s="5">
        <f t="shared" si="79"/>
        <v>0.36809999999999998</v>
      </c>
      <c r="S35" s="5">
        <f t="shared" si="80"/>
        <v>5.53834611</v>
      </c>
      <c r="T35" s="5">
        <f t="shared" si="81"/>
        <v>0.33230076659999996</v>
      </c>
      <c r="U35" s="5">
        <f t="shared" si="82"/>
        <v>0.75867754931506848</v>
      </c>
      <c r="V35" s="5">
        <f t="shared" si="75"/>
        <v>0.21066400380759739</v>
      </c>
    </row>
    <row r="36" spans="2:22" x14ac:dyDescent="0.3">
      <c r="B36">
        <v>4</v>
      </c>
      <c r="C36">
        <v>-3493.4</v>
      </c>
      <c r="D36">
        <v>26546</v>
      </c>
      <c r="E36">
        <v>5959.1</v>
      </c>
      <c r="F36">
        <f t="shared" si="72"/>
        <v>2.6545999999999998</v>
      </c>
      <c r="G36">
        <f t="shared" si="73"/>
        <v>-0.34933999999999998</v>
      </c>
      <c r="H36">
        <f t="shared" si="74"/>
        <v>3.0039400000000001</v>
      </c>
      <c r="I36">
        <f t="shared" si="76"/>
        <v>0.59591000000000005</v>
      </c>
      <c r="K36" s="67"/>
      <c r="L36" s="3">
        <v>-97.2</v>
      </c>
      <c r="M36" s="5">
        <f t="shared" si="83"/>
        <v>1</v>
      </c>
      <c r="N36" s="5">
        <f t="shared" si="77"/>
        <v>31.807899949628325</v>
      </c>
      <c r="O36" s="5">
        <f t="shared" si="78"/>
        <v>0.12759406947069829</v>
      </c>
      <c r="P36" s="4">
        <v>3</v>
      </c>
      <c r="Q36" s="5">
        <f t="shared" si="79"/>
        <v>3.0039400000000001</v>
      </c>
      <c r="R36" s="5">
        <f t="shared" si="79"/>
        <v>0.59591000000000005</v>
      </c>
      <c r="S36" s="5">
        <f t="shared" si="80"/>
        <v>3.3373773400000002</v>
      </c>
      <c r="T36" s="5">
        <f t="shared" si="81"/>
        <v>0.2002426404</v>
      </c>
      <c r="U36" s="5">
        <f t="shared" si="82"/>
        <v>0.45717497808219182</v>
      </c>
      <c r="V36" s="5">
        <f t="shared" si="75"/>
        <v>0.12759406947069829</v>
      </c>
    </row>
    <row r="37" spans="2:22" x14ac:dyDescent="0.3">
      <c r="B37">
        <v>5</v>
      </c>
      <c r="C37">
        <v>-101.3</v>
      </c>
      <c r="D37">
        <v>22748.6</v>
      </c>
      <c r="E37">
        <v>4988.2</v>
      </c>
      <c r="F37">
        <f t="shared" si="72"/>
        <v>2.2748599999999999</v>
      </c>
      <c r="G37">
        <f t="shared" si="73"/>
        <v>-1.013E-2</v>
      </c>
      <c r="H37">
        <f t="shared" si="74"/>
        <v>2.2849900000000001</v>
      </c>
      <c r="I37">
        <f t="shared" si="76"/>
        <v>0.49881999999999999</v>
      </c>
      <c r="K37" s="67"/>
      <c r="L37" s="3">
        <v>-96.8</v>
      </c>
      <c r="M37" s="5">
        <f t="shared" si="83"/>
        <v>1.4000000000000057</v>
      </c>
      <c r="N37" s="5">
        <f t="shared" si="77"/>
        <v>37.414240753916886</v>
      </c>
      <c r="O37" s="5">
        <f t="shared" si="78"/>
        <v>9.2220316689465703E-2</v>
      </c>
      <c r="P37" s="4">
        <v>3</v>
      </c>
      <c r="Q37" s="5">
        <f t="shared" si="79"/>
        <v>2.2849900000000001</v>
      </c>
      <c r="R37" s="5">
        <f t="shared" si="79"/>
        <v>0.49881999999999999</v>
      </c>
      <c r="S37" s="5">
        <f t="shared" si="80"/>
        <v>2.5386238899999998</v>
      </c>
      <c r="T37" s="5">
        <f t="shared" si="81"/>
        <v>0.15231743339999998</v>
      </c>
      <c r="U37" s="5">
        <f t="shared" si="82"/>
        <v>0.34775669726027397</v>
      </c>
      <c r="V37" s="5">
        <f t="shared" si="75"/>
        <v>9.2220316689465703E-2</v>
      </c>
    </row>
    <row r="38" spans="2:22" x14ac:dyDescent="0.3">
      <c r="B38">
        <v>6</v>
      </c>
      <c r="C38">
        <v>-4579.8</v>
      </c>
      <c r="D38">
        <v>22252.1</v>
      </c>
      <c r="E38">
        <v>6390.1</v>
      </c>
      <c r="F38">
        <f t="shared" si="72"/>
        <v>2.2252099999999997</v>
      </c>
      <c r="G38">
        <f t="shared" si="73"/>
        <v>-0.45798</v>
      </c>
      <c r="H38">
        <f t="shared" si="74"/>
        <v>2.6831899999999997</v>
      </c>
      <c r="I38">
        <f t="shared" si="76"/>
        <v>0.63901000000000008</v>
      </c>
      <c r="K38" s="67"/>
      <c r="L38" s="3">
        <v>-96.3</v>
      </c>
      <c r="M38" s="5">
        <f t="shared" si="83"/>
        <v>1.9000000000000057</v>
      </c>
      <c r="N38" s="5">
        <f t="shared" si="77"/>
        <v>44.970060517830404</v>
      </c>
      <c r="O38" s="5">
        <f t="shared" si="78"/>
        <v>6.3834217391632864E-2</v>
      </c>
      <c r="P38" s="4">
        <v>4</v>
      </c>
      <c r="Q38" s="5">
        <f t="shared" si="79"/>
        <v>2.6831899999999997</v>
      </c>
      <c r="R38" s="5">
        <f t="shared" si="79"/>
        <v>0.63901000000000008</v>
      </c>
      <c r="S38" s="5">
        <f t="shared" si="80"/>
        <v>2.2357680675</v>
      </c>
      <c r="T38" s="5">
        <f t="shared" si="81"/>
        <v>0.13414608405</v>
      </c>
      <c r="U38" s="5">
        <f t="shared" si="82"/>
        <v>0.30626959828767125</v>
      </c>
      <c r="V38" s="5">
        <f t="shared" si="75"/>
        <v>6.3834217391632864E-2</v>
      </c>
    </row>
    <row r="39" spans="2:22" x14ac:dyDescent="0.3">
      <c r="B39">
        <v>7</v>
      </c>
      <c r="C39">
        <v>-1491.2</v>
      </c>
      <c r="D39">
        <v>18230.599999999999</v>
      </c>
      <c r="E39">
        <v>5962</v>
      </c>
      <c r="F39">
        <f t="shared" si="72"/>
        <v>1.8230599999999999</v>
      </c>
      <c r="G39">
        <f t="shared" si="73"/>
        <v>-0.14912</v>
      </c>
      <c r="H39">
        <f t="shared" si="74"/>
        <v>1.9721799999999998</v>
      </c>
      <c r="I39">
        <f t="shared" si="76"/>
        <v>0.59619999999999995</v>
      </c>
      <c r="K39" s="67"/>
      <c r="L39" s="3">
        <v>-95.8</v>
      </c>
      <c r="M39" s="5">
        <f t="shared" si="83"/>
        <v>2.4000000000000057</v>
      </c>
      <c r="N39" s="5">
        <f t="shared" si="77"/>
        <v>52.890724234957723</v>
      </c>
      <c r="O39" s="5">
        <f t="shared" si="78"/>
        <v>4.6146785533474628E-2</v>
      </c>
      <c r="P39" s="4">
        <v>4</v>
      </c>
      <c r="Q39" s="5">
        <f t="shared" si="79"/>
        <v>1.9721799999999998</v>
      </c>
      <c r="R39" s="5">
        <f t="shared" si="79"/>
        <v>0.59619999999999995</v>
      </c>
      <c r="S39" s="5">
        <f t="shared" si="80"/>
        <v>1.6433189849999998</v>
      </c>
      <c r="T39" s="5">
        <f t="shared" si="81"/>
        <v>9.8599139099999983E-2</v>
      </c>
      <c r="U39" s="5">
        <f t="shared" si="82"/>
        <v>0.22511218972602737</v>
      </c>
      <c r="V39" s="5">
        <f t="shared" si="75"/>
        <v>4.6146785533474628E-2</v>
      </c>
    </row>
    <row r="40" spans="2:22" x14ac:dyDescent="0.3">
      <c r="B40">
        <v>8</v>
      </c>
      <c r="C40">
        <v>0</v>
      </c>
      <c r="D40">
        <v>0</v>
      </c>
      <c r="E40">
        <v>0</v>
      </c>
      <c r="F40">
        <f t="shared" si="72"/>
        <v>0</v>
      </c>
      <c r="G40">
        <f t="shared" si="73"/>
        <v>0</v>
      </c>
      <c r="H40">
        <f t="shared" si="74"/>
        <v>0</v>
      </c>
      <c r="I40">
        <f t="shared" si="76"/>
        <v>0</v>
      </c>
      <c r="K40" s="67"/>
      <c r="L40" s="3">
        <v>-95.5</v>
      </c>
      <c r="M40" s="5">
        <f t="shared" si="83"/>
        <v>2.7000000000000028</v>
      </c>
      <c r="N40" s="5">
        <f t="shared" si="77"/>
        <v>57.756125383651771</v>
      </c>
      <c r="O40" s="5">
        <f t="shared" si="78"/>
        <v>3.8699413323446091E-2</v>
      </c>
      <c r="P40" s="4">
        <v>5</v>
      </c>
      <c r="Q40" s="5">
        <f t="shared" si="79"/>
        <v>0</v>
      </c>
      <c r="R40" s="5">
        <f t="shared" si="79"/>
        <v>0</v>
      </c>
      <c r="S40" s="5">
        <f t="shared" si="80"/>
        <v>0</v>
      </c>
      <c r="T40" s="5">
        <f t="shared" si="81"/>
        <v>0</v>
      </c>
      <c r="U40" s="5">
        <f t="shared" si="82"/>
        <v>0</v>
      </c>
      <c r="V40" s="5">
        <f t="shared" si="75"/>
        <v>3.8699413323446091E-2</v>
      </c>
    </row>
    <row r="41" spans="2:22" x14ac:dyDescent="0.3">
      <c r="B41">
        <v>9</v>
      </c>
      <c r="C41">
        <v>0</v>
      </c>
      <c r="D41">
        <v>0</v>
      </c>
      <c r="E41">
        <v>0</v>
      </c>
      <c r="F41">
        <f t="shared" si="72"/>
        <v>0</v>
      </c>
      <c r="G41">
        <f t="shared" si="73"/>
        <v>0</v>
      </c>
      <c r="H41">
        <f t="shared" si="74"/>
        <v>0</v>
      </c>
      <c r="I41">
        <f t="shared" si="76"/>
        <v>0</v>
      </c>
      <c r="K41" s="67"/>
      <c r="L41" s="5">
        <v>-95.1</v>
      </c>
      <c r="M41" s="5">
        <f t="shared" si="83"/>
        <v>3.1000000000000085</v>
      </c>
      <c r="N41" s="5">
        <f t="shared" si="77"/>
        <v>64.335352920706185</v>
      </c>
      <c r="O41" s="5">
        <f t="shared" si="78"/>
        <v>3.1188975336926335E-2</v>
      </c>
      <c r="P41" s="4">
        <v>8</v>
      </c>
      <c r="Q41" s="5">
        <f t="shared" si="79"/>
        <v>0</v>
      </c>
      <c r="R41" s="5">
        <f t="shared" si="79"/>
        <v>0</v>
      </c>
      <c r="S41" s="5">
        <f t="shared" si="80"/>
        <v>0</v>
      </c>
      <c r="T41" s="5">
        <f t="shared" si="81"/>
        <v>0</v>
      </c>
      <c r="U41" s="5">
        <f t="shared" si="82"/>
        <v>0</v>
      </c>
      <c r="V41" s="5">
        <f t="shared" si="75"/>
        <v>3.1188975336926335E-2</v>
      </c>
    </row>
    <row r="42" spans="2:22" x14ac:dyDescent="0.3">
      <c r="B42">
        <v>10</v>
      </c>
      <c r="C42">
        <v>0</v>
      </c>
      <c r="D42">
        <v>0</v>
      </c>
      <c r="E42">
        <v>0</v>
      </c>
      <c r="F42">
        <f t="shared" si="72"/>
        <v>0</v>
      </c>
      <c r="G42">
        <f t="shared" si="73"/>
        <v>0</v>
      </c>
      <c r="H42">
        <f t="shared" si="74"/>
        <v>0</v>
      </c>
      <c r="I42">
        <f t="shared" si="76"/>
        <v>0</v>
      </c>
      <c r="K42" s="67"/>
      <c r="L42" s="5">
        <v>-94.399999999999991</v>
      </c>
      <c r="M42" s="5">
        <f t="shared" si="83"/>
        <v>3.8000000000000114</v>
      </c>
      <c r="N42" s="5">
        <f t="shared" si="77"/>
        <v>76.025152245972833</v>
      </c>
      <c r="O42" s="5">
        <f t="shared" si="78"/>
        <v>2.2334996321216796E-2</v>
      </c>
      <c r="P42" s="4">
        <v>14</v>
      </c>
      <c r="Q42" s="5">
        <f t="shared" si="79"/>
        <v>0</v>
      </c>
      <c r="R42" s="5">
        <f t="shared" si="79"/>
        <v>0</v>
      </c>
      <c r="S42" s="5">
        <f t="shared" si="80"/>
        <v>0</v>
      </c>
      <c r="T42" s="5">
        <f t="shared" si="81"/>
        <v>0</v>
      </c>
      <c r="U42" s="5">
        <f t="shared" si="82"/>
        <v>0</v>
      </c>
      <c r="V42" s="5">
        <f t="shared" si="75"/>
        <v>2.2334996321216796E-2</v>
      </c>
    </row>
    <row r="43" spans="2:22" ht="15" thickBot="1" x14ac:dyDescent="0.35">
      <c r="B43">
        <v>11</v>
      </c>
      <c r="C43">
        <v>0</v>
      </c>
      <c r="D43">
        <v>0</v>
      </c>
      <c r="E43">
        <v>0</v>
      </c>
      <c r="F43">
        <f t="shared" si="72"/>
        <v>0</v>
      </c>
      <c r="G43">
        <f t="shared" si="73"/>
        <v>0</v>
      </c>
      <c r="H43">
        <f t="shared" si="74"/>
        <v>0</v>
      </c>
      <c r="I43">
        <f t="shared" si="76"/>
        <v>0</v>
      </c>
      <c r="K43" s="68"/>
      <c r="L43" s="6">
        <v>-93.3</v>
      </c>
      <c r="M43" s="6">
        <f t="shared" si="83"/>
        <v>4.9000000000000057</v>
      </c>
      <c r="N43" s="6">
        <f t="shared" si="77"/>
        <v>94.671337139281746</v>
      </c>
      <c r="O43" s="6">
        <f t="shared" si="78"/>
        <v>1.4403348206056396E-2</v>
      </c>
      <c r="P43" s="7">
        <v>21</v>
      </c>
      <c r="Q43" s="6">
        <f t="shared" si="79"/>
        <v>0</v>
      </c>
      <c r="R43" s="6">
        <f t="shared" si="79"/>
        <v>0</v>
      </c>
      <c r="S43" s="6">
        <f t="shared" si="80"/>
        <v>0</v>
      </c>
      <c r="T43" s="6">
        <f t="shared" si="81"/>
        <v>0</v>
      </c>
      <c r="U43" s="6">
        <f t="shared" si="82"/>
        <v>0</v>
      </c>
      <c r="V43" s="6">
        <f t="shared" si="75"/>
        <v>1.4403348206056396E-2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10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31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2450.4</v>
      </c>
      <c r="D47">
        <v>39189.199999999997</v>
      </c>
      <c r="E47">
        <v>9795.2999999999993</v>
      </c>
      <c r="F47">
        <f t="shared" ref="F47:F57" si="84">D47/10000</f>
        <v>3.9189199999999995</v>
      </c>
      <c r="G47">
        <f t="shared" ref="G47:G57" si="85">C47/10000</f>
        <v>0.24504000000000001</v>
      </c>
      <c r="H47">
        <f t="shared" ref="H47:H57" si="86">F47-G47</f>
        <v>3.6738799999999996</v>
      </c>
      <c r="I47">
        <f>E47/10000</f>
        <v>0.9795299999999999</v>
      </c>
      <c r="K47" s="66">
        <v>5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0.22023244726672958</v>
      </c>
      <c r="P47" s="2">
        <v>3</v>
      </c>
      <c r="Q47" s="8">
        <f>H47</f>
        <v>3.6738799999999996</v>
      </c>
      <c r="R47" s="8">
        <f>I47</f>
        <v>0.9795299999999999</v>
      </c>
      <c r="S47" s="8">
        <f>Q47/10^6*$Z$4*$Z$3/P47*10^12</f>
        <v>4.0816806799999998</v>
      </c>
      <c r="T47" s="8">
        <f>S47*0.06</f>
        <v>0.24490084079999999</v>
      </c>
      <c r="U47" s="8">
        <f>S47/$Z$1</f>
        <v>0.55913433972602744</v>
      </c>
      <c r="V47" s="12">
        <f t="shared" ref="V47:V57" si="87">O47</f>
        <v>0.22023244726672958</v>
      </c>
    </row>
    <row r="48" spans="2:22" x14ac:dyDescent="0.3">
      <c r="B48">
        <v>2</v>
      </c>
      <c r="C48">
        <v>3692.6</v>
      </c>
      <c r="D48">
        <v>42576.2</v>
      </c>
      <c r="E48">
        <v>5775.4</v>
      </c>
      <c r="F48">
        <f t="shared" si="84"/>
        <v>4.2576199999999993</v>
      </c>
      <c r="G48">
        <f t="shared" si="85"/>
        <v>0.36925999999999998</v>
      </c>
      <c r="H48">
        <f t="shared" si="86"/>
        <v>3.8883599999999992</v>
      </c>
      <c r="I48">
        <f t="shared" ref="I48:I57" si="88">E48/10000</f>
        <v>0.57753999999999994</v>
      </c>
      <c r="K48" s="67"/>
      <c r="L48" s="3">
        <v>-98</v>
      </c>
      <c r="M48" s="5">
        <f>L48+98.2</f>
        <v>0.20000000000000284</v>
      </c>
      <c r="N48" s="5">
        <f t="shared" ref="N48:N57" si="89">20.56036*SQRT(1+((L48-(-98.58903))*1.03*1095.70644/(3.14159*20.56036^2))^2)</f>
        <v>22.992351577801337</v>
      </c>
      <c r="O48" s="5">
        <f t="shared" ref="O48:O57" si="90">2*$Z$1/$Z$2/PI()/(N48*10^-4)^2/$K$47/$Z$7</f>
        <v>0.19535461978872737</v>
      </c>
      <c r="P48" s="4">
        <v>3</v>
      </c>
      <c r="Q48" s="5">
        <f t="shared" ref="Q48:R57" si="91">H48</f>
        <v>3.8883599999999992</v>
      </c>
      <c r="R48" s="5">
        <f t="shared" si="91"/>
        <v>0.57753999999999994</v>
      </c>
      <c r="S48" s="5">
        <f t="shared" ref="S48:S57" si="92">Q48/10^6*$Z$4*$Z$3/P48*10^12</f>
        <v>4.3199679599999987</v>
      </c>
      <c r="T48" s="5">
        <f t="shared" ref="T48:T57" si="93">S48*0.06</f>
        <v>0.25919807759999991</v>
      </c>
      <c r="U48" s="5">
        <f t="shared" ref="U48:U57" si="94">S48/$Z$1</f>
        <v>0.59177643287671222</v>
      </c>
      <c r="V48" s="5">
        <f t="shared" si="87"/>
        <v>0.19535461978872737</v>
      </c>
    </row>
    <row r="49" spans="2:22" x14ac:dyDescent="0.3">
      <c r="B49">
        <v>3</v>
      </c>
      <c r="C49">
        <v>-4984.8999999999996</v>
      </c>
      <c r="D49">
        <v>36020</v>
      </c>
      <c r="E49">
        <v>4167.7</v>
      </c>
      <c r="F49">
        <f t="shared" si="84"/>
        <v>3.6019999999999999</v>
      </c>
      <c r="G49">
        <f t="shared" si="85"/>
        <v>-0.49848999999999999</v>
      </c>
      <c r="H49">
        <f t="shared" si="86"/>
        <v>4.1004899999999997</v>
      </c>
      <c r="I49">
        <f t="shared" si="88"/>
        <v>0.41676999999999997</v>
      </c>
      <c r="K49" s="67"/>
      <c r="L49" s="3">
        <v>-97.8</v>
      </c>
      <c r="M49" s="5">
        <f t="shared" ref="M49:M57" si="95">L49+98.2</f>
        <v>0.40000000000000568</v>
      </c>
      <c r="N49" s="5">
        <f t="shared" si="89"/>
        <v>24.754552179927092</v>
      </c>
      <c r="O49" s="5">
        <f t="shared" si="90"/>
        <v>0.16853120304607791</v>
      </c>
      <c r="P49" s="4">
        <v>3</v>
      </c>
      <c r="Q49" s="5">
        <f t="shared" si="91"/>
        <v>4.1004899999999997</v>
      </c>
      <c r="R49" s="5">
        <f t="shared" si="91"/>
        <v>0.41676999999999997</v>
      </c>
      <c r="S49" s="5">
        <f t="shared" si="92"/>
        <v>4.5556443900000003</v>
      </c>
      <c r="T49" s="5">
        <f t="shared" si="93"/>
        <v>0.27333866340000001</v>
      </c>
      <c r="U49" s="5">
        <f t="shared" si="94"/>
        <v>0.62406087534246579</v>
      </c>
      <c r="V49" s="5">
        <f t="shared" si="87"/>
        <v>0.16853120304607791</v>
      </c>
    </row>
    <row r="50" spans="2:22" x14ac:dyDescent="0.3">
      <c r="B50">
        <v>4</v>
      </c>
      <c r="C50">
        <v>-8354.4</v>
      </c>
      <c r="D50">
        <v>15567</v>
      </c>
      <c r="E50">
        <v>5826</v>
      </c>
      <c r="F50">
        <f t="shared" si="84"/>
        <v>1.5567</v>
      </c>
      <c r="G50">
        <f t="shared" si="85"/>
        <v>-0.83543999999999996</v>
      </c>
      <c r="H50">
        <f t="shared" si="86"/>
        <v>2.3921399999999999</v>
      </c>
      <c r="I50">
        <f t="shared" si="88"/>
        <v>0.58260000000000001</v>
      </c>
      <c r="K50" s="67"/>
      <c r="L50" s="3">
        <v>-97.2</v>
      </c>
      <c r="M50" s="5">
        <f t="shared" si="95"/>
        <v>1</v>
      </c>
      <c r="N50" s="5">
        <f t="shared" si="89"/>
        <v>31.807899949628325</v>
      </c>
      <c r="O50" s="5">
        <f t="shared" si="90"/>
        <v>0.10207525557655864</v>
      </c>
      <c r="P50" s="4">
        <v>3</v>
      </c>
      <c r="Q50" s="5">
        <f t="shared" si="91"/>
        <v>2.3921399999999999</v>
      </c>
      <c r="R50" s="5">
        <f t="shared" si="91"/>
        <v>0.58260000000000001</v>
      </c>
      <c r="S50" s="5">
        <f t="shared" si="92"/>
        <v>2.6576675399999998</v>
      </c>
      <c r="T50" s="5">
        <f t="shared" si="93"/>
        <v>0.1594600524</v>
      </c>
      <c r="U50" s="5">
        <f t="shared" si="94"/>
        <v>0.36406404657534247</v>
      </c>
      <c r="V50" s="5">
        <f t="shared" si="87"/>
        <v>0.10207525557655864</v>
      </c>
    </row>
    <row r="51" spans="2:22" x14ac:dyDescent="0.3">
      <c r="B51">
        <v>5</v>
      </c>
      <c r="C51">
        <v>-6013.2</v>
      </c>
      <c r="D51">
        <v>10315.4</v>
      </c>
      <c r="E51">
        <v>4457</v>
      </c>
      <c r="F51">
        <f t="shared" si="84"/>
        <v>1.0315399999999999</v>
      </c>
      <c r="G51">
        <f t="shared" si="85"/>
        <v>-0.60131999999999997</v>
      </c>
      <c r="H51">
        <f t="shared" si="86"/>
        <v>1.63286</v>
      </c>
      <c r="I51">
        <f t="shared" si="88"/>
        <v>0.44569999999999999</v>
      </c>
      <c r="K51" s="67"/>
      <c r="L51" s="3">
        <v>-96.8</v>
      </c>
      <c r="M51" s="5">
        <f t="shared" si="95"/>
        <v>1.4000000000000057</v>
      </c>
      <c r="N51" s="5">
        <f t="shared" si="89"/>
        <v>37.414240753916886</v>
      </c>
      <c r="O51" s="5">
        <f t="shared" si="90"/>
        <v>7.3776253351572563E-2</v>
      </c>
      <c r="P51" s="4">
        <v>3</v>
      </c>
      <c r="Q51" s="5">
        <f t="shared" si="91"/>
        <v>1.63286</v>
      </c>
      <c r="R51" s="5">
        <f t="shared" si="91"/>
        <v>0.44569999999999999</v>
      </c>
      <c r="S51" s="5">
        <f t="shared" si="92"/>
        <v>1.8141074600000002</v>
      </c>
      <c r="T51" s="5">
        <f t="shared" si="93"/>
        <v>0.10884644760000001</v>
      </c>
      <c r="U51" s="5">
        <f t="shared" si="94"/>
        <v>0.24850787123287674</v>
      </c>
      <c r="V51" s="5">
        <f t="shared" si="87"/>
        <v>7.3776253351572563E-2</v>
      </c>
    </row>
    <row r="52" spans="2:22" x14ac:dyDescent="0.3">
      <c r="B52">
        <v>6</v>
      </c>
      <c r="C52">
        <v>-9899.1</v>
      </c>
      <c r="D52">
        <v>8020.2</v>
      </c>
      <c r="E52">
        <v>5050.6000000000004</v>
      </c>
      <c r="F52">
        <f t="shared" si="84"/>
        <v>0.80201999999999996</v>
      </c>
      <c r="G52">
        <f t="shared" si="85"/>
        <v>-0.98991000000000007</v>
      </c>
      <c r="H52">
        <f t="shared" si="86"/>
        <v>1.79193</v>
      </c>
      <c r="I52">
        <f t="shared" si="88"/>
        <v>0.50506000000000006</v>
      </c>
      <c r="K52" s="67"/>
      <c r="L52" s="3">
        <v>-96.3</v>
      </c>
      <c r="M52" s="5">
        <f t="shared" si="95"/>
        <v>1.9000000000000057</v>
      </c>
      <c r="N52" s="5">
        <f t="shared" si="89"/>
        <v>44.970060517830404</v>
      </c>
      <c r="O52" s="5">
        <f t="shared" si="90"/>
        <v>5.1067373913306291E-2</v>
      </c>
      <c r="P52" s="4">
        <v>4</v>
      </c>
      <c r="Q52" s="5">
        <f t="shared" si="91"/>
        <v>1.79193</v>
      </c>
      <c r="R52" s="5">
        <f t="shared" si="91"/>
        <v>0.50506000000000006</v>
      </c>
      <c r="S52" s="5">
        <f t="shared" si="92"/>
        <v>1.4931256724999999</v>
      </c>
      <c r="T52" s="5">
        <f t="shared" si="93"/>
        <v>8.9587540349999994E-2</v>
      </c>
      <c r="U52" s="5">
        <f t="shared" si="94"/>
        <v>0.20453776335616439</v>
      </c>
      <c r="V52" s="5">
        <f t="shared" si="87"/>
        <v>5.1067373913306291E-2</v>
      </c>
    </row>
    <row r="53" spans="2:22" x14ac:dyDescent="0.3">
      <c r="B53">
        <v>7</v>
      </c>
      <c r="C53">
        <v>0</v>
      </c>
      <c r="D53">
        <v>0</v>
      </c>
      <c r="E53">
        <v>0</v>
      </c>
      <c r="F53">
        <f t="shared" si="84"/>
        <v>0</v>
      </c>
      <c r="G53">
        <f t="shared" si="85"/>
        <v>0</v>
      </c>
      <c r="H53">
        <f t="shared" si="86"/>
        <v>0</v>
      </c>
      <c r="I53">
        <f t="shared" si="88"/>
        <v>0</v>
      </c>
      <c r="K53" s="67"/>
      <c r="L53" s="3">
        <v>-95.8</v>
      </c>
      <c r="M53" s="5">
        <f t="shared" si="95"/>
        <v>2.4000000000000057</v>
      </c>
      <c r="N53" s="5">
        <f t="shared" si="89"/>
        <v>52.890724234957723</v>
      </c>
      <c r="O53" s="5">
        <f t="shared" si="90"/>
        <v>3.6917428426779704E-2</v>
      </c>
      <c r="P53" s="4">
        <v>4</v>
      </c>
      <c r="Q53" s="5">
        <f t="shared" si="91"/>
        <v>0</v>
      </c>
      <c r="R53" s="5">
        <f t="shared" si="91"/>
        <v>0</v>
      </c>
      <c r="S53" s="5">
        <f t="shared" si="92"/>
        <v>0</v>
      </c>
      <c r="T53" s="5">
        <f t="shared" si="93"/>
        <v>0</v>
      </c>
      <c r="U53" s="5">
        <f t="shared" si="94"/>
        <v>0</v>
      </c>
      <c r="V53" s="5">
        <f t="shared" si="87"/>
        <v>3.6917428426779704E-2</v>
      </c>
    </row>
    <row r="54" spans="2:22" x14ac:dyDescent="0.3">
      <c r="B54">
        <v>8</v>
      </c>
      <c r="C54">
        <v>0</v>
      </c>
      <c r="D54">
        <v>0</v>
      </c>
      <c r="E54">
        <v>0</v>
      </c>
      <c r="F54">
        <f t="shared" si="84"/>
        <v>0</v>
      </c>
      <c r="G54">
        <f t="shared" si="85"/>
        <v>0</v>
      </c>
      <c r="H54">
        <f t="shared" si="86"/>
        <v>0</v>
      </c>
      <c r="I54">
        <f t="shared" si="88"/>
        <v>0</v>
      </c>
      <c r="K54" s="67"/>
      <c r="L54" s="3">
        <v>-95.5</v>
      </c>
      <c r="M54" s="5">
        <f t="shared" si="95"/>
        <v>2.7000000000000028</v>
      </c>
      <c r="N54" s="5">
        <f t="shared" si="89"/>
        <v>57.756125383651771</v>
      </c>
      <c r="O54" s="5">
        <f t="shared" si="90"/>
        <v>3.0959530658756878E-2</v>
      </c>
      <c r="P54" s="4">
        <v>5</v>
      </c>
      <c r="Q54" s="5">
        <f t="shared" si="91"/>
        <v>0</v>
      </c>
      <c r="R54" s="5">
        <f t="shared" si="91"/>
        <v>0</v>
      </c>
      <c r="S54" s="5">
        <f t="shared" si="92"/>
        <v>0</v>
      </c>
      <c r="T54" s="5">
        <f t="shared" si="93"/>
        <v>0</v>
      </c>
      <c r="U54" s="5">
        <f t="shared" si="94"/>
        <v>0</v>
      </c>
      <c r="V54" s="5">
        <f t="shared" si="87"/>
        <v>3.0959530658756878E-2</v>
      </c>
    </row>
    <row r="55" spans="2:22" x14ac:dyDescent="0.3">
      <c r="B55">
        <v>9</v>
      </c>
      <c r="C55">
        <v>0</v>
      </c>
      <c r="D55">
        <v>0</v>
      </c>
      <c r="E55">
        <v>0</v>
      </c>
      <c r="F55">
        <f t="shared" si="84"/>
        <v>0</v>
      </c>
      <c r="G55">
        <f t="shared" si="85"/>
        <v>0</v>
      </c>
      <c r="H55">
        <f t="shared" si="86"/>
        <v>0</v>
      </c>
      <c r="I55">
        <f t="shared" si="88"/>
        <v>0</v>
      </c>
      <c r="K55" s="67"/>
      <c r="L55" s="5">
        <v>-95.1</v>
      </c>
      <c r="M55" s="5">
        <f t="shared" si="95"/>
        <v>3.1000000000000085</v>
      </c>
      <c r="N55" s="5">
        <f t="shared" si="89"/>
        <v>64.335352920706185</v>
      </c>
      <c r="O55" s="5">
        <f t="shared" si="90"/>
        <v>2.4951180269541066E-2</v>
      </c>
      <c r="P55" s="4">
        <v>8</v>
      </c>
      <c r="Q55" s="5">
        <f t="shared" si="91"/>
        <v>0</v>
      </c>
      <c r="R55" s="5">
        <f t="shared" si="91"/>
        <v>0</v>
      </c>
      <c r="S55" s="5">
        <f t="shared" si="92"/>
        <v>0</v>
      </c>
      <c r="T55" s="5">
        <f t="shared" si="93"/>
        <v>0</v>
      </c>
      <c r="U55" s="5">
        <f t="shared" si="94"/>
        <v>0</v>
      </c>
      <c r="V55" s="5">
        <f t="shared" si="87"/>
        <v>2.4951180269541066E-2</v>
      </c>
    </row>
    <row r="56" spans="2:22" x14ac:dyDescent="0.3">
      <c r="B56">
        <v>10</v>
      </c>
      <c r="C56">
        <v>0</v>
      </c>
      <c r="D56">
        <v>0</v>
      </c>
      <c r="E56">
        <v>0</v>
      </c>
      <c r="F56">
        <f t="shared" si="84"/>
        <v>0</v>
      </c>
      <c r="G56">
        <f t="shared" si="85"/>
        <v>0</v>
      </c>
      <c r="H56">
        <f t="shared" si="86"/>
        <v>0</v>
      </c>
      <c r="I56">
        <f t="shared" si="88"/>
        <v>0</v>
      </c>
      <c r="K56" s="67"/>
      <c r="L56" s="5">
        <v>-94.399999999999991</v>
      </c>
      <c r="M56" s="5">
        <f t="shared" si="95"/>
        <v>3.8000000000000114</v>
      </c>
      <c r="N56" s="5">
        <f t="shared" si="89"/>
        <v>76.025152245972833</v>
      </c>
      <c r="O56" s="5">
        <f t="shared" si="90"/>
        <v>1.7867997056973436E-2</v>
      </c>
      <c r="P56" s="4">
        <v>14</v>
      </c>
      <c r="Q56" s="5">
        <f t="shared" si="91"/>
        <v>0</v>
      </c>
      <c r="R56" s="5">
        <f t="shared" si="91"/>
        <v>0</v>
      </c>
      <c r="S56" s="5">
        <f t="shared" si="92"/>
        <v>0</v>
      </c>
      <c r="T56" s="5">
        <f t="shared" si="93"/>
        <v>0</v>
      </c>
      <c r="U56" s="5">
        <f t="shared" si="94"/>
        <v>0</v>
      </c>
      <c r="V56" s="5">
        <f t="shared" si="87"/>
        <v>1.7867997056973436E-2</v>
      </c>
    </row>
    <row r="57" spans="2:22" ht="15" thickBot="1" x14ac:dyDescent="0.35">
      <c r="B57">
        <v>11</v>
      </c>
      <c r="C57">
        <v>0</v>
      </c>
      <c r="D57">
        <v>0</v>
      </c>
      <c r="E57">
        <v>0</v>
      </c>
      <c r="F57">
        <f t="shared" si="84"/>
        <v>0</v>
      </c>
      <c r="G57">
        <f t="shared" si="85"/>
        <v>0</v>
      </c>
      <c r="H57">
        <f t="shared" si="86"/>
        <v>0</v>
      </c>
      <c r="I57">
        <f t="shared" si="88"/>
        <v>0</v>
      </c>
      <c r="K57" s="68"/>
      <c r="L57" s="6">
        <v>-93.3</v>
      </c>
      <c r="M57" s="6">
        <f t="shared" si="95"/>
        <v>4.9000000000000057</v>
      </c>
      <c r="N57" s="6">
        <f t="shared" si="89"/>
        <v>94.671337139281746</v>
      </c>
      <c r="O57" s="6">
        <f t="shared" si="90"/>
        <v>1.1522678564845117E-2</v>
      </c>
      <c r="P57" s="7">
        <v>21</v>
      </c>
      <c r="Q57" s="6">
        <f t="shared" si="91"/>
        <v>0</v>
      </c>
      <c r="R57" s="6">
        <f t="shared" si="91"/>
        <v>0</v>
      </c>
      <c r="S57" s="6">
        <f t="shared" si="92"/>
        <v>0</v>
      </c>
      <c r="T57" s="6">
        <f t="shared" si="93"/>
        <v>0</v>
      </c>
      <c r="U57" s="6">
        <f t="shared" si="94"/>
        <v>0</v>
      </c>
      <c r="V57" s="6">
        <f t="shared" si="87"/>
        <v>1.1522678564845117E-2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11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31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-6613</v>
      </c>
      <c r="D61">
        <v>36579.699999999997</v>
      </c>
      <c r="E61">
        <v>11293.4</v>
      </c>
      <c r="F61">
        <f t="shared" ref="F61:F71" si="96">D61/10000</f>
        <v>3.6579699999999997</v>
      </c>
      <c r="G61">
        <f t="shared" ref="G61:G71" si="97">C61/10000</f>
        <v>-0.6613</v>
      </c>
      <c r="H61">
        <f t="shared" ref="H61:H71" si="98">F61-G61</f>
        <v>4.3192699999999995</v>
      </c>
      <c r="I61">
        <f>E61/10000</f>
        <v>1.12934</v>
      </c>
      <c r="K61" s="66">
        <v>6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0.18352703938894133</v>
      </c>
      <c r="P61" s="2">
        <v>3</v>
      </c>
      <c r="Q61" s="8">
        <f>H61</f>
        <v>4.3192699999999995</v>
      </c>
      <c r="R61" s="8">
        <f>I61</f>
        <v>1.12934</v>
      </c>
      <c r="S61" s="8">
        <f>Q61/10^6*$Z$4*$Z$3/P61*10^12</f>
        <v>4.7987089699999999</v>
      </c>
      <c r="T61" s="8">
        <f>S61*0.06</f>
        <v>0.28792253819999997</v>
      </c>
      <c r="U61" s="8">
        <f>S61/$Z$1</f>
        <v>0.65735739315068498</v>
      </c>
      <c r="V61" s="12">
        <f t="shared" ref="V61:V71" si="99">O61</f>
        <v>0.18352703938894133</v>
      </c>
    </row>
    <row r="62" spans="2:22" x14ac:dyDescent="0.3">
      <c r="B62">
        <v>2</v>
      </c>
      <c r="C62">
        <v>-2587.1999999999998</v>
      </c>
      <c r="D62">
        <v>40771.4</v>
      </c>
      <c r="E62">
        <v>6667.6</v>
      </c>
      <c r="F62">
        <f t="shared" si="96"/>
        <v>4.07714</v>
      </c>
      <c r="G62">
        <f t="shared" si="97"/>
        <v>-0.25872000000000001</v>
      </c>
      <c r="H62">
        <f t="shared" si="98"/>
        <v>4.3358600000000003</v>
      </c>
      <c r="I62">
        <f t="shared" ref="I62:I71" si="100">E62/10000</f>
        <v>0.66676000000000002</v>
      </c>
      <c r="K62" s="67"/>
      <c r="L62" s="3">
        <v>-98</v>
      </c>
      <c r="M62" s="5">
        <f>L62+98.2</f>
        <v>0.20000000000000284</v>
      </c>
      <c r="N62" s="5">
        <f t="shared" ref="N62:N71" si="101">20.56036*SQRT(1+((L62-(-98.58903))*1.03*1095.70644/(3.14159*20.56036^2))^2)</f>
        <v>22.992351577801337</v>
      </c>
      <c r="O62" s="5">
        <f t="shared" ref="O62:O71" si="102">2*$Z$1/$Z$2/PI()/(N62*10^-4)^2/$K$61/$Z$7</f>
        <v>0.16279551649060614</v>
      </c>
      <c r="P62" s="4">
        <v>3</v>
      </c>
      <c r="Q62" s="5">
        <f t="shared" ref="Q62:R71" si="103">H62</f>
        <v>4.3358600000000003</v>
      </c>
      <c r="R62" s="5">
        <f t="shared" si="103"/>
        <v>0.66676000000000002</v>
      </c>
      <c r="S62" s="5">
        <f t="shared" ref="S62:S71" si="104">Q62/10^6*$Z$4*$Z$3/P62*10^12</f>
        <v>4.8171404600000001</v>
      </c>
      <c r="T62" s="5">
        <f t="shared" ref="T62:T71" si="105">S62*0.06</f>
        <v>0.28902842759999997</v>
      </c>
      <c r="U62" s="5">
        <f t="shared" ref="U62:U71" si="106">S62/$Z$1</f>
        <v>0.65988225479452056</v>
      </c>
      <c r="V62" s="5">
        <f t="shared" si="99"/>
        <v>0.16279551649060614</v>
      </c>
    </row>
    <row r="63" spans="2:22" x14ac:dyDescent="0.3">
      <c r="B63">
        <v>3</v>
      </c>
      <c r="C63">
        <v>-3676.7</v>
      </c>
      <c r="D63">
        <v>36645.4</v>
      </c>
      <c r="E63">
        <v>5284</v>
      </c>
      <c r="F63">
        <f t="shared" si="96"/>
        <v>3.6645400000000001</v>
      </c>
      <c r="G63">
        <f t="shared" si="97"/>
        <v>-0.36767</v>
      </c>
      <c r="H63">
        <f t="shared" si="98"/>
        <v>4.0322100000000001</v>
      </c>
      <c r="I63">
        <f t="shared" si="100"/>
        <v>0.52839999999999998</v>
      </c>
      <c r="K63" s="67"/>
      <c r="L63" s="3">
        <v>-97.8</v>
      </c>
      <c r="M63" s="5">
        <f t="shared" ref="M63:M71" si="107">L63+98.2</f>
        <v>0.40000000000000568</v>
      </c>
      <c r="N63" s="5">
        <f t="shared" si="101"/>
        <v>24.754552179927092</v>
      </c>
      <c r="O63" s="5">
        <f t="shared" si="102"/>
        <v>0.14044266920506493</v>
      </c>
      <c r="P63" s="4">
        <v>3</v>
      </c>
      <c r="Q63" s="5">
        <f t="shared" si="103"/>
        <v>4.0322100000000001</v>
      </c>
      <c r="R63" s="5">
        <f t="shared" si="103"/>
        <v>0.52839999999999998</v>
      </c>
      <c r="S63" s="5">
        <f t="shared" si="104"/>
        <v>4.4797853099999996</v>
      </c>
      <c r="T63" s="5">
        <f t="shared" si="105"/>
        <v>0.26878711859999999</v>
      </c>
      <c r="U63" s="5">
        <f t="shared" si="106"/>
        <v>0.61366922054794515</v>
      </c>
      <c r="V63" s="5">
        <f t="shared" si="99"/>
        <v>0.14044266920506493</v>
      </c>
    </row>
    <row r="64" spans="2:22" x14ac:dyDescent="0.3">
      <c r="B64">
        <v>4</v>
      </c>
      <c r="C64">
        <v>-1679</v>
      </c>
      <c r="D64">
        <v>12067</v>
      </c>
      <c r="E64">
        <v>5130.3</v>
      </c>
      <c r="F64">
        <f t="shared" si="96"/>
        <v>1.2067000000000001</v>
      </c>
      <c r="G64">
        <f t="shared" si="97"/>
        <v>-0.16789999999999999</v>
      </c>
      <c r="H64">
        <f t="shared" si="98"/>
        <v>1.3746</v>
      </c>
      <c r="I64">
        <f t="shared" si="100"/>
        <v>0.51302999999999999</v>
      </c>
      <c r="K64" s="67"/>
      <c r="L64" s="3">
        <v>-97.2</v>
      </c>
      <c r="M64" s="5">
        <f t="shared" si="107"/>
        <v>1</v>
      </c>
      <c r="N64" s="5">
        <f t="shared" si="101"/>
        <v>31.807899949628325</v>
      </c>
      <c r="O64" s="5">
        <f t="shared" si="102"/>
        <v>8.5062712980465527E-2</v>
      </c>
      <c r="P64" s="4">
        <v>3</v>
      </c>
      <c r="Q64" s="5">
        <f t="shared" si="103"/>
        <v>1.3746</v>
      </c>
      <c r="R64" s="5">
        <f t="shared" si="103"/>
        <v>0.51302999999999999</v>
      </c>
      <c r="S64" s="5">
        <f t="shared" si="104"/>
        <v>1.5271806000000003</v>
      </c>
      <c r="T64" s="5">
        <f t="shared" si="105"/>
        <v>9.1630836000000021E-2</v>
      </c>
      <c r="U64" s="5">
        <f t="shared" si="106"/>
        <v>0.20920282191780826</v>
      </c>
      <c r="V64" s="5">
        <f t="shared" si="99"/>
        <v>8.5062712980465527E-2</v>
      </c>
    </row>
    <row r="65" spans="2:22" x14ac:dyDescent="0.3">
      <c r="B65">
        <v>5</v>
      </c>
      <c r="C65">
        <v>0</v>
      </c>
      <c r="D65">
        <v>0</v>
      </c>
      <c r="E65">
        <v>0</v>
      </c>
      <c r="F65">
        <f t="shared" si="96"/>
        <v>0</v>
      </c>
      <c r="G65">
        <f t="shared" si="97"/>
        <v>0</v>
      </c>
      <c r="H65">
        <f t="shared" si="98"/>
        <v>0</v>
      </c>
      <c r="I65">
        <f t="shared" si="100"/>
        <v>0</v>
      </c>
      <c r="K65" s="67"/>
      <c r="L65" s="3">
        <v>-96.8</v>
      </c>
      <c r="M65" s="5">
        <f t="shared" si="107"/>
        <v>1.4000000000000057</v>
      </c>
      <c r="N65" s="5">
        <f t="shared" si="101"/>
        <v>37.414240753916886</v>
      </c>
      <c r="O65" s="5">
        <f t="shared" si="102"/>
        <v>6.1480211126310476E-2</v>
      </c>
      <c r="P65" s="4">
        <v>3</v>
      </c>
      <c r="Q65" s="5">
        <f t="shared" si="103"/>
        <v>0</v>
      </c>
      <c r="R65" s="5">
        <f t="shared" si="103"/>
        <v>0</v>
      </c>
      <c r="S65" s="5">
        <f t="shared" si="104"/>
        <v>0</v>
      </c>
      <c r="T65" s="5">
        <f t="shared" si="105"/>
        <v>0</v>
      </c>
      <c r="U65" s="5">
        <f t="shared" si="106"/>
        <v>0</v>
      </c>
      <c r="V65" s="5">
        <f t="shared" si="99"/>
        <v>6.1480211126310476E-2</v>
      </c>
    </row>
    <row r="66" spans="2:22" x14ac:dyDescent="0.3">
      <c r="B66">
        <v>6</v>
      </c>
      <c r="C66">
        <v>0</v>
      </c>
      <c r="D66">
        <v>0</v>
      </c>
      <c r="E66">
        <v>0</v>
      </c>
      <c r="F66">
        <f t="shared" si="96"/>
        <v>0</v>
      </c>
      <c r="G66">
        <f t="shared" si="97"/>
        <v>0</v>
      </c>
      <c r="H66">
        <f t="shared" si="98"/>
        <v>0</v>
      </c>
      <c r="I66">
        <f t="shared" si="100"/>
        <v>0</v>
      </c>
      <c r="K66" s="67"/>
      <c r="L66" s="3">
        <v>-96.3</v>
      </c>
      <c r="M66" s="5">
        <f t="shared" si="107"/>
        <v>1.9000000000000057</v>
      </c>
      <c r="N66" s="5">
        <f t="shared" si="101"/>
        <v>44.970060517830404</v>
      </c>
      <c r="O66" s="5">
        <f t="shared" si="102"/>
        <v>4.2556144927755245E-2</v>
      </c>
      <c r="P66" s="4">
        <v>4</v>
      </c>
      <c r="Q66" s="5">
        <f t="shared" si="103"/>
        <v>0</v>
      </c>
      <c r="R66" s="5">
        <f t="shared" si="103"/>
        <v>0</v>
      </c>
      <c r="S66" s="5">
        <f t="shared" si="104"/>
        <v>0</v>
      </c>
      <c r="T66" s="5">
        <f t="shared" si="105"/>
        <v>0</v>
      </c>
      <c r="U66" s="5">
        <f t="shared" si="106"/>
        <v>0</v>
      </c>
      <c r="V66" s="5">
        <f t="shared" si="99"/>
        <v>4.2556144927755245E-2</v>
      </c>
    </row>
    <row r="67" spans="2:22" x14ac:dyDescent="0.3">
      <c r="B67">
        <v>7</v>
      </c>
      <c r="C67">
        <v>0</v>
      </c>
      <c r="D67">
        <v>0</v>
      </c>
      <c r="E67">
        <v>0</v>
      </c>
      <c r="F67">
        <f t="shared" si="96"/>
        <v>0</v>
      </c>
      <c r="G67">
        <f t="shared" si="97"/>
        <v>0</v>
      </c>
      <c r="H67">
        <f t="shared" si="98"/>
        <v>0</v>
      </c>
      <c r="I67">
        <f t="shared" si="100"/>
        <v>0</v>
      </c>
      <c r="K67" s="67"/>
      <c r="L67" s="3">
        <v>-95.8</v>
      </c>
      <c r="M67" s="5">
        <f t="shared" si="107"/>
        <v>2.4000000000000057</v>
      </c>
      <c r="N67" s="5">
        <f t="shared" si="101"/>
        <v>52.890724234957723</v>
      </c>
      <c r="O67" s="5">
        <f t="shared" si="102"/>
        <v>3.0764523688983088E-2</v>
      </c>
      <c r="P67" s="4">
        <v>4</v>
      </c>
      <c r="Q67" s="5">
        <f t="shared" si="103"/>
        <v>0</v>
      </c>
      <c r="R67" s="5">
        <f t="shared" si="103"/>
        <v>0</v>
      </c>
      <c r="S67" s="5">
        <f t="shared" si="104"/>
        <v>0</v>
      </c>
      <c r="T67" s="5">
        <f t="shared" si="105"/>
        <v>0</v>
      </c>
      <c r="U67" s="5">
        <f t="shared" si="106"/>
        <v>0</v>
      </c>
      <c r="V67" s="5">
        <f t="shared" si="99"/>
        <v>3.0764523688983088E-2</v>
      </c>
    </row>
    <row r="68" spans="2:22" x14ac:dyDescent="0.3">
      <c r="B68">
        <v>8</v>
      </c>
      <c r="C68">
        <v>0</v>
      </c>
      <c r="D68">
        <v>0</v>
      </c>
      <c r="E68">
        <v>0</v>
      </c>
      <c r="F68">
        <f t="shared" si="96"/>
        <v>0</v>
      </c>
      <c r="G68">
        <f t="shared" si="97"/>
        <v>0</v>
      </c>
      <c r="H68">
        <f t="shared" si="98"/>
        <v>0</v>
      </c>
      <c r="I68">
        <f t="shared" si="100"/>
        <v>0</v>
      </c>
      <c r="K68" s="67"/>
      <c r="L68" s="3">
        <v>-95.5</v>
      </c>
      <c r="M68" s="5">
        <f t="shared" si="107"/>
        <v>2.7000000000000028</v>
      </c>
      <c r="N68" s="5">
        <f t="shared" si="101"/>
        <v>57.756125383651771</v>
      </c>
      <c r="O68" s="5">
        <f t="shared" si="102"/>
        <v>2.5799608882297397E-2</v>
      </c>
      <c r="P68" s="4">
        <v>5</v>
      </c>
      <c r="Q68" s="5">
        <f t="shared" si="103"/>
        <v>0</v>
      </c>
      <c r="R68" s="5">
        <f t="shared" si="103"/>
        <v>0</v>
      </c>
      <c r="S68" s="5">
        <f t="shared" si="104"/>
        <v>0</v>
      </c>
      <c r="T68" s="5">
        <f t="shared" si="105"/>
        <v>0</v>
      </c>
      <c r="U68" s="5">
        <f t="shared" si="106"/>
        <v>0</v>
      </c>
      <c r="V68" s="5">
        <f t="shared" si="99"/>
        <v>2.5799608882297397E-2</v>
      </c>
    </row>
    <row r="69" spans="2:22" x14ac:dyDescent="0.3">
      <c r="B69">
        <v>9</v>
      </c>
      <c r="C69">
        <v>0</v>
      </c>
      <c r="D69">
        <v>0</v>
      </c>
      <c r="E69">
        <v>0</v>
      </c>
      <c r="F69">
        <f t="shared" si="96"/>
        <v>0</v>
      </c>
      <c r="G69">
        <f t="shared" si="97"/>
        <v>0</v>
      </c>
      <c r="H69">
        <f t="shared" si="98"/>
        <v>0</v>
      </c>
      <c r="I69">
        <f t="shared" si="100"/>
        <v>0</v>
      </c>
      <c r="K69" s="67"/>
      <c r="L69" s="5">
        <v>-95.1</v>
      </c>
      <c r="M69" s="5">
        <f t="shared" si="107"/>
        <v>3.1000000000000085</v>
      </c>
      <c r="N69" s="5">
        <f t="shared" si="101"/>
        <v>64.335352920706185</v>
      </c>
      <c r="O69" s="5">
        <f t="shared" si="102"/>
        <v>2.0792650224617557E-2</v>
      </c>
      <c r="P69" s="4">
        <v>8</v>
      </c>
      <c r="Q69" s="5">
        <f t="shared" si="103"/>
        <v>0</v>
      </c>
      <c r="R69" s="5">
        <f t="shared" si="103"/>
        <v>0</v>
      </c>
      <c r="S69" s="5">
        <f t="shared" si="104"/>
        <v>0</v>
      </c>
      <c r="T69" s="5">
        <f t="shared" si="105"/>
        <v>0</v>
      </c>
      <c r="U69" s="5">
        <f t="shared" si="106"/>
        <v>0</v>
      </c>
      <c r="V69" s="5">
        <f t="shared" si="99"/>
        <v>2.0792650224617557E-2</v>
      </c>
    </row>
    <row r="70" spans="2:22" x14ac:dyDescent="0.3">
      <c r="B70">
        <v>10</v>
      </c>
      <c r="C70">
        <v>0</v>
      </c>
      <c r="D70">
        <v>0</v>
      </c>
      <c r="E70">
        <v>0</v>
      </c>
      <c r="F70">
        <f t="shared" si="96"/>
        <v>0</v>
      </c>
      <c r="G70">
        <f t="shared" si="97"/>
        <v>0</v>
      </c>
      <c r="H70">
        <f t="shared" si="98"/>
        <v>0</v>
      </c>
      <c r="I70">
        <f t="shared" si="100"/>
        <v>0</v>
      </c>
      <c r="K70" s="67"/>
      <c r="L70" s="5">
        <v>-94.399999999999991</v>
      </c>
      <c r="M70" s="5">
        <f t="shared" si="107"/>
        <v>3.8000000000000114</v>
      </c>
      <c r="N70" s="5">
        <f t="shared" si="101"/>
        <v>76.025152245972833</v>
      </c>
      <c r="O70" s="5">
        <f t="shared" si="102"/>
        <v>1.4889997547477864E-2</v>
      </c>
      <c r="P70" s="4">
        <v>14</v>
      </c>
      <c r="Q70" s="5">
        <f t="shared" si="103"/>
        <v>0</v>
      </c>
      <c r="R70" s="5">
        <f t="shared" si="103"/>
        <v>0</v>
      </c>
      <c r="S70" s="5">
        <f t="shared" si="104"/>
        <v>0</v>
      </c>
      <c r="T70" s="5">
        <f t="shared" si="105"/>
        <v>0</v>
      </c>
      <c r="U70" s="5">
        <f t="shared" si="106"/>
        <v>0</v>
      </c>
      <c r="V70" s="5">
        <f t="shared" si="99"/>
        <v>1.4889997547477864E-2</v>
      </c>
    </row>
    <row r="71" spans="2:22" ht="15" thickBot="1" x14ac:dyDescent="0.35">
      <c r="B71">
        <v>11</v>
      </c>
      <c r="C71">
        <v>0</v>
      </c>
      <c r="D71">
        <v>0</v>
      </c>
      <c r="E71">
        <v>0</v>
      </c>
      <c r="F71">
        <f t="shared" si="96"/>
        <v>0</v>
      </c>
      <c r="G71">
        <f t="shared" si="97"/>
        <v>0</v>
      </c>
      <c r="H71">
        <f t="shared" si="98"/>
        <v>0</v>
      </c>
      <c r="I71">
        <f t="shared" si="100"/>
        <v>0</v>
      </c>
      <c r="K71" s="68"/>
      <c r="L71" s="6">
        <v>-93.3</v>
      </c>
      <c r="M71" s="6">
        <f t="shared" si="107"/>
        <v>4.9000000000000057</v>
      </c>
      <c r="N71" s="6">
        <f t="shared" si="101"/>
        <v>94.671337139281746</v>
      </c>
      <c r="O71" s="6">
        <f t="shared" si="102"/>
        <v>9.6022321373709293E-3</v>
      </c>
      <c r="P71" s="7">
        <v>21</v>
      </c>
      <c r="Q71" s="6">
        <f t="shared" si="103"/>
        <v>0</v>
      </c>
      <c r="R71" s="6">
        <f t="shared" si="103"/>
        <v>0</v>
      </c>
      <c r="S71" s="6">
        <f t="shared" si="104"/>
        <v>0</v>
      </c>
      <c r="T71" s="6">
        <f t="shared" si="105"/>
        <v>0</v>
      </c>
      <c r="U71" s="6">
        <f t="shared" si="106"/>
        <v>0</v>
      </c>
      <c r="V71" s="6">
        <f t="shared" si="99"/>
        <v>9.6022321373709293E-3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12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31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2379.1</v>
      </c>
      <c r="D75">
        <v>38815.300000000003</v>
      </c>
      <c r="E75">
        <v>11156.3</v>
      </c>
      <c r="F75">
        <f t="shared" ref="F75:F85" si="108">D75/10000</f>
        <v>3.8815300000000001</v>
      </c>
      <c r="G75">
        <f t="shared" ref="G75:G85" si="109">C75/10000</f>
        <v>0.23790999999999998</v>
      </c>
      <c r="H75">
        <f t="shared" ref="H75:H85" si="110">F75-G75</f>
        <v>3.6436200000000003</v>
      </c>
      <c r="I75">
        <f>E75/10000</f>
        <v>1.1156299999999999</v>
      </c>
      <c r="K75" s="66">
        <v>7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0.15730889090480685</v>
      </c>
      <c r="P75" s="2">
        <v>3</v>
      </c>
      <c r="Q75" s="8">
        <f>H75</f>
        <v>3.6436200000000003</v>
      </c>
      <c r="R75" s="8">
        <f>I75</f>
        <v>1.1156299999999999</v>
      </c>
      <c r="S75" s="8">
        <f>Q75/10^6*$Z$4*$Z$3/P75*10^12</f>
        <v>4.04806182</v>
      </c>
      <c r="T75" s="8">
        <f>S75*0.06</f>
        <v>0.24288370919999999</v>
      </c>
      <c r="U75" s="8">
        <f>S75/$Z$1</f>
        <v>0.55452901643835617</v>
      </c>
      <c r="V75" s="12">
        <f t="shared" ref="V75:V85" si="111">O75</f>
        <v>0.15730889090480685</v>
      </c>
    </row>
    <row r="76" spans="2:22" x14ac:dyDescent="0.3">
      <c r="B76">
        <v>2</v>
      </c>
      <c r="C76">
        <v>8242.1</v>
      </c>
      <c r="D76">
        <v>43210.9</v>
      </c>
      <c r="E76">
        <v>7924.1</v>
      </c>
      <c r="F76">
        <f t="shared" si="108"/>
        <v>4.3210899999999999</v>
      </c>
      <c r="G76">
        <f t="shared" si="109"/>
        <v>0.82421</v>
      </c>
      <c r="H76">
        <f t="shared" si="110"/>
        <v>3.49688</v>
      </c>
      <c r="I76">
        <f t="shared" ref="I76:I85" si="112">E76/10000</f>
        <v>0.79241000000000006</v>
      </c>
      <c r="K76" s="67"/>
      <c r="L76" s="3">
        <v>-98</v>
      </c>
      <c r="M76" s="5">
        <f>L76+98.2</f>
        <v>0.20000000000000284</v>
      </c>
      <c r="N76" s="5">
        <f t="shared" ref="N76:N85" si="113">20.56036*SQRT(1+((L76-(-98.58903))*1.03*1095.70644/(3.14159*20.56036^2))^2)</f>
        <v>22.992351577801337</v>
      </c>
      <c r="O76" s="5">
        <f t="shared" ref="O76:O85" si="114">2*$Z$1/$Z$2/PI()/(N76*10^-4)^2/$K$75/$Z$7</f>
        <v>0.13953901413480527</v>
      </c>
      <c r="P76" s="4">
        <v>3</v>
      </c>
      <c r="Q76" s="5">
        <f t="shared" ref="Q76:R85" si="115">H76</f>
        <v>3.49688</v>
      </c>
      <c r="R76" s="5">
        <f t="shared" si="115"/>
        <v>0.79241000000000006</v>
      </c>
      <c r="S76" s="5">
        <f t="shared" ref="S76:S85" si="116">Q76/10^6*$Z$4*$Z$3/P76*10^12</f>
        <v>3.8850336799999994</v>
      </c>
      <c r="T76" s="5">
        <f t="shared" ref="T76:T85" si="117">S76*0.06</f>
        <v>0.23310202079999995</v>
      </c>
      <c r="U76" s="5">
        <f t="shared" ref="U76:U85" si="118">S76/$Z$1</f>
        <v>0.5321963945205479</v>
      </c>
      <c r="V76" s="5">
        <f t="shared" si="111"/>
        <v>0.13953901413480527</v>
      </c>
    </row>
    <row r="77" spans="2:22" x14ac:dyDescent="0.3">
      <c r="B77">
        <v>3</v>
      </c>
      <c r="C77">
        <v>2704.2</v>
      </c>
      <c r="D77">
        <v>33882.400000000001</v>
      </c>
      <c r="E77">
        <v>4839.5</v>
      </c>
      <c r="F77">
        <f t="shared" si="108"/>
        <v>3.3882400000000001</v>
      </c>
      <c r="G77">
        <f t="shared" si="109"/>
        <v>0.27041999999999999</v>
      </c>
      <c r="H77">
        <f t="shared" si="110"/>
        <v>3.11782</v>
      </c>
      <c r="I77">
        <f t="shared" si="112"/>
        <v>0.48394999999999999</v>
      </c>
      <c r="K77" s="67"/>
      <c r="L77" s="3">
        <v>-97.8</v>
      </c>
      <c r="M77" s="5">
        <f t="shared" ref="M77:M85" si="119">L77+98.2</f>
        <v>0.40000000000000568</v>
      </c>
      <c r="N77" s="5">
        <f t="shared" si="113"/>
        <v>24.754552179927092</v>
      </c>
      <c r="O77" s="5">
        <f t="shared" si="114"/>
        <v>0.12037943074719852</v>
      </c>
      <c r="P77" s="4">
        <v>3</v>
      </c>
      <c r="Q77" s="5">
        <f t="shared" si="115"/>
        <v>3.11782</v>
      </c>
      <c r="R77" s="5">
        <f t="shared" si="115"/>
        <v>0.48394999999999999</v>
      </c>
      <c r="S77" s="5">
        <f t="shared" si="116"/>
        <v>3.4638980200000002</v>
      </c>
      <c r="T77" s="5">
        <f t="shared" si="117"/>
        <v>0.20783388120000001</v>
      </c>
      <c r="U77" s="5">
        <f t="shared" si="118"/>
        <v>0.47450657808219182</v>
      </c>
      <c r="V77" s="5">
        <f t="shared" si="111"/>
        <v>0.12037943074719852</v>
      </c>
    </row>
    <row r="78" spans="2:22" x14ac:dyDescent="0.3">
      <c r="B78">
        <v>4</v>
      </c>
      <c r="C78">
        <v>482.8</v>
      </c>
      <c r="D78">
        <v>12094.7</v>
      </c>
      <c r="E78">
        <v>4269.2</v>
      </c>
      <c r="F78">
        <f t="shared" si="108"/>
        <v>1.20947</v>
      </c>
      <c r="G78">
        <f t="shared" si="109"/>
        <v>4.8280000000000003E-2</v>
      </c>
      <c r="H78">
        <f t="shared" si="110"/>
        <v>1.1611899999999999</v>
      </c>
      <c r="I78">
        <f t="shared" si="112"/>
        <v>0.42691999999999997</v>
      </c>
      <c r="K78" s="67"/>
      <c r="L78" s="3">
        <v>-97.2</v>
      </c>
      <c r="M78" s="5">
        <f t="shared" si="119"/>
        <v>1</v>
      </c>
      <c r="N78" s="5">
        <f t="shared" si="113"/>
        <v>31.807899949628325</v>
      </c>
      <c r="O78" s="5">
        <f t="shared" si="114"/>
        <v>7.2910896840399031E-2</v>
      </c>
      <c r="P78" s="4">
        <v>3</v>
      </c>
      <c r="Q78" s="5">
        <f t="shared" si="115"/>
        <v>1.1611899999999999</v>
      </c>
      <c r="R78" s="5">
        <f t="shared" si="115"/>
        <v>0.42691999999999997</v>
      </c>
      <c r="S78" s="5">
        <f t="shared" si="116"/>
        <v>1.2900820900000003</v>
      </c>
      <c r="T78" s="5">
        <f t="shared" si="117"/>
        <v>7.7404925400000019E-2</v>
      </c>
      <c r="U78" s="5">
        <f t="shared" si="118"/>
        <v>0.17672357397260277</v>
      </c>
      <c r="V78" s="5">
        <f t="shared" si="111"/>
        <v>7.2910896840399031E-2</v>
      </c>
    </row>
    <row r="79" spans="2:22" x14ac:dyDescent="0.3">
      <c r="B79">
        <v>5</v>
      </c>
      <c r="C79">
        <v>0</v>
      </c>
      <c r="D79">
        <v>0</v>
      </c>
      <c r="E79">
        <v>0</v>
      </c>
      <c r="F79">
        <f t="shared" si="108"/>
        <v>0</v>
      </c>
      <c r="G79">
        <f t="shared" si="109"/>
        <v>0</v>
      </c>
      <c r="H79">
        <f t="shared" si="110"/>
        <v>0</v>
      </c>
      <c r="I79">
        <f t="shared" si="112"/>
        <v>0</v>
      </c>
      <c r="K79" s="67"/>
      <c r="L79" s="3">
        <v>-96.8</v>
      </c>
      <c r="M79" s="5">
        <f t="shared" si="119"/>
        <v>1.4000000000000057</v>
      </c>
      <c r="N79" s="5">
        <f t="shared" si="113"/>
        <v>37.414240753916886</v>
      </c>
      <c r="O79" s="5">
        <f t="shared" si="114"/>
        <v>5.2697323822551836E-2</v>
      </c>
      <c r="P79" s="4">
        <v>3</v>
      </c>
      <c r="Q79" s="5">
        <f t="shared" si="115"/>
        <v>0</v>
      </c>
      <c r="R79" s="5">
        <f t="shared" si="115"/>
        <v>0</v>
      </c>
      <c r="S79" s="5">
        <f t="shared" si="116"/>
        <v>0</v>
      </c>
      <c r="T79" s="5">
        <f t="shared" si="117"/>
        <v>0</v>
      </c>
      <c r="U79" s="5">
        <f t="shared" si="118"/>
        <v>0</v>
      </c>
      <c r="V79" s="5">
        <f t="shared" si="111"/>
        <v>5.2697323822551836E-2</v>
      </c>
    </row>
    <row r="80" spans="2:22" x14ac:dyDescent="0.3">
      <c r="B80">
        <v>6</v>
      </c>
      <c r="C80">
        <v>0</v>
      </c>
      <c r="D80">
        <v>0</v>
      </c>
      <c r="E80">
        <v>0</v>
      </c>
      <c r="F80">
        <f t="shared" si="108"/>
        <v>0</v>
      </c>
      <c r="G80">
        <f t="shared" si="109"/>
        <v>0</v>
      </c>
      <c r="H80">
        <f t="shared" si="110"/>
        <v>0</v>
      </c>
      <c r="I80">
        <f t="shared" si="112"/>
        <v>0</v>
      </c>
      <c r="K80" s="67"/>
      <c r="L80" s="3">
        <v>-96.3</v>
      </c>
      <c r="M80" s="5">
        <f t="shared" si="119"/>
        <v>1.9000000000000057</v>
      </c>
      <c r="N80" s="5">
        <f t="shared" si="113"/>
        <v>44.970060517830404</v>
      </c>
      <c r="O80" s="5">
        <f t="shared" si="114"/>
        <v>3.647669565236164E-2</v>
      </c>
      <c r="P80" s="4">
        <v>4</v>
      </c>
      <c r="Q80" s="5">
        <f t="shared" si="115"/>
        <v>0</v>
      </c>
      <c r="R80" s="5">
        <f t="shared" si="115"/>
        <v>0</v>
      </c>
      <c r="S80" s="5">
        <f t="shared" si="116"/>
        <v>0</v>
      </c>
      <c r="T80" s="5">
        <f t="shared" si="117"/>
        <v>0</v>
      </c>
      <c r="U80" s="5">
        <f t="shared" si="118"/>
        <v>0</v>
      </c>
      <c r="V80" s="5">
        <f t="shared" si="111"/>
        <v>3.647669565236164E-2</v>
      </c>
    </row>
    <row r="81" spans="2:22" x14ac:dyDescent="0.3">
      <c r="B81">
        <v>7</v>
      </c>
      <c r="C81">
        <v>0</v>
      </c>
      <c r="D81">
        <v>0</v>
      </c>
      <c r="E81">
        <v>0</v>
      </c>
      <c r="F81">
        <f t="shared" si="108"/>
        <v>0</v>
      </c>
      <c r="G81">
        <f t="shared" si="109"/>
        <v>0</v>
      </c>
      <c r="H81">
        <f t="shared" si="110"/>
        <v>0</v>
      </c>
      <c r="I81">
        <f t="shared" si="112"/>
        <v>0</v>
      </c>
      <c r="K81" s="67"/>
      <c r="L81" s="3">
        <v>-95.8</v>
      </c>
      <c r="M81" s="5">
        <f t="shared" si="119"/>
        <v>2.4000000000000057</v>
      </c>
      <c r="N81" s="5">
        <f t="shared" si="113"/>
        <v>52.890724234957723</v>
      </c>
      <c r="O81" s="5">
        <f t="shared" si="114"/>
        <v>2.6369591733414074E-2</v>
      </c>
      <c r="P81" s="4">
        <v>4</v>
      </c>
      <c r="Q81" s="5">
        <f t="shared" si="115"/>
        <v>0</v>
      </c>
      <c r="R81" s="5">
        <f t="shared" si="115"/>
        <v>0</v>
      </c>
      <c r="S81" s="5">
        <f t="shared" si="116"/>
        <v>0</v>
      </c>
      <c r="T81" s="5">
        <f t="shared" si="117"/>
        <v>0</v>
      </c>
      <c r="U81" s="5">
        <f t="shared" si="118"/>
        <v>0</v>
      </c>
      <c r="V81" s="5">
        <f t="shared" si="111"/>
        <v>2.6369591733414074E-2</v>
      </c>
    </row>
    <row r="82" spans="2:22" x14ac:dyDescent="0.3">
      <c r="B82">
        <v>8</v>
      </c>
      <c r="C82">
        <v>0</v>
      </c>
      <c r="D82">
        <v>0</v>
      </c>
      <c r="E82">
        <v>0</v>
      </c>
      <c r="F82">
        <f t="shared" si="108"/>
        <v>0</v>
      </c>
      <c r="G82">
        <f t="shared" si="109"/>
        <v>0</v>
      </c>
      <c r="H82">
        <f t="shared" si="110"/>
        <v>0</v>
      </c>
      <c r="I82">
        <f t="shared" si="112"/>
        <v>0</v>
      </c>
      <c r="K82" s="67"/>
      <c r="L82" s="3">
        <v>-95.5</v>
      </c>
      <c r="M82" s="5">
        <f t="shared" si="119"/>
        <v>2.7000000000000028</v>
      </c>
      <c r="N82" s="5">
        <f t="shared" si="113"/>
        <v>57.756125383651771</v>
      </c>
      <c r="O82" s="5">
        <f t="shared" si="114"/>
        <v>2.2113950470540624E-2</v>
      </c>
      <c r="P82" s="4">
        <v>5</v>
      </c>
      <c r="Q82" s="5">
        <f t="shared" si="115"/>
        <v>0</v>
      </c>
      <c r="R82" s="5">
        <f t="shared" si="115"/>
        <v>0</v>
      </c>
      <c r="S82" s="5">
        <f t="shared" si="116"/>
        <v>0</v>
      </c>
      <c r="T82" s="5">
        <f t="shared" si="117"/>
        <v>0</v>
      </c>
      <c r="U82" s="5">
        <f t="shared" si="118"/>
        <v>0</v>
      </c>
      <c r="V82" s="5">
        <f t="shared" si="111"/>
        <v>2.2113950470540624E-2</v>
      </c>
    </row>
    <row r="83" spans="2:22" x14ac:dyDescent="0.3">
      <c r="B83">
        <v>9</v>
      </c>
      <c r="C83">
        <v>0</v>
      </c>
      <c r="D83">
        <v>0</v>
      </c>
      <c r="E83">
        <v>0</v>
      </c>
      <c r="F83">
        <f t="shared" si="108"/>
        <v>0</v>
      </c>
      <c r="G83">
        <f t="shared" si="109"/>
        <v>0</v>
      </c>
      <c r="H83">
        <f t="shared" si="110"/>
        <v>0</v>
      </c>
      <c r="I83">
        <f t="shared" si="112"/>
        <v>0</v>
      </c>
      <c r="K83" s="67"/>
      <c r="L83" s="5">
        <v>-95.1</v>
      </c>
      <c r="M83" s="5">
        <f t="shared" si="119"/>
        <v>3.1000000000000085</v>
      </c>
      <c r="N83" s="5">
        <f t="shared" si="113"/>
        <v>64.335352920706185</v>
      </c>
      <c r="O83" s="5">
        <f t="shared" si="114"/>
        <v>1.7822271621100762E-2</v>
      </c>
      <c r="P83" s="4">
        <v>8</v>
      </c>
      <c r="Q83" s="5">
        <f t="shared" si="115"/>
        <v>0</v>
      </c>
      <c r="R83" s="5">
        <f t="shared" si="115"/>
        <v>0</v>
      </c>
      <c r="S83" s="5">
        <f t="shared" si="116"/>
        <v>0</v>
      </c>
      <c r="T83" s="5">
        <f t="shared" si="117"/>
        <v>0</v>
      </c>
      <c r="U83" s="5">
        <f t="shared" si="118"/>
        <v>0</v>
      </c>
      <c r="V83" s="5">
        <f t="shared" si="111"/>
        <v>1.7822271621100762E-2</v>
      </c>
    </row>
    <row r="84" spans="2:22" x14ac:dyDescent="0.3">
      <c r="B84">
        <v>10</v>
      </c>
      <c r="C84">
        <v>0</v>
      </c>
      <c r="D84">
        <v>0</v>
      </c>
      <c r="E84">
        <v>0</v>
      </c>
      <c r="F84">
        <f t="shared" si="108"/>
        <v>0</v>
      </c>
      <c r="G84">
        <f t="shared" si="109"/>
        <v>0</v>
      </c>
      <c r="H84">
        <f t="shared" si="110"/>
        <v>0</v>
      </c>
      <c r="I84">
        <f t="shared" si="112"/>
        <v>0</v>
      </c>
      <c r="K84" s="67"/>
      <c r="L84" s="5">
        <v>-94.399999999999991</v>
      </c>
      <c r="M84" s="5">
        <f t="shared" si="119"/>
        <v>3.8000000000000114</v>
      </c>
      <c r="N84" s="5">
        <f t="shared" si="113"/>
        <v>76.025152245972833</v>
      </c>
      <c r="O84" s="5">
        <f t="shared" si="114"/>
        <v>1.2762855040695312E-2</v>
      </c>
      <c r="P84" s="4">
        <v>14</v>
      </c>
      <c r="Q84" s="5">
        <f t="shared" si="115"/>
        <v>0</v>
      </c>
      <c r="R84" s="5">
        <f t="shared" si="115"/>
        <v>0</v>
      </c>
      <c r="S84" s="5">
        <f t="shared" si="116"/>
        <v>0</v>
      </c>
      <c r="T84" s="5">
        <f t="shared" si="117"/>
        <v>0</v>
      </c>
      <c r="U84" s="5">
        <f t="shared" si="118"/>
        <v>0</v>
      </c>
      <c r="V84" s="5">
        <f t="shared" si="111"/>
        <v>1.2762855040695312E-2</v>
      </c>
    </row>
    <row r="85" spans="2:22" ht="15" thickBot="1" x14ac:dyDescent="0.35">
      <c r="B85">
        <v>11</v>
      </c>
      <c r="C85">
        <v>0</v>
      </c>
      <c r="D85">
        <v>0</v>
      </c>
      <c r="E85">
        <v>0</v>
      </c>
      <c r="F85">
        <f t="shared" si="108"/>
        <v>0</v>
      </c>
      <c r="G85">
        <f t="shared" si="109"/>
        <v>0</v>
      </c>
      <c r="H85">
        <f t="shared" si="110"/>
        <v>0</v>
      </c>
      <c r="I85">
        <f t="shared" si="112"/>
        <v>0</v>
      </c>
      <c r="K85" s="68"/>
      <c r="L85" s="6">
        <v>-93.3</v>
      </c>
      <c r="M85" s="6">
        <f t="shared" si="119"/>
        <v>4.9000000000000057</v>
      </c>
      <c r="N85" s="6">
        <f t="shared" si="113"/>
        <v>94.671337139281746</v>
      </c>
      <c r="O85" s="6">
        <f t="shared" si="114"/>
        <v>8.230484689175083E-3</v>
      </c>
      <c r="P85" s="7">
        <v>21</v>
      </c>
      <c r="Q85" s="6">
        <f t="shared" si="115"/>
        <v>0</v>
      </c>
      <c r="R85" s="6">
        <f t="shared" si="115"/>
        <v>0</v>
      </c>
      <c r="S85" s="6">
        <f t="shared" si="116"/>
        <v>0</v>
      </c>
      <c r="T85" s="6">
        <f t="shared" si="117"/>
        <v>0</v>
      </c>
      <c r="U85" s="6">
        <f t="shared" si="118"/>
        <v>0</v>
      </c>
      <c r="V85" s="6">
        <f t="shared" si="111"/>
        <v>8.230484689175083E-3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13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31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-2800.5</v>
      </c>
      <c r="D89">
        <v>41242.699999999997</v>
      </c>
      <c r="E89">
        <v>9982.5</v>
      </c>
      <c r="F89">
        <f t="shared" ref="F89:F99" si="120">D89/10000</f>
        <v>4.1242700000000001</v>
      </c>
      <c r="G89">
        <f t="shared" ref="G89:G99" si="121">C89/10000</f>
        <v>-0.28005000000000002</v>
      </c>
      <c r="H89">
        <f t="shared" ref="H89:H99" si="122">F89-G89</f>
        <v>4.4043200000000002</v>
      </c>
      <c r="I89">
        <f>E89/10000</f>
        <v>0.99824999999999997</v>
      </c>
      <c r="K89" s="66">
        <v>8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0.13764527954170599</v>
      </c>
      <c r="P89" s="2">
        <v>3</v>
      </c>
      <c r="Q89" s="8">
        <f>H89</f>
        <v>4.4043200000000002</v>
      </c>
      <c r="R89" s="8">
        <f>I89</f>
        <v>0.99824999999999997</v>
      </c>
      <c r="S89" s="8">
        <f>Q89/10^6*$Z$4*$Z$3/P89*10^12</f>
        <v>4.8931995200000005</v>
      </c>
      <c r="T89" s="8">
        <f>S89*0.06</f>
        <v>0.29359197120000002</v>
      </c>
      <c r="U89" s="8">
        <f>S89/$Z$1</f>
        <v>0.6703013041095891</v>
      </c>
      <c r="V89" s="12">
        <f t="shared" ref="V89:V99" si="123">O89</f>
        <v>0.13764527954170599</v>
      </c>
    </row>
    <row r="90" spans="2:22" x14ac:dyDescent="0.3">
      <c r="B90">
        <v>2</v>
      </c>
      <c r="C90">
        <v>9951.2999999999993</v>
      </c>
      <c r="D90">
        <v>56668.7</v>
      </c>
      <c r="E90">
        <v>7586.6</v>
      </c>
      <c r="F90">
        <f t="shared" si="120"/>
        <v>5.6668699999999994</v>
      </c>
      <c r="G90">
        <f t="shared" si="121"/>
        <v>0.99512999999999996</v>
      </c>
      <c r="H90">
        <f t="shared" si="122"/>
        <v>4.6717399999999998</v>
      </c>
      <c r="I90">
        <f t="shared" ref="I90:I99" si="124">E90/10000</f>
        <v>0.75866</v>
      </c>
      <c r="K90" s="67"/>
      <c r="L90" s="3">
        <v>-98</v>
      </c>
      <c r="M90" s="5">
        <f>L90+98.2</f>
        <v>0.20000000000000284</v>
      </c>
      <c r="N90" s="5">
        <f t="shared" ref="N90:N99" si="125">20.56036*SQRT(1+((L90-(-98.58903))*1.03*1095.70644/(3.14159*20.56036^2))^2)</f>
        <v>22.992351577801337</v>
      </c>
      <c r="O90" s="5">
        <f t="shared" ref="O90:O99" si="126">2*$Z$1/$Z$2/PI()/(N90*10^-4)^2/$K$89/$Z$7</f>
        <v>0.12209663736795459</v>
      </c>
      <c r="P90" s="4">
        <v>3</v>
      </c>
      <c r="Q90" s="5">
        <f t="shared" ref="Q90:R99" si="127">H90</f>
        <v>4.6717399999999998</v>
      </c>
      <c r="R90" s="5">
        <f t="shared" si="127"/>
        <v>0.75866</v>
      </c>
      <c r="S90" s="5">
        <f t="shared" ref="S90:S99" si="128">Q90/10^6*$Z$4*$Z$3/P90*10^12</f>
        <v>5.1903031400000001</v>
      </c>
      <c r="T90" s="5">
        <f t="shared" ref="T90:T99" si="129">S90*0.06</f>
        <v>0.31141818840000002</v>
      </c>
      <c r="U90" s="5">
        <f t="shared" ref="U90:U99" si="130">S90/$Z$1</f>
        <v>0.71100043013698633</v>
      </c>
      <c r="V90" s="5">
        <f t="shared" si="123"/>
        <v>0.12209663736795459</v>
      </c>
    </row>
    <row r="91" spans="2:22" x14ac:dyDescent="0.3">
      <c r="B91">
        <v>3</v>
      </c>
      <c r="C91">
        <v>11891.1</v>
      </c>
      <c r="D91">
        <v>48968</v>
      </c>
      <c r="E91">
        <v>5673.2</v>
      </c>
      <c r="F91">
        <f t="shared" si="120"/>
        <v>4.8967999999999998</v>
      </c>
      <c r="G91">
        <f t="shared" si="121"/>
        <v>1.1891100000000001</v>
      </c>
      <c r="H91">
        <f t="shared" si="122"/>
        <v>3.7076899999999995</v>
      </c>
      <c r="I91">
        <f t="shared" si="124"/>
        <v>0.56731999999999994</v>
      </c>
      <c r="K91" s="67"/>
      <c r="L91" s="3">
        <v>-97.8</v>
      </c>
      <c r="M91" s="5">
        <f t="shared" ref="M91:M99" si="131">L91+98.2</f>
        <v>0.40000000000000568</v>
      </c>
      <c r="N91" s="5">
        <f t="shared" si="125"/>
        <v>24.754552179927092</v>
      </c>
      <c r="O91" s="5">
        <f t="shared" si="126"/>
        <v>0.1053320019037987</v>
      </c>
      <c r="P91" s="4">
        <v>3</v>
      </c>
      <c r="Q91" s="5">
        <f t="shared" si="127"/>
        <v>3.7076899999999995</v>
      </c>
      <c r="R91" s="5">
        <f t="shared" si="127"/>
        <v>0.56731999999999994</v>
      </c>
      <c r="S91" s="5">
        <f t="shared" si="128"/>
        <v>4.1192435899999991</v>
      </c>
      <c r="T91" s="5">
        <f t="shared" si="129"/>
        <v>0.24715461539999994</v>
      </c>
      <c r="U91" s="5">
        <f t="shared" si="130"/>
        <v>0.5642799438356163</v>
      </c>
      <c r="V91" s="5">
        <f t="shared" si="123"/>
        <v>0.1053320019037987</v>
      </c>
    </row>
    <row r="92" spans="2:22" x14ac:dyDescent="0.3">
      <c r="B92">
        <v>4</v>
      </c>
      <c r="C92">
        <v>10785.1</v>
      </c>
      <c r="D92">
        <v>28196.2</v>
      </c>
      <c r="E92">
        <v>3853.3</v>
      </c>
      <c r="F92">
        <f t="shared" si="120"/>
        <v>2.81962</v>
      </c>
      <c r="G92">
        <f t="shared" si="121"/>
        <v>1.0785100000000001</v>
      </c>
      <c r="H92">
        <f t="shared" si="122"/>
        <v>1.7411099999999999</v>
      </c>
      <c r="I92">
        <f t="shared" si="124"/>
        <v>0.38533000000000001</v>
      </c>
      <c r="K92" s="67"/>
      <c r="L92" s="3">
        <v>-97.2</v>
      </c>
      <c r="M92" s="5">
        <f t="shared" si="131"/>
        <v>1</v>
      </c>
      <c r="N92" s="5">
        <f t="shared" si="125"/>
        <v>31.807899949628325</v>
      </c>
      <c r="O92" s="5">
        <f t="shared" si="126"/>
        <v>6.3797034735349145E-2</v>
      </c>
      <c r="P92" s="4">
        <v>3</v>
      </c>
      <c r="Q92" s="5">
        <f t="shared" si="127"/>
        <v>1.7411099999999999</v>
      </c>
      <c r="R92" s="5">
        <f t="shared" si="127"/>
        <v>0.38533000000000001</v>
      </c>
      <c r="S92" s="5">
        <f t="shared" si="128"/>
        <v>1.9343732100000002</v>
      </c>
      <c r="T92" s="5">
        <f t="shared" si="129"/>
        <v>0.11606239260000001</v>
      </c>
      <c r="U92" s="5">
        <f t="shared" si="130"/>
        <v>0.26498263150684936</v>
      </c>
      <c r="V92" s="5">
        <f t="shared" si="123"/>
        <v>6.3797034735349145E-2</v>
      </c>
    </row>
    <row r="93" spans="2:22" x14ac:dyDescent="0.3">
      <c r="B93">
        <v>5</v>
      </c>
      <c r="C93">
        <v>0</v>
      </c>
      <c r="D93">
        <v>0</v>
      </c>
      <c r="E93">
        <v>0</v>
      </c>
      <c r="F93">
        <f t="shared" si="120"/>
        <v>0</v>
      </c>
      <c r="G93">
        <f t="shared" si="121"/>
        <v>0</v>
      </c>
      <c r="H93">
        <f t="shared" si="122"/>
        <v>0</v>
      </c>
      <c r="I93">
        <f t="shared" si="124"/>
        <v>0</v>
      </c>
      <c r="K93" s="67"/>
      <c r="L93" s="3">
        <v>-96.8</v>
      </c>
      <c r="M93" s="5">
        <f t="shared" si="131"/>
        <v>1.4000000000000057</v>
      </c>
      <c r="N93" s="5">
        <f t="shared" si="125"/>
        <v>37.414240753916886</v>
      </c>
      <c r="O93" s="5">
        <f t="shared" si="126"/>
        <v>4.6110158344732852E-2</v>
      </c>
      <c r="P93" s="4">
        <v>3</v>
      </c>
      <c r="Q93" s="5">
        <f t="shared" si="127"/>
        <v>0</v>
      </c>
      <c r="R93" s="5">
        <f t="shared" si="127"/>
        <v>0</v>
      </c>
      <c r="S93" s="5">
        <f t="shared" si="128"/>
        <v>0</v>
      </c>
      <c r="T93" s="5">
        <f t="shared" si="129"/>
        <v>0</v>
      </c>
      <c r="U93" s="5">
        <f t="shared" si="130"/>
        <v>0</v>
      </c>
      <c r="V93" s="5">
        <f t="shared" si="123"/>
        <v>4.6110158344732852E-2</v>
      </c>
    </row>
    <row r="94" spans="2:22" x14ac:dyDescent="0.3">
      <c r="B94">
        <v>6</v>
      </c>
      <c r="C94">
        <v>0</v>
      </c>
      <c r="D94">
        <v>0</v>
      </c>
      <c r="E94">
        <v>0</v>
      </c>
      <c r="F94">
        <f t="shared" si="120"/>
        <v>0</v>
      </c>
      <c r="G94">
        <f t="shared" si="121"/>
        <v>0</v>
      </c>
      <c r="H94">
        <f t="shared" si="122"/>
        <v>0</v>
      </c>
      <c r="I94">
        <f t="shared" si="124"/>
        <v>0</v>
      </c>
      <c r="K94" s="67"/>
      <c r="L94" s="3">
        <v>-96.3</v>
      </c>
      <c r="M94" s="5">
        <f t="shared" si="131"/>
        <v>1.9000000000000057</v>
      </c>
      <c r="N94" s="5">
        <f t="shared" si="125"/>
        <v>44.970060517830404</v>
      </c>
      <c r="O94" s="5">
        <f t="shared" si="126"/>
        <v>3.1917108695816432E-2</v>
      </c>
      <c r="P94" s="4">
        <v>4</v>
      </c>
      <c r="Q94" s="5">
        <f t="shared" si="127"/>
        <v>0</v>
      </c>
      <c r="R94" s="5">
        <f t="shared" si="127"/>
        <v>0</v>
      </c>
      <c r="S94" s="5">
        <f t="shared" si="128"/>
        <v>0</v>
      </c>
      <c r="T94" s="5">
        <f t="shared" si="129"/>
        <v>0</v>
      </c>
      <c r="U94" s="5">
        <f t="shared" si="130"/>
        <v>0</v>
      </c>
      <c r="V94" s="5">
        <f t="shared" si="123"/>
        <v>3.1917108695816432E-2</v>
      </c>
    </row>
    <row r="95" spans="2:22" x14ac:dyDescent="0.3">
      <c r="B95">
        <v>7</v>
      </c>
      <c r="C95">
        <v>0</v>
      </c>
      <c r="D95">
        <v>0</v>
      </c>
      <c r="E95">
        <v>0</v>
      </c>
      <c r="F95">
        <f t="shared" si="120"/>
        <v>0</v>
      </c>
      <c r="G95">
        <f t="shared" si="121"/>
        <v>0</v>
      </c>
      <c r="H95">
        <f t="shared" si="122"/>
        <v>0</v>
      </c>
      <c r="I95">
        <f t="shared" si="124"/>
        <v>0</v>
      </c>
      <c r="K95" s="67"/>
      <c r="L95" s="3">
        <v>-95.8</v>
      </c>
      <c r="M95" s="5">
        <f t="shared" si="131"/>
        <v>2.4000000000000057</v>
      </c>
      <c r="N95" s="5">
        <f t="shared" si="125"/>
        <v>52.890724234957723</v>
      </c>
      <c r="O95" s="5">
        <f t="shared" si="126"/>
        <v>2.3073392766737314E-2</v>
      </c>
      <c r="P95" s="4">
        <v>4</v>
      </c>
      <c r="Q95" s="5">
        <f t="shared" si="127"/>
        <v>0</v>
      </c>
      <c r="R95" s="5">
        <f t="shared" si="127"/>
        <v>0</v>
      </c>
      <c r="S95" s="5">
        <f t="shared" si="128"/>
        <v>0</v>
      </c>
      <c r="T95" s="5">
        <f t="shared" si="129"/>
        <v>0</v>
      </c>
      <c r="U95" s="5">
        <f t="shared" si="130"/>
        <v>0</v>
      </c>
      <c r="V95" s="5">
        <f t="shared" si="123"/>
        <v>2.3073392766737314E-2</v>
      </c>
    </row>
    <row r="96" spans="2:22" x14ac:dyDescent="0.3">
      <c r="B96">
        <v>8</v>
      </c>
      <c r="C96">
        <v>0</v>
      </c>
      <c r="D96">
        <v>0</v>
      </c>
      <c r="E96">
        <v>0</v>
      </c>
      <c r="F96">
        <f t="shared" si="120"/>
        <v>0</v>
      </c>
      <c r="G96">
        <f t="shared" si="121"/>
        <v>0</v>
      </c>
      <c r="H96">
        <f t="shared" si="122"/>
        <v>0</v>
      </c>
      <c r="I96">
        <f t="shared" si="124"/>
        <v>0</v>
      </c>
      <c r="K96" s="67"/>
      <c r="L96" s="3">
        <v>-95.5</v>
      </c>
      <c r="M96" s="5">
        <f t="shared" si="131"/>
        <v>2.7000000000000028</v>
      </c>
      <c r="N96" s="5">
        <f t="shared" si="125"/>
        <v>57.756125383651771</v>
      </c>
      <c r="O96" s="5">
        <f t="shared" si="126"/>
        <v>1.9349706661723046E-2</v>
      </c>
      <c r="P96" s="4">
        <v>5</v>
      </c>
      <c r="Q96" s="5">
        <f t="shared" si="127"/>
        <v>0</v>
      </c>
      <c r="R96" s="5">
        <f t="shared" si="127"/>
        <v>0</v>
      </c>
      <c r="S96" s="5">
        <f t="shared" si="128"/>
        <v>0</v>
      </c>
      <c r="T96" s="5">
        <f t="shared" si="129"/>
        <v>0</v>
      </c>
      <c r="U96" s="5">
        <f t="shared" si="130"/>
        <v>0</v>
      </c>
      <c r="V96" s="5">
        <f t="shared" si="123"/>
        <v>1.9349706661723046E-2</v>
      </c>
    </row>
    <row r="97" spans="2:22" x14ac:dyDescent="0.3">
      <c r="B97">
        <v>9</v>
      </c>
      <c r="C97">
        <v>0</v>
      </c>
      <c r="D97">
        <v>0</v>
      </c>
      <c r="E97">
        <v>0</v>
      </c>
      <c r="F97">
        <f t="shared" si="120"/>
        <v>0</v>
      </c>
      <c r="G97">
        <f t="shared" si="121"/>
        <v>0</v>
      </c>
      <c r="H97">
        <f t="shared" si="122"/>
        <v>0</v>
      </c>
      <c r="I97">
        <f t="shared" si="124"/>
        <v>0</v>
      </c>
      <c r="K97" s="67"/>
      <c r="L97" s="5">
        <v>-95.1</v>
      </c>
      <c r="M97" s="5">
        <f t="shared" si="131"/>
        <v>3.1000000000000085</v>
      </c>
      <c r="N97" s="5">
        <f t="shared" si="125"/>
        <v>64.335352920706185</v>
      </c>
      <c r="O97" s="5">
        <f t="shared" si="126"/>
        <v>1.5594487668463167E-2</v>
      </c>
      <c r="P97" s="4">
        <v>8</v>
      </c>
      <c r="Q97" s="5">
        <f t="shared" si="127"/>
        <v>0</v>
      </c>
      <c r="R97" s="5">
        <f t="shared" si="127"/>
        <v>0</v>
      </c>
      <c r="S97" s="5">
        <f t="shared" si="128"/>
        <v>0</v>
      </c>
      <c r="T97" s="5">
        <f t="shared" si="129"/>
        <v>0</v>
      </c>
      <c r="U97" s="5">
        <f t="shared" si="130"/>
        <v>0</v>
      </c>
      <c r="V97" s="5">
        <f t="shared" si="123"/>
        <v>1.5594487668463167E-2</v>
      </c>
    </row>
    <row r="98" spans="2:22" x14ac:dyDescent="0.3">
      <c r="B98">
        <v>10</v>
      </c>
      <c r="C98">
        <v>0</v>
      </c>
      <c r="D98">
        <v>0</v>
      </c>
      <c r="E98">
        <v>0</v>
      </c>
      <c r="F98">
        <f t="shared" si="120"/>
        <v>0</v>
      </c>
      <c r="G98">
        <f t="shared" si="121"/>
        <v>0</v>
      </c>
      <c r="H98">
        <f t="shared" si="122"/>
        <v>0</v>
      </c>
      <c r="I98">
        <f t="shared" si="124"/>
        <v>0</v>
      </c>
      <c r="K98" s="67"/>
      <c r="L98" s="5">
        <v>-94.399999999999991</v>
      </c>
      <c r="M98" s="5">
        <f t="shared" si="131"/>
        <v>3.8000000000000114</v>
      </c>
      <c r="N98" s="5">
        <f t="shared" si="125"/>
        <v>76.025152245972833</v>
      </c>
      <c r="O98" s="5">
        <f t="shared" si="126"/>
        <v>1.1167498160608398E-2</v>
      </c>
      <c r="P98" s="4">
        <v>14</v>
      </c>
      <c r="Q98" s="5">
        <f t="shared" si="127"/>
        <v>0</v>
      </c>
      <c r="R98" s="5">
        <f t="shared" si="127"/>
        <v>0</v>
      </c>
      <c r="S98" s="5">
        <f t="shared" si="128"/>
        <v>0</v>
      </c>
      <c r="T98" s="5">
        <f t="shared" si="129"/>
        <v>0</v>
      </c>
      <c r="U98" s="5">
        <f t="shared" si="130"/>
        <v>0</v>
      </c>
      <c r="V98" s="5">
        <f t="shared" si="123"/>
        <v>1.1167498160608398E-2</v>
      </c>
    </row>
    <row r="99" spans="2:22" ht="15" thickBot="1" x14ac:dyDescent="0.35">
      <c r="B99">
        <v>11</v>
      </c>
      <c r="C99">
        <v>0</v>
      </c>
      <c r="D99">
        <v>0</v>
      </c>
      <c r="E99">
        <v>0</v>
      </c>
      <c r="F99">
        <f t="shared" si="120"/>
        <v>0</v>
      </c>
      <c r="G99">
        <f t="shared" si="121"/>
        <v>0</v>
      </c>
      <c r="H99">
        <f t="shared" si="122"/>
        <v>0</v>
      </c>
      <c r="I99">
        <f t="shared" si="124"/>
        <v>0</v>
      </c>
      <c r="K99" s="68"/>
      <c r="L99" s="6">
        <v>-93.3</v>
      </c>
      <c r="M99" s="6">
        <f t="shared" si="131"/>
        <v>4.9000000000000057</v>
      </c>
      <c r="N99" s="6">
        <f t="shared" si="125"/>
        <v>94.671337139281746</v>
      </c>
      <c r="O99" s="6">
        <f t="shared" si="126"/>
        <v>7.2016741030281979E-3</v>
      </c>
      <c r="P99" s="7">
        <v>21</v>
      </c>
      <c r="Q99" s="6">
        <f t="shared" si="127"/>
        <v>0</v>
      </c>
      <c r="R99" s="6">
        <f t="shared" si="127"/>
        <v>0</v>
      </c>
      <c r="S99" s="6">
        <f t="shared" si="128"/>
        <v>0</v>
      </c>
      <c r="T99" s="6">
        <f t="shared" si="129"/>
        <v>0</v>
      </c>
      <c r="U99" s="6">
        <f t="shared" si="130"/>
        <v>0</v>
      </c>
      <c r="V99" s="6">
        <f t="shared" si="123"/>
        <v>7.2016741030281979E-3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14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31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1120.4000000000001</v>
      </c>
      <c r="D103">
        <v>41187.1</v>
      </c>
      <c r="E103">
        <v>9199.7000000000007</v>
      </c>
      <c r="F103">
        <f t="shared" ref="F103:F113" si="132">D103/10000</f>
        <v>4.1187100000000001</v>
      </c>
      <c r="G103">
        <f t="shared" ref="G103:G113" si="133">C103/10000</f>
        <v>0.11204000000000001</v>
      </c>
      <c r="H103">
        <f t="shared" ref="H103:H113" si="134">F103-G103</f>
        <v>4.0066699999999997</v>
      </c>
      <c r="I103">
        <f>E103/10000</f>
        <v>0.91997000000000007</v>
      </c>
      <c r="K103" s="66">
        <v>9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0.12235135959262755</v>
      </c>
      <c r="P103" s="2">
        <v>3</v>
      </c>
      <c r="Q103" s="8">
        <f>H103</f>
        <v>4.0066699999999997</v>
      </c>
      <c r="R103" s="8">
        <f>I103</f>
        <v>0.91997000000000007</v>
      </c>
      <c r="S103" s="8">
        <f>Q103/10^6*$Z$4*$Z$3/P103*10^12</f>
        <v>4.4514103699999996</v>
      </c>
      <c r="T103" s="8">
        <f>S103*0.06</f>
        <v>0.26708462219999995</v>
      </c>
      <c r="U103" s="8">
        <f>S103/$Z$1</f>
        <v>0.60978224246575341</v>
      </c>
      <c r="V103" s="12">
        <f t="shared" ref="V103:V113" si="135">O103</f>
        <v>0.12235135959262755</v>
      </c>
    </row>
    <row r="104" spans="2:22" x14ac:dyDescent="0.3">
      <c r="B104">
        <v>2</v>
      </c>
      <c r="C104">
        <v>11788.3</v>
      </c>
      <c r="D104">
        <v>54811.1</v>
      </c>
      <c r="E104">
        <v>6720</v>
      </c>
      <c r="F104">
        <f t="shared" si="132"/>
        <v>5.4811100000000001</v>
      </c>
      <c r="G104">
        <f t="shared" si="133"/>
        <v>1.1788299999999998</v>
      </c>
      <c r="H104">
        <f t="shared" si="134"/>
        <v>4.3022800000000005</v>
      </c>
      <c r="I104">
        <f t="shared" ref="I104:I113" si="136">E104/10000</f>
        <v>0.67200000000000004</v>
      </c>
      <c r="K104" s="67"/>
      <c r="L104" s="3">
        <v>-98</v>
      </c>
      <c r="M104" s="5">
        <f>L104+98.2</f>
        <v>0.20000000000000284</v>
      </c>
      <c r="N104" s="5">
        <f t="shared" ref="N104:N113" si="137">20.56036*SQRT(1+((L104-(-98.58903))*1.03*1095.70644/(3.14159*20.56036^2))^2)</f>
        <v>22.992351577801337</v>
      </c>
      <c r="O104" s="5">
        <f t="shared" ref="O104:O113" si="138">2*$Z$1/$Z$2/PI()/(N104*10^-4)^2/$K$103/$Z$7</f>
        <v>0.10853034432707075</v>
      </c>
      <c r="P104" s="4">
        <v>3</v>
      </c>
      <c r="Q104" s="5">
        <f t="shared" ref="Q104:R113" si="139">H104</f>
        <v>4.3022800000000005</v>
      </c>
      <c r="R104" s="5">
        <f t="shared" si="139"/>
        <v>0.67200000000000004</v>
      </c>
      <c r="S104" s="5">
        <f t="shared" ref="S104:S113" si="140">Q104/10^6*$Z$4*$Z$3/P104*10^12</f>
        <v>4.7798330800000004</v>
      </c>
      <c r="T104" s="5">
        <f t="shared" ref="T104:T113" si="141">S104*0.06</f>
        <v>0.28678998480000001</v>
      </c>
      <c r="U104" s="5">
        <f t="shared" ref="U104:U113" si="142">S104/$Z$1</f>
        <v>0.6547716547945206</v>
      </c>
      <c r="V104" s="5">
        <f t="shared" si="135"/>
        <v>0.10853034432707075</v>
      </c>
    </row>
    <row r="105" spans="2:22" x14ac:dyDescent="0.3">
      <c r="B105">
        <v>3</v>
      </c>
      <c r="C105">
        <v>15181.5</v>
      </c>
      <c r="D105">
        <v>51007.199999999997</v>
      </c>
      <c r="E105">
        <v>5894.3</v>
      </c>
      <c r="F105">
        <f t="shared" si="132"/>
        <v>5.1007199999999999</v>
      </c>
      <c r="G105">
        <f t="shared" si="133"/>
        <v>1.5181500000000001</v>
      </c>
      <c r="H105">
        <f t="shared" si="134"/>
        <v>3.5825699999999996</v>
      </c>
      <c r="I105">
        <f t="shared" si="136"/>
        <v>0.58943000000000001</v>
      </c>
      <c r="K105" s="67"/>
      <c r="L105" s="3">
        <v>-97.8</v>
      </c>
      <c r="M105" s="5">
        <f t="shared" ref="M105:M113" si="143">L105+98.2</f>
        <v>0.40000000000000568</v>
      </c>
      <c r="N105" s="5">
        <f t="shared" si="137"/>
        <v>24.754552179927092</v>
      </c>
      <c r="O105" s="5">
        <f t="shared" si="138"/>
        <v>9.3628446136709953E-2</v>
      </c>
      <c r="P105" s="4">
        <v>3</v>
      </c>
      <c r="Q105" s="5">
        <f t="shared" si="139"/>
        <v>3.5825699999999996</v>
      </c>
      <c r="R105" s="5">
        <f t="shared" si="139"/>
        <v>0.58943000000000001</v>
      </c>
      <c r="S105" s="5">
        <f t="shared" si="140"/>
        <v>3.9802352699999997</v>
      </c>
      <c r="T105" s="5">
        <f t="shared" si="141"/>
        <v>0.23881411619999998</v>
      </c>
      <c r="U105" s="5">
        <f t="shared" si="142"/>
        <v>0.54523770821917805</v>
      </c>
      <c r="V105" s="5">
        <f t="shared" si="135"/>
        <v>9.3628446136709953E-2</v>
      </c>
    </row>
    <row r="106" spans="2:22" x14ac:dyDescent="0.3">
      <c r="B106">
        <v>4</v>
      </c>
      <c r="C106">
        <v>16406.099999999999</v>
      </c>
      <c r="D106">
        <v>28518.3</v>
      </c>
      <c r="E106">
        <v>3825.8</v>
      </c>
      <c r="F106">
        <f t="shared" si="132"/>
        <v>2.8518300000000001</v>
      </c>
      <c r="G106">
        <f t="shared" si="133"/>
        <v>1.6406099999999999</v>
      </c>
      <c r="H106">
        <f t="shared" si="134"/>
        <v>1.2112200000000002</v>
      </c>
      <c r="I106">
        <f t="shared" si="136"/>
        <v>0.38258000000000003</v>
      </c>
      <c r="K106" s="67"/>
      <c r="L106" s="3">
        <v>-97.2</v>
      </c>
      <c r="M106" s="5">
        <f t="shared" si="143"/>
        <v>1</v>
      </c>
      <c r="N106" s="5">
        <f t="shared" si="137"/>
        <v>31.807899949628325</v>
      </c>
      <c r="O106" s="5">
        <f t="shared" si="138"/>
        <v>5.6708475320310349E-2</v>
      </c>
      <c r="P106" s="4">
        <v>3</v>
      </c>
      <c r="Q106" s="5">
        <f t="shared" si="139"/>
        <v>1.2112200000000002</v>
      </c>
      <c r="R106" s="5">
        <f t="shared" si="139"/>
        <v>0.38258000000000003</v>
      </c>
      <c r="S106" s="5">
        <f t="shared" si="140"/>
        <v>1.3456654200000004</v>
      </c>
      <c r="T106" s="5">
        <f t="shared" si="141"/>
        <v>8.0739925200000021E-2</v>
      </c>
      <c r="U106" s="5">
        <f t="shared" si="142"/>
        <v>0.18433772876712334</v>
      </c>
      <c r="V106" s="5">
        <f t="shared" si="135"/>
        <v>5.6708475320310349E-2</v>
      </c>
    </row>
    <row r="107" spans="2:22" x14ac:dyDescent="0.3">
      <c r="B107">
        <v>5</v>
      </c>
      <c r="C107">
        <v>0</v>
      </c>
      <c r="D107">
        <v>0</v>
      </c>
      <c r="E107">
        <v>0</v>
      </c>
      <c r="F107">
        <f t="shared" si="132"/>
        <v>0</v>
      </c>
      <c r="G107">
        <f t="shared" si="133"/>
        <v>0</v>
      </c>
      <c r="H107">
        <f t="shared" si="134"/>
        <v>0</v>
      </c>
      <c r="I107">
        <f t="shared" si="136"/>
        <v>0</v>
      </c>
      <c r="K107" s="67"/>
      <c r="L107" s="3">
        <v>-96.8</v>
      </c>
      <c r="M107" s="5">
        <f t="shared" si="143"/>
        <v>1.4000000000000057</v>
      </c>
      <c r="N107" s="5">
        <f t="shared" si="137"/>
        <v>37.414240753916886</v>
      </c>
      <c r="O107" s="5">
        <f t="shared" si="138"/>
        <v>4.0986807417540315E-2</v>
      </c>
      <c r="P107" s="4">
        <v>3</v>
      </c>
      <c r="Q107" s="5">
        <f t="shared" si="139"/>
        <v>0</v>
      </c>
      <c r="R107" s="5">
        <f t="shared" si="139"/>
        <v>0</v>
      </c>
      <c r="S107" s="5">
        <f t="shared" si="140"/>
        <v>0</v>
      </c>
      <c r="T107" s="5">
        <f t="shared" si="141"/>
        <v>0</v>
      </c>
      <c r="U107" s="5">
        <f t="shared" si="142"/>
        <v>0</v>
      </c>
      <c r="V107" s="5">
        <f t="shared" si="135"/>
        <v>4.0986807417540315E-2</v>
      </c>
    </row>
    <row r="108" spans="2:22" x14ac:dyDescent="0.3">
      <c r="B108">
        <v>6</v>
      </c>
      <c r="C108">
        <v>0</v>
      </c>
      <c r="D108">
        <v>0</v>
      </c>
      <c r="E108">
        <v>0</v>
      </c>
      <c r="F108">
        <f t="shared" si="132"/>
        <v>0</v>
      </c>
      <c r="G108">
        <f t="shared" si="133"/>
        <v>0</v>
      </c>
      <c r="H108">
        <f t="shared" si="134"/>
        <v>0</v>
      </c>
      <c r="I108">
        <f t="shared" si="136"/>
        <v>0</v>
      </c>
      <c r="K108" s="67"/>
      <c r="L108" s="3">
        <v>-96.3</v>
      </c>
      <c r="M108" s="5">
        <f t="shared" si="143"/>
        <v>1.9000000000000057</v>
      </c>
      <c r="N108" s="5">
        <f t="shared" si="137"/>
        <v>44.970060517830404</v>
      </c>
      <c r="O108" s="5">
        <f t="shared" si="138"/>
        <v>2.8370763285170162E-2</v>
      </c>
      <c r="P108" s="4">
        <v>4</v>
      </c>
      <c r="Q108" s="5">
        <f t="shared" si="139"/>
        <v>0</v>
      </c>
      <c r="R108" s="5">
        <f t="shared" si="139"/>
        <v>0</v>
      </c>
      <c r="S108" s="5">
        <f t="shared" si="140"/>
        <v>0</v>
      </c>
      <c r="T108" s="5">
        <f t="shared" si="141"/>
        <v>0</v>
      </c>
      <c r="U108" s="5">
        <f t="shared" si="142"/>
        <v>0</v>
      </c>
      <c r="V108" s="5">
        <f t="shared" si="135"/>
        <v>2.8370763285170162E-2</v>
      </c>
    </row>
    <row r="109" spans="2:22" x14ac:dyDescent="0.3">
      <c r="B109">
        <v>7</v>
      </c>
      <c r="C109">
        <v>0</v>
      </c>
      <c r="D109">
        <v>0</v>
      </c>
      <c r="E109">
        <v>0</v>
      </c>
      <c r="F109">
        <f t="shared" si="132"/>
        <v>0</v>
      </c>
      <c r="G109">
        <f t="shared" si="133"/>
        <v>0</v>
      </c>
      <c r="H109">
        <f t="shared" si="134"/>
        <v>0</v>
      </c>
      <c r="I109">
        <f t="shared" si="136"/>
        <v>0</v>
      </c>
      <c r="K109" s="67"/>
      <c r="L109" s="3">
        <v>-95.8</v>
      </c>
      <c r="M109" s="5">
        <f t="shared" si="143"/>
        <v>2.4000000000000057</v>
      </c>
      <c r="N109" s="5">
        <f t="shared" si="137"/>
        <v>52.890724234957723</v>
      </c>
      <c r="O109" s="5">
        <f t="shared" si="138"/>
        <v>2.0509682459322057E-2</v>
      </c>
      <c r="P109" s="4">
        <v>4</v>
      </c>
      <c r="Q109" s="5">
        <f t="shared" si="139"/>
        <v>0</v>
      </c>
      <c r="R109" s="5">
        <f t="shared" si="139"/>
        <v>0</v>
      </c>
      <c r="S109" s="5">
        <f t="shared" si="140"/>
        <v>0</v>
      </c>
      <c r="T109" s="5">
        <f t="shared" si="141"/>
        <v>0</v>
      </c>
      <c r="U109" s="5">
        <f t="shared" si="142"/>
        <v>0</v>
      </c>
      <c r="V109" s="5">
        <f t="shared" si="135"/>
        <v>2.0509682459322057E-2</v>
      </c>
    </row>
    <row r="110" spans="2:22" x14ac:dyDescent="0.3">
      <c r="B110">
        <v>8</v>
      </c>
      <c r="C110">
        <v>0</v>
      </c>
      <c r="D110">
        <v>0</v>
      </c>
      <c r="E110">
        <v>0</v>
      </c>
      <c r="F110">
        <f t="shared" si="132"/>
        <v>0</v>
      </c>
      <c r="G110">
        <f t="shared" si="133"/>
        <v>0</v>
      </c>
      <c r="H110">
        <f t="shared" si="134"/>
        <v>0</v>
      </c>
      <c r="I110">
        <f t="shared" si="136"/>
        <v>0</v>
      </c>
      <c r="K110" s="67"/>
      <c r="L110" s="3">
        <v>-95.5</v>
      </c>
      <c r="M110" s="5">
        <f t="shared" si="143"/>
        <v>2.7000000000000028</v>
      </c>
      <c r="N110" s="5">
        <f t="shared" si="137"/>
        <v>57.756125383651771</v>
      </c>
      <c r="O110" s="5">
        <f t="shared" si="138"/>
        <v>1.719973925486493E-2</v>
      </c>
      <c r="P110" s="4">
        <v>5</v>
      </c>
      <c r="Q110" s="5">
        <f t="shared" si="139"/>
        <v>0</v>
      </c>
      <c r="R110" s="5">
        <f t="shared" si="139"/>
        <v>0</v>
      </c>
      <c r="S110" s="5">
        <f t="shared" si="140"/>
        <v>0</v>
      </c>
      <c r="T110" s="5">
        <f t="shared" si="141"/>
        <v>0</v>
      </c>
      <c r="U110" s="5">
        <f t="shared" si="142"/>
        <v>0</v>
      </c>
      <c r="V110" s="5">
        <f t="shared" si="135"/>
        <v>1.719973925486493E-2</v>
      </c>
    </row>
    <row r="111" spans="2:22" x14ac:dyDescent="0.3">
      <c r="B111">
        <v>9</v>
      </c>
      <c r="C111">
        <v>0</v>
      </c>
      <c r="D111">
        <v>0</v>
      </c>
      <c r="E111">
        <v>0</v>
      </c>
      <c r="F111">
        <f t="shared" si="132"/>
        <v>0</v>
      </c>
      <c r="G111">
        <f t="shared" si="133"/>
        <v>0</v>
      </c>
      <c r="H111">
        <f t="shared" si="134"/>
        <v>0</v>
      </c>
      <c r="I111">
        <f t="shared" si="136"/>
        <v>0</v>
      </c>
      <c r="K111" s="67"/>
      <c r="L111" s="5">
        <v>-95.1</v>
      </c>
      <c r="M111" s="5">
        <f t="shared" si="143"/>
        <v>3.1000000000000085</v>
      </c>
      <c r="N111" s="5">
        <f t="shared" si="137"/>
        <v>64.335352920706185</v>
      </c>
      <c r="O111" s="5">
        <f t="shared" si="138"/>
        <v>1.3861766816411705E-2</v>
      </c>
      <c r="P111" s="4">
        <v>8</v>
      </c>
      <c r="Q111" s="5">
        <f t="shared" si="139"/>
        <v>0</v>
      </c>
      <c r="R111" s="5">
        <f t="shared" si="139"/>
        <v>0</v>
      </c>
      <c r="S111" s="5">
        <f t="shared" si="140"/>
        <v>0</v>
      </c>
      <c r="T111" s="5">
        <f t="shared" si="141"/>
        <v>0</v>
      </c>
      <c r="U111" s="5">
        <f t="shared" si="142"/>
        <v>0</v>
      </c>
      <c r="V111" s="5">
        <f t="shared" si="135"/>
        <v>1.3861766816411705E-2</v>
      </c>
    </row>
    <row r="112" spans="2:22" x14ac:dyDescent="0.3">
      <c r="B112">
        <v>10</v>
      </c>
      <c r="C112">
        <v>0</v>
      </c>
      <c r="D112">
        <v>0</v>
      </c>
      <c r="E112">
        <v>0</v>
      </c>
      <c r="F112">
        <f t="shared" si="132"/>
        <v>0</v>
      </c>
      <c r="G112">
        <f t="shared" si="133"/>
        <v>0</v>
      </c>
      <c r="H112">
        <f t="shared" si="134"/>
        <v>0</v>
      </c>
      <c r="I112">
        <f t="shared" si="136"/>
        <v>0</v>
      </c>
      <c r="K112" s="67"/>
      <c r="L112" s="5">
        <v>-94.399999999999991</v>
      </c>
      <c r="M112" s="5">
        <f t="shared" si="143"/>
        <v>3.8000000000000114</v>
      </c>
      <c r="N112" s="5">
        <f t="shared" si="137"/>
        <v>76.025152245972833</v>
      </c>
      <c r="O112" s="5">
        <f t="shared" si="138"/>
        <v>9.9266650316519097E-3</v>
      </c>
      <c r="P112" s="4">
        <v>14</v>
      </c>
      <c r="Q112" s="5">
        <f t="shared" si="139"/>
        <v>0</v>
      </c>
      <c r="R112" s="5">
        <f t="shared" si="139"/>
        <v>0</v>
      </c>
      <c r="S112" s="5">
        <f t="shared" si="140"/>
        <v>0</v>
      </c>
      <c r="T112" s="5">
        <f t="shared" si="141"/>
        <v>0</v>
      </c>
      <c r="U112" s="5">
        <f t="shared" si="142"/>
        <v>0</v>
      </c>
      <c r="V112" s="5">
        <f t="shared" si="135"/>
        <v>9.9266650316519097E-3</v>
      </c>
    </row>
    <row r="113" spans="2:22" ht="15" thickBot="1" x14ac:dyDescent="0.35">
      <c r="B113">
        <v>11</v>
      </c>
      <c r="C113">
        <v>0</v>
      </c>
      <c r="D113">
        <v>0</v>
      </c>
      <c r="E113">
        <v>0</v>
      </c>
      <c r="F113">
        <f t="shared" si="132"/>
        <v>0</v>
      </c>
      <c r="G113">
        <f t="shared" si="133"/>
        <v>0</v>
      </c>
      <c r="H113">
        <f t="shared" si="134"/>
        <v>0</v>
      </c>
      <c r="I113">
        <f t="shared" si="136"/>
        <v>0</v>
      </c>
      <c r="K113" s="68"/>
      <c r="L113" s="6">
        <v>-93.3</v>
      </c>
      <c r="M113" s="6">
        <f t="shared" si="143"/>
        <v>4.9000000000000057</v>
      </c>
      <c r="N113" s="6">
        <f t="shared" si="137"/>
        <v>94.671337139281746</v>
      </c>
      <c r="O113" s="6">
        <f t="shared" si="138"/>
        <v>6.4014880915806201E-3</v>
      </c>
      <c r="P113" s="7">
        <v>21</v>
      </c>
      <c r="Q113" s="6">
        <f t="shared" si="139"/>
        <v>0</v>
      </c>
      <c r="R113" s="6">
        <f t="shared" si="139"/>
        <v>0</v>
      </c>
      <c r="S113" s="6">
        <f t="shared" si="140"/>
        <v>0</v>
      </c>
      <c r="T113" s="6">
        <f t="shared" si="141"/>
        <v>0</v>
      </c>
      <c r="U113" s="6">
        <f t="shared" si="142"/>
        <v>0</v>
      </c>
      <c r="V113" s="6">
        <f t="shared" si="135"/>
        <v>6.4014880915806201E-3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15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31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2179.6999999999998</v>
      </c>
      <c r="D117">
        <v>37075.1</v>
      </c>
      <c r="E117">
        <v>10199.4</v>
      </c>
      <c r="F117">
        <f t="shared" ref="F117:F127" si="144">D117/10000</f>
        <v>3.7075099999999996</v>
      </c>
      <c r="G117">
        <f t="shared" ref="G117:G127" si="145">C117/10000</f>
        <v>0.21796999999999997</v>
      </c>
      <c r="H117">
        <f t="shared" ref="H117:H127" si="146">F117-G117</f>
        <v>3.4895399999999999</v>
      </c>
      <c r="I117">
        <f>E117/10000</f>
        <v>1.0199400000000001</v>
      </c>
      <c r="K117" s="66">
        <v>10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0.11011622363336479</v>
      </c>
      <c r="P117" s="2">
        <v>3</v>
      </c>
      <c r="Q117" s="8">
        <f>H117</f>
        <v>3.4895399999999999</v>
      </c>
      <c r="R117" s="8">
        <f>I117</f>
        <v>1.0199400000000001</v>
      </c>
      <c r="S117" s="8">
        <f>Q117/10^6*$Z$4*$Z$3/P117*10^12</f>
        <v>3.8768789400000006</v>
      </c>
      <c r="T117" s="8">
        <f>S117*0.06</f>
        <v>0.23261273640000002</v>
      </c>
      <c r="U117" s="8">
        <f>S117/$Z$1</f>
        <v>0.53107930684931515</v>
      </c>
      <c r="V117" s="12">
        <f t="shared" ref="V117:V127" si="147">O117</f>
        <v>0.11011622363336479</v>
      </c>
    </row>
    <row r="118" spans="2:22" x14ac:dyDescent="0.3">
      <c r="B118">
        <v>2</v>
      </c>
      <c r="C118">
        <v>9696.2999999999993</v>
      </c>
      <c r="D118">
        <v>55107.7</v>
      </c>
      <c r="E118">
        <v>8427</v>
      </c>
      <c r="F118">
        <f t="shared" si="144"/>
        <v>5.5107699999999999</v>
      </c>
      <c r="G118">
        <f t="shared" si="145"/>
        <v>0.96962999999999988</v>
      </c>
      <c r="H118">
        <f t="shared" si="146"/>
        <v>4.5411400000000004</v>
      </c>
      <c r="I118">
        <f t="shared" ref="I118:I127" si="148">E118/10000</f>
        <v>0.8427</v>
      </c>
      <c r="K118" s="67"/>
      <c r="L118" s="3">
        <v>-98</v>
      </c>
      <c r="M118" s="5">
        <f>L118+98.2</f>
        <v>0.20000000000000284</v>
      </c>
      <c r="N118" s="5">
        <f t="shared" ref="N118:N127" si="149">20.56036*SQRT(1+((L118-(-98.58903))*1.03*1095.70644/(3.14159*20.56036^2))^2)</f>
        <v>22.992351577801337</v>
      </c>
      <c r="O118" s="5">
        <f t="shared" ref="O118:O127" si="150">2*$Z$1/$Z$2/PI()/(N118*10^-4)^2/$K$117/$Z$7</f>
        <v>9.7677309894363684E-2</v>
      </c>
      <c r="P118" s="4">
        <v>3</v>
      </c>
      <c r="Q118" s="5">
        <f t="shared" ref="Q118:R127" si="151">H118</f>
        <v>4.5411400000000004</v>
      </c>
      <c r="R118" s="5">
        <f t="shared" si="151"/>
        <v>0.8427</v>
      </c>
      <c r="S118" s="5">
        <f t="shared" ref="S118:S127" si="152">Q118/10^6*$Z$4*$Z$3/P118*10^12</f>
        <v>5.0452065400000015</v>
      </c>
      <c r="T118" s="5">
        <f t="shared" ref="T118:T127" si="153">S118*0.06</f>
        <v>0.30271239240000009</v>
      </c>
      <c r="U118" s="5">
        <f t="shared" ref="U118:U127" si="154">S118/$Z$1</f>
        <v>0.69112418356164407</v>
      </c>
      <c r="V118" s="5">
        <f t="shared" si="147"/>
        <v>9.7677309894363684E-2</v>
      </c>
    </row>
    <row r="119" spans="2:22" x14ac:dyDescent="0.3">
      <c r="B119">
        <v>3</v>
      </c>
      <c r="C119">
        <v>20514.5</v>
      </c>
      <c r="D119">
        <v>60424.2</v>
      </c>
      <c r="E119">
        <v>6930.2</v>
      </c>
      <c r="F119">
        <f t="shared" si="144"/>
        <v>6.0424199999999999</v>
      </c>
      <c r="G119">
        <f t="shared" si="145"/>
        <v>2.05145</v>
      </c>
      <c r="H119">
        <f t="shared" si="146"/>
        <v>3.9909699999999999</v>
      </c>
      <c r="I119">
        <f t="shared" si="148"/>
        <v>0.69301999999999997</v>
      </c>
      <c r="K119" s="67"/>
      <c r="L119" s="3">
        <v>-97.8</v>
      </c>
      <c r="M119" s="5">
        <f t="shared" ref="M119:M127" si="155">L119+98.2</f>
        <v>0.40000000000000568</v>
      </c>
      <c r="N119" s="5">
        <f t="shared" si="149"/>
        <v>24.754552179927092</v>
      </c>
      <c r="O119" s="5">
        <f t="shared" si="150"/>
        <v>8.4265601523038955E-2</v>
      </c>
      <c r="P119" s="4">
        <v>3</v>
      </c>
      <c r="Q119" s="5">
        <f t="shared" si="151"/>
        <v>3.9909699999999999</v>
      </c>
      <c r="R119" s="5">
        <f t="shared" si="151"/>
        <v>0.69301999999999997</v>
      </c>
      <c r="S119" s="5">
        <f t="shared" si="152"/>
        <v>4.4339676700000004</v>
      </c>
      <c r="T119" s="5">
        <f t="shared" si="153"/>
        <v>0.26603806020000004</v>
      </c>
      <c r="U119" s="5">
        <f t="shared" si="154"/>
        <v>0.60739283150684942</v>
      </c>
      <c r="V119" s="5">
        <f t="shared" si="147"/>
        <v>8.4265601523038955E-2</v>
      </c>
    </row>
    <row r="120" spans="2:22" x14ac:dyDescent="0.3">
      <c r="B120">
        <v>4</v>
      </c>
      <c r="C120">
        <v>26531.4</v>
      </c>
      <c r="D120">
        <v>38010.1</v>
      </c>
      <c r="E120">
        <v>4395.8</v>
      </c>
      <c r="F120">
        <f t="shared" si="144"/>
        <v>3.8010099999999998</v>
      </c>
      <c r="G120">
        <f t="shared" si="145"/>
        <v>2.6531400000000001</v>
      </c>
      <c r="H120">
        <f t="shared" si="146"/>
        <v>1.1478699999999997</v>
      </c>
      <c r="I120">
        <f t="shared" si="148"/>
        <v>0.43958000000000003</v>
      </c>
      <c r="K120" s="67"/>
      <c r="L120" s="3">
        <v>-97.2</v>
      </c>
      <c r="M120" s="5">
        <f t="shared" si="155"/>
        <v>1</v>
      </c>
      <c r="N120" s="5">
        <f t="shared" si="149"/>
        <v>31.807899949628325</v>
      </c>
      <c r="O120" s="5">
        <f t="shared" si="150"/>
        <v>5.1037627788279319E-2</v>
      </c>
      <c r="P120" s="4">
        <v>3</v>
      </c>
      <c r="Q120" s="5">
        <f t="shared" si="151"/>
        <v>1.1478699999999997</v>
      </c>
      <c r="R120" s="5">
        <f t="shared" si="151"/>
        <v>0.43958000000000003</v>
      </c>
      <c r="S120" s="5">
        <f t="shared" si="152"/>
        <v>1.2752835699999998</v>
      </c>
      <c r="T120" s="5">
        <f t="shared" si="153"/>
        <v>7.6517014199999983E-2</v>
      </c>
      <c r="U120" s="5">
        <f t="shared" si="154"/>
        <v>0.17469637945205477</v>
      </c>
      <c r="V120" s="5">
        <f t="shared" si="147"/>
        <v>5.1037627788279319E-2</v>
      </c>
    </row>
    <row r="121" spans="2:22" x14ac:dyDescent="0.3">
      <c r="B121">
        <v>5</v>
      </c>
      <c r="C121">
        <v>0</v>
      </c>
      <c r="D121">
        <v>0</v>
      </c>
      <c r="E121">
        <v>0</v>
      </c>
      <c r="F121">
        <f t="shared" si="144"/>
        <v>0</v>
      </c>
      <c r="G121">
        <f t="shared" si="145"/>
        <v>0</v>
      </c>
      <c r="H121">
        <f t="shared" si="146"/>
        <v>0</v>
      </c>
      <c r="I121">
        <f t="shared" si="148"/>
        <v>0</v>
      </c>
      <c r="K121" s="67"/>
      <c r="L121" s="3">
        <v>-96.8</v>
      </c>
      <c r="M121" s="5">
        <f t="shared" si="155"/>
        <v>1.4000000000000057</v>
      </c>
      <c r="N121" s="5">
        <f t="shared" si="149"/>
        <v>37.414240753916886</v>
      </c>
      <c r="O121" s="5">
        <f t="shared" si="150"/>
        <v>3.6888126675786281E-2</v>
      </c>
      <c r="P121" s="4">
        <v>3</v>
      </c>
      <c r="Q121" s="5">
        <f t="shared" si="151"/>
        <v>0</v>
      </c>
      <c r="R121" s="5">
        <f t="shared" si="151"/>
        <v>0</v>
      </c>
      <c r="S121" s="5">
        <f t="shared" si="152"/>
        <v>0</v>
      </c>
      <c r="T121" s="5">
        <f t="shared" si="153"/>
        <v>0</v>
      </c>
      <c r="U121" s="5">
        <f t="shared" si="154"/>
        <v>0</v>
      </c>
      <c r="V121" s="5">
        <f t="shared" si="147"/>
        <v>3.6888126675786281E-2</v>
      </c>
    </row>
    <row r="122" spans="2:22" x14ac:dyDescent="0.3">
      <c r="B122">
        <v>6</v>
      </c>
      <c r="C122">
        <v>0</v>
      </c>
      <c r="D122">
        <v>0</v>
      </c>
      <c r="E122">
        <v>0</v>
      </c>
      <c r="F122">
        <f t="shared" si="144"/>
        <v>0</v>
      </c>
      <c r="G122">
        <f t="shared" si="145"/>
        <v>0</v>
      </c>
      <c r="H122">
        <f t="shared" si="146"/>
        <v>0</v>
      </c>
      <c r="I122">
        <f t="shared" si="148"/>
        <v>0</v>
      </c>
      <c r="K122" s="67"/>
      <c r="L122" s="3">
        <v>-96.3</v>
      </c>
      <c r="M122" s="5">
        <f t="shared" si="155"/>
        <v>1.9000000000000057</v>
      </c>
      <c r="N122" s="5">
        <f t="shared" si="149"/>
        <v>44.970060517830404</v>
      </c>
      <c r="O122" s="5">
        <f t="shared" si="150"/>
        <v>2.5533686956653145E-2</v>
      </c>
      <c r="P122" s="4">
        <v>4</v>
      </c>
      <c r="Q122" s="5">
        <f t="shared" si="151"/>
        <v>0</v>
      </c>
      <c r="R122" s="5">
        <f t="shared" si="151"/>
        <v>0</v>
      </c>
      <c r="S122" s="5">
        <f t="shared" si="152"/>
        <v>0</v>
      </c>
      <c r="T122" s="5">
        <f t="shared" si="153"/>
        <v>0</v>
      </c>
      <c r="U122" s="5">
        <f t="shared" si="154"/>
        <v>0</v>
      </c>
      <c r="V122" s="5">
        <f t="shared" si="147"/>
        <v>2.5533686956653145E-2</v>
      </c>
    </row>
    <row r="123" spans="2:22" x14ac:dyDescent="0.3">
      <c r="B123">
        <v>7</v>
      </c>
      <c r="C123">
        <v>0</v>
      </c>
      <c r="D123">
        <v>0</v>
      </c>
      <c r="E123">
        <v>0</v>
      </c>
      <c r="F123">
        <f t="shared" si="144"/>
        <v>0</v>
      </c>
      <c r="G123">
        <f t="shared" si="145"/>
        <v>0</v>
      </c>
      <c r="H123">
        <f t="shared" si="146"/>
        <v>0</v>
      </c>
      <c r="I123">
        <f t="shared" si="148"/>
        <v>0</v>
      </c>
      <c r="K123" s="67"/>
      <c r="L123" s="3">
        <v>-95.8</v>
      </c>
      <c r="M123" s="5">
        <f t="shared" si="155"/>
        <v>2.4000000000000057</v>
      </c>
      <c r="N123" s="5">
        <f t="shared" si="149"/>
        <v>52.890724234957723</v>
      </c>
      <c r="O123" s="5">
        <f t="shared" si="150"/>
        <v>1.8458714213389852E-2</v>
      </c>
      <c r="P123" s="4">
        <v>4</v>
      </c>
      <c r="Q123" s="5">
        <f t="shared" si="151"/>
        <v>0</v>
      </c>
      <c r="R123" s="5">
        <f t="shared" si="151"/>
        <v>0</v>
      </c>
      <c r="S123" s="5">
        <f t="shared" si="152"/>
        <v>0</v>
      </c>
      <c r="T123" s="5">
        <f t="shared" si="153"/>
        <v>0</v>
      </c>
      <c r="U123" s="5">
        <f t="shared" si="154"/>
        <v>0</v>
      </c>
      <c r="V123" s="5">
        <f t="shared" si="147"/>
        <v>1.8458714213389852E-2</v>
      </c>
    </row>
    <row r="124" spans="2:22" x14ac:dyDescent="0.3">
      <c r="B124">
        <v>8</v>
      </c>
      <c r="C124">
        <v>0</v>
      </c>
      <c r="D124">
        <v>0</v>
      </c>
      <c r="E124">
        <v>0</v>
      </c>
      <c r="F124">
        <f t="shared" si="144"/>
        <v>0</v>
      </c>
      <c r="G124">
        <f t="shared" si="145"/>
        <v>0</v>
      </c>
      <c r="H124">
        <f t="shared" si="146"/>
        <v>0</v>
      </c>
      <c r="I124">
        <f t="shared" si="148"/>
        <v>0</v>
      </c>
      <c r="K124" s="67"/>
      <c r="L124" s="3">
        <v>-95.5</v>
      </c>
      <c r="M124" s="5">
        <f t="shared" si="155"/>
        <v>2.7000000000000028</v>
      </c>
      <c r="N124" s="5">
        <f t="shared" si="149"/>
        <v>57.756125383651771</v>
      </c>
      <c r="O124" s="5">
        <f t="shared" si="150"/>
        <v>1.5479765329378439E-2</v>
      </c>
      <c r="P124" s="4">
        <v>5</v>
      </c>
      <c r="Q124" s="5">
        <f t="shared" si="151"/>
        <v>0</v>
      </c>
      <c r="R124" s="5">
        <f t="shared" si="151"/>
        <v>0</v>
      </c>
      <c r="S124" s="5">
        <f t="shared" si="152"/>
        <v>0</v>
      </c>
      <c r="T124" s="5">
        <f t="shared" si="153"/>
        <v>0</v>
      </c>
      <c r="U124" s="5">
        <f t="shared" si="154"/>
        <v>0</v>
      </c>
      <c r="V124" s="5">
        <f t="shared" si="147"/>
        <v>1.5479765329378439E-2</v>
      </c>
    </row>
    <row r="125" spans="2:22" x14ac:dyDescent="0.3">
      <c r="B125">
        <v>9</v>
      </c>
      <c r="C125">
        <v>0</v>
      </c>
      <c r="D125">
        <v>0</v>
      </c>
      <c r="E125">
        <v>0</v>
      </c>
      <c r="F125">
        <f t="shared" si="144"/>
        <v>0</v>
      </c>
      <c r="G125">
        <f t="shared" si="145"/>
        <v>0</v>
      </c>
      <c r="H125">
        <f t="shared" si="146"/>
        <v>0</v>
      </c>
      <c r="I125">
        <f t="shared" si="148"/>
        <v>0</v>
      </c>
      <c r="K125" s="67"/>
      <c r="L125" s="5">
        <v>-95.1</v>
      </c>
      <c r="M125" s="5">
        <f t="shared" si="155"/>
        <v>3.1000000000000085</v>
      </c>
      <c r="N125" s="5">
        <f t="shared" si="149"/>
        <v>64.335352920706185</v>
      </c>
      <c r="O125" s="5">
        <f t="shared" si="150"/>
        <v>1.2475590134770533E-2</v>
      </c>
      <c r="P125" s="4">
        <v>8</v>
      </c>
      <c r="Q125" s="5">
        <f t="shared" si="151"/>
        <v>0</v>
      </c>
      <c r="R125" s="5">
        <f t="shared" si="151"/>
        <v>0</v>
      </c>
      <c r="S125" s="5">
        <f t="shared" si="152"/>
        <v>0</v>
      </c>
      <c r="T125" s="5">
        <f t="shared" si="153"/>
        <v>0</v>
      </c>
      <c r="U125" s="5">
        <f t="shared" si="154"/>
        <v>0</v>
      </c>
      <c r="V125" s="5">
        <f t="shared" si="147"/>
        <v>1.2475590134770533E-2</v>
      </c>
    </row>
    <row r="126" spans="2:22" x14ac:dyDescent="0.3">
      <c r="B126">
        <v>10</v>
      </c>
      <c r="C126">
        <v>0</v>
      </c>
      <c r="D126">
        <v>0</v>
      </c>
      <c r="E126">
        <v>0</v>
      </c>
      <c r="F126">
        <f t="shared" si="144"/>
        <v>0</v>
      </c>
      <c r="G126">
        <f t="shared" si="145"/>
        <v>0</v>
      </c>
      <c r="H126">
        <f t="shared" si="146"/>
        <v>0</v>
      </c>
      <c r="I126">
        <f t="shared" si="148"/>
        <v>0</v>
      </c>
      <c r="K126" s="67"/>
      <c r="L126" s="5">
        <v>-94.399999999999991</v>
      </c>
      <c r="M126" s="5">
        <f t="shared" si="155"/>
        <v>3.8000000000000114</v>
      </c>
      <c r="N126" s="5">
        <f t="shared" si="149"/>
        <v>76.025152245972833</v>
      </c>
      <c r="O126" s="5">
        <f t="shared" si="150"/>
        <v>8.9339985284867182E-3</v>
      </c>
      <c r="P126" s="4">
        <v>14</v>
      </c>
      <c r="Q126" s="5">
        <f t="shared" si="151"/>
        <v>0</v>
      </c>
      <c r="R126" s="5">
        <f t="shared" si="151"/>
        <v>0</v>
      </c>
      <c r="S126" s="5">
        <f t="shared" si="152"/>
        <v>0</v>
      </c>
      <c r="T126" s="5">
        <f t="shared" si="153"/>
        <v>0</v>
      </c>
      <c r="U126" s="5">
        <f t="shared" si="154"/>
        <v>0</v>
      </c>
      <c r="V126" s="5">
        <f t="shared" si="147"/>
        <v>8.9339985284867182E-3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44"/>
        <v>0</v>
      </c>
      <c r="G127">
        <f t="shared" si="145"/>
        <v>0</v>
      </c>
      <c r="H127">
        <f t="shared" si="146"/>
        <v>0</v>
      </c>
      <c r="I127">
        <f t="shared" si="148"/>
        <v>0</v>
      </c>
      <c r="K127" s="68"/>
      <c r="L127" s="6">
        <v>-93.3</v>
      </c>
      <c r="M127" s="6">
        <f t="shared" si="155"/>
        <v>4.9000000000000057</v>
      </c>
      <c r="N127" s="6">
        <f t="shared" si="149"/>
        <v>94.671337139281746</v>
      </c>
      <c r="O127" s="6">
        <f t="shared" si="150"/>
        <v>5.7613392824225583E-3</v>
      </c>
      <c r="P127" s="7">
        <v>21</v>
      </c>
      <c r="Q127" s="6">
        <f t="shared" si="151"/>
        <v>0</v>
      </c>
      <c r="R127" s="6">
        <f t="shared" si="151"/>
        <v>0</v>
      </c>
      <c r="S127" s="6">
        <f t="shared" si="152"/>
        <v>0</v>
      </c>
      <c r="T127" s="6">
        <f t="shared" si="153"/>
        <v>0</v>
      </c>
      <c r="U127" s="6">
        <f t="shared" si="154"/>
        <v>0</v>
      </c>
      <c r="V127" s="6">
        <f t="shared" si="147"/>
        <v>5.7613392824225583E-3</v>
      </c>
    </row>
    <row r="128" spans="2:22" ht="15" thickTop="1" x14ac:dyDescent="0.3"/>
    <row r="129" spans="2:22" ht="15" thickBot="1" x14ac:dyDescent="0.35"/>
    <row r="130" spans="2:22" ht="17.399999999999999" thickTop="1" thickBot="1" x14ac:dyDescent="0.35">
      <c r="B130" t="s">
        <v>16</v>
      </c>
      <c r="C130" t="s">
        <v>2</v>
      </c>
      <c r="D130" t="s">
        <v>1</v>
      </c>
      <c r="E130" t="s">
        <v>5</v>
      </c>
      <c r="F130" t="s">
        <v>0</v>
      </c>
      <c r="G130" t="s">
        <v>3</v>
      </c>
      <c r="H130" t="s">
        <v>4</v>
      </c>
      <c r="I130" t="s">
        <v>6</v>
      </c>
      <c r="K130" s="9" t="s">
        <v>31</v>
      </c>
      <c r="L130" s="10" t="s">
        <v>42</v>
      </c>
      <c r="M130" s="10" t="s">
        <v>43</v>
      </c>
      <c r="N130" s="10" t="s">
        <v>47</v>
      </c>
      <c r="O130" s="10" t="s">
        <v>44</v>
      </c>
      <c r="P130" s="10" t="s">
        <v>45</v>
      </c>
      <c r="Q130" s="10" t="s">
        <v>48</v>
      </c>
      <c r="R130" s="10" t="s">
        <v>49</v>
      </c>
      <c r="S130" s="13" t="s">
        <v>50</v>
      </c>
      <c r="T130" s="13" t="s">
        <v>52</v>
      </c>
      <c r="U130" s="13" t="s">
        <v>51</v>
      </c>
      <c r="V130" s="10" t="s">
        <v>44</v>
      </c>
    </row>
    <row r="131" spans="2:22" ht="15" thickTop="1" x14ac:dyDescent="0.3">
      <c r="B131">
        <v>1</v>
      </c>
      <c r="C131">
        <v>2975.5</v>
      </c>
      <c r="D131">
        <v>52551.6</v>
      </c>
      <c r="E131">
        <v>15148.4</v>
      </c>
      <c r="F131">
        <f t="shared" ref="F131:F141" si="156">D131/10000</f>
        <v>5.2551600000000001</v>
      </c>
      <c r="G131">
        <f t="shared" ref="G131:G141" si="157">C131/10000</f>
        <v>0.29754999999999998</v>
      </c>
      <c r="H131">
        <f t="shared" ref="H131:H141" si="158">F131-G131</f>
        <v>4.9576099999999999</v>
      </c>
      <c r="I131">
        <f>E131/10000</f>
        <v>1.51484</v>
      </c>
      <c r="K131" s="66">
        <v>15</v>
      </c>
      <c r="L131" s="1">
        <v>-98.2</v>
      </c>
      <c r="M131" s="8">
        <f>L131+98.2</f>
        <v>0</v>
      </c>
      <c r="N131" s="8">
        <f>20.56036*SQRT(1+((L131-(-98.58903))*1.03*1095.70644/(3.14159*20.56036^2))^2)</f>
        <v>21.654820206582954</v>
      </c>
      <c r="O131" s="8">
        <f>2*$Z$1/$Z$2/PI()/(N131*10^-4)^2/$K$131/$Z$7</f>
        <v>7.3410815755576536E-2</v>
      </c>
      <c r="P131" s="2">
        <v>3</v>
      </c>
      <c r="Q131" s="8">
        <f>H131</f>
        <v>4.9576099999999999</v>
      </c>
      <c r="R131" s="8">
        <f>I131</f>
        <v>1.51484</v>
      </c>
      <c r="S131" s="8">
        <f>Q131/10^6*$Z$4*$Z$3/P131*10^12</f>
        <v>5.50790471</v>
      </c>
      <c r="T131" s="8">
        <f>S131*0.06</f>
        <v>0.3304742826</v>
      </c>
      <c r="U131" s="8">
        <f>S131/$Z$1</f>
        <v>0.75450749452054799</v>
      </c>
      <c r="V131" s="12">
        <f t="shared" ref="V131:V141" si="159">O131</f>
        <v>7.3410815755576536E-2</v>
      </c>
    </row>
    <row r="132" spans="2:22" x14ac:dyDescent="0.3">
      <c r="B132">
        <v>2</v>
      </c>
      <c r="C132">
        <v>19876.5</v>
      </c>
      <c r="D132">
        <v>72496.2</v>
      </c>
      <c r="E132">
        <v>7851.1</v>
      </c>
      <c r="F132">
        <f t="shared" si="156"/>
        <v>7.2496199999999993</v>
      </c>
      <c r="G132">
        <f t="shared" si="157"/>
        <v>1.9876499999999999</v>
      </c>
      <c r="H132">
        <f t="shared" si="158"/>
        <v>5.2619699999999998</v>
      </c>
      <c r="I132">
        <f t="shared" ref="I132:I141" si="160">E132/10000</f>
        <v>0.78511000000000009</v>
      </c>
      <c r="K132" s="67"/>
      <c r="L132" s="3">
        <v>-98</v>
      </c>
      <c r="M132" s="5">
        <f>L132+98.2</f>
        <v>0.20000000000000284</v>
      </c>
      <c r="N132" s="5">
        <f t="shared" ref="N132:N141" si="161">20.56036*SQRT(1+((L132-(-98.58903))*1.03*1095.70644/(3.14159*20.56036^2))^2)</f>
        <v>22.992351577801337</v>
      </c>
      <c r="O132" s="5">
        <f t="shared" ref="O132:O141" si="162">2*$Z$1/$Z$2/PI()/(N132*10^-4)^2/$K$131/$Z$7</f>
        <v>6.5118206596242456E-2</v>
      </c>
      <c r="P132" s="4">
        <v>3</v>
      </c>
      <c r="Q132" s="5">
        <f t="shared" ref="Q132:R141" si="163">H132</f>
        <v>5.2619699999999998</v>
      </c>
      <c r="R132" s="5">
        <f t="shared" si="163"/>
        <v>0.78511000000000009</v>
      </c>
      <c r="S132" s="5">
        <f t="shared" ref="S132:S141" si="164">Q132/10^6*$Z$4*$Z$3/P132*10^12</f>
        <v>5.8460486700000018</v>
      </c>
      <c r="T132" s="5">
        <f t="shared" ref="T132:T141" si="165">S132*0.06</f>
        <v>0.35076292020000011</v>
      </c>
      <c r="U132" s="5">
        <f t="shared" ref="U132:U141" si="166">S132/$Z$1</f>
        <v>0.8008285849315071</v>
      </c>
      <c r="V132" s="5">
        <f t="shared" si="159"/>
        <v>6.5118206596242456E-2</v>
      </c>
    </row>
    <row r="133" spans="2:22" x14ac:dyDescent="0.3">
      <c r="B133">
        <v>3</v>
      </c>
      <c r="C133">
        <v>26274.5</v>
      </c>
      <c r="D133">
        <v>77993.600000000006</v>
      </c>
      <c r="E133">
        <v>5599.3</v>
      </c>
      <c r="F133">
        <f t="shared" si="156"/>
        <v>7.799360000000001</v>
      </c>
      <c r="G133">
        <f t="shared" si="157"/>
        <v>2.6274500000000001</v>
      </c>
      <c r="H133">
        <f t="shared" si="158"/>
        <v>5.1719100000000005</v>
      </c>
      <c r="I133">
        <f t="shared" si="160"/>
        <v>0.55993000000000004</v>
      </c>
      <c r="K133" s="67"/>
      <c r="L133" s="3">
        <v>-97.8</v>
      </c>
      <c r="M133" s="5">
        <f t="shared" ref="M133:M141" si="167">L133+98.2</f>
        <v>0.40000000000000568</v>
      </c>
      <c r="N133" s="5">
        <f t="shared" si="161"/>
        <v>24.754552179927092</v>
      </c>
      <c r="O133" s="5">
        <f t="shared" si="162"/>
        <v>5.6177067682025968E-2</v>
      </c>
      <c r="P133" s="4">
        <v>3</v>
      </c>
      <c r="Q133" s="5">
        <f t="shared" si="163"/>
        <v>5.1719100000000005</v>
      </c>
      <c r="R133" s="5">
        <f t="shared" si="163"/>
        <v>0.55993000000000004</v>
      </c>
      <c r="S133" s="5">
        <f t="shared" si="164"/>
        <v>5.7459920100000001</v>
      </c>
      <c r="T133" s="5">
        <f t="shared" si="165"/>
        <v>0.34475952059999998</v>
      </c>
      <c r="U133" s="5">
        <f t="shared" si="166"/>
        <v>0.78712219315068499</v>
      </c>
      <c r="V133" s="5">
        <f t="shared" si="159"/>
        <v>5.6177067682025968E-2</v>
      </c>
    </row>
    <row r="134" spans="2:22" x14ac:dyDescent="0.3">
      <c r="B134">
        <v>4</v>
      </c>
      <c r="C134">
        <v>24749.1</v>
      </c>
      <c r="D134">
        <v>65997.2</v>
      </c>
      <c r="E134">
        <v>5536.8</v>
      </c>
      <c r="F134">
        <f t="shared" si="156"/>
        <v>6.5997199999999996</v>
      </c>
      <c r="G134">
        <f t="shared" si="157"/>
        <v>2.4749099999999999</v>
      </c>
      <c r="H134">
        <f t="shared" si="158"/>
        <v>4.1248100000000001</v>
      </c>
      <c r="I134">
        <f t="shared" si="160"/>
        <v>0.55368000000000006</v>
      </c>
      <c r="K134" s="67"/>
      <c r="L134" s="3">
        <v>-97.2</v>
      </c>
      <c r="M134" s="5">
        <f t="shared" si="167"/>
        <v>1</v>
      </c>
      <c r="N134" s="5">
        <f t="shared" si="161"/>
        <v>31.807899949628325</v>
      </c>
      <c r="O134" s="5">
        <f t="shared" si="162"/>
        <v>3.4025085192186208E-2</v>
      </c>
      <c r="P134" s="4">
        <v>3</v>
      </c>
      <c r="Q134" s="5">
        <f t="shared" si="163"/>
        <v>4.1248100000000001</v>
      </c>
      <c r="R134" s="5">
        <f t="shared" si="163"/>
        <v>0.55368000000000006</v>
      </c>
      <c r="S134" s="5">
        <f t="shared" si="164"/>
        <v>4.58266391</v>
      </c>
      <c r="T134" s="5">
        <f t="shared" si="165"/>
        <v>0.27495983460000001</v>
      </c>
      <c r="U134" s="5">
        <f t="shared" si="166"/>
        <v>0.62776217945205481</v>
      </c>
      <c r="V134" s="5">
        <f t="shared" si="159"/>
        <v>3.4025085192186208E-2</v>
      </c>
    </row>
    <row r="135" spans="2:22" x14ac:dyDescent="0.3">
      <c r="B135">
        <v>5</v>
      </c>
      <c r="C135">
        <v>24522.3</v>
      </c>
      <c r="D135">
        <v>46588.5</v>
      </c>
      <c r="E135">
        <v>5572</v>
      </c>
      <c r="F135">
        <f t="shared" si="156"/>
        <v>4.6588500000000002</v>
      </c>
      <c r="G135">
        <f t="shared" si="157"/>
        <v>2.4522300000000001</v>
      </c>
      <c r="H135">
        <f t="shared" si="158"/>
        <v>2.20662</v>
      </c>
      <c r="I135">
        <f t="shared" si="160"/>
        <v>0.55720000000000003</v>
      </c>
      <c r="K135" s="67"/>
      <c r="L135" s="3">
        <v>-96.8</v>
      </c>
      <c r="M135" s="5">
        <f t="shared" si="167"/>
        <v>1.4000000000000057</v>
      </c>
      <c r="N135" s="5">
        <f t="shared" si="161"/>
        <v>37.414240753916886</v>
      </c>
      <c r="O135" s="5">
        <f t="shared" si="162"/>
        <v>2.4592084450524188E-2</v>
      </c>
      <c r="P135" s="4">
        <v>3</v>
      </c>
      <c r="Q135" s="5">
        <f t="shared" si="163"/>
        <v>2.20662</v>
      </c>
      <c r="R135" s="5">
        <f t="shared" si="163"/>
        <v>0.55720000000000003</v>
      </c>
      <c r="S135" s="5">
        <f t="shared" si="164"/>
        <v>2.4515548200000001</v>
      </c>
      <c r="T135" s="5">
        <f t="shared" si="165"/>
        <v>0.1470932892</v>
      </c>
      <c r="U135" s="5">
        <f t="shared" si="166"/>
        <v>0.33582942739726029</v>
      </c>
      <c r="V135" s="5">
        <f t="shared" si="159"/>
        <v>2.4592084450524188E-2</v>
      </c>
    </row>
    <row r="136" spans="2:22" x14ac:dyDescent="0.3">
      <c r="B136">
        <v>6</v>
      </c>
      <c r="C136">
        <v>0</v>
      </c>
      <c r="D136">
        <v>0</v>
      </c>
      <c r="E136">
        <v>0</v>
      </c>
      <c r="F136">
        <f t="shared" si="156"/>
        <v>0</v>
      </c>
      <c r="G136">
        <f t="shared" si="157"/>
        <v>0</v>
      </c>
      <c r="H136">
        <f t="shared" si="158"/>
        <v>0</v>
      </c>
      <c r="I136">
        <f t="shared" si="160"/>
        <v>0</v>
      </c>
      <c r="K136" s="67"/>
      <c r="L136" s="3">
        <v>-96.3</v>
      </c>
      <c r="M136" s="5">
        <f t="shared" si="167"/>
        <v>1.9000000000000057</v>
      </c>
      <c r="N136" s="5">
        <f t="shared" si="161"/>
        <v>44.970060517830404</v>
      </c>
      <c r="O136" s="5">
        <f t="shared" si="162"/>
        <v>1.7022457971102096E-2</v>
      </c>
      <c r="P136" s="4">
        <v>4</v>
      </c>
      <c r="Q136" s="5">
        <f t="shared" si="163"/>
        <v>0</v>
      </c>
      <c r="R136" s="5">
        <f t="shared" si="163"/>
        <v>0</v>
      </c>
      <c r="S136" s="5">
        <f t="shared" si="164"/>
        <v>0</v>
      </c>
      <c r="T136" s="5">
        <f t="shared" si="165"/>
        <v>0</v>
      </c>
      <c r="U136" s="5">
        <f t="shared" si="166"/>
        <v>0</v>
      </c>
      <c r="V136" s="5">
        <f t="shared" si="159"/>
        <v>1.7022457971102096E-2</v>
      </c>
    </row>
    <row r="137" spans="2:22" x14ac:dyDescent="0.3">
      <c r="B137">
        <v>7</v>
      </c>
      <c r="C137">
        <v>0</v>
      </c>
      <c r="D137">
        <v>0</v>
      </c>
      <c r="E137">
        <v>0</v>
      </c>
      <c r="F137">
        <f t="shared" si="156"/>
        <v>0</v>
      </c>
      <c r="G137">
        <f t="shared" si="157"/>
        <v>0</v>
      </c>
      <c r="H137">
        <f t="shared" si="158"/>
        <v>0</v>
      </c>
      <c r="I137">
        <f t="shared" si="160"/>
        <v>0</v>
      </c>
      <c r="K137" s="67"/>
      <c r="L137" s="3">
        <v>-95.8</v>
      </c>
      <c r="M137" s="5">
        <f t="shared" si="167"/>
        <v>2.4000000000000057</v>
      </c>
      <c r="N137" s="5">
        <f t="shared" si="161"/>
        <v>52.890724234957723</v>
      </c>
      <c r="O137" s="5">
        <f t="shared" si="162"/>
        <v>1.2305809475593234E-2</v>
      </c>
      <c r="P137" s="4">
        <v>4</v>
      </c>
      <c r="Q137" s="5">
        <f t="shared" si="163"/>
        <v>0</v>
      </c>
      <c r="R137" s="5">
        <f t="shared" si="163"/>
        <v>0</v>
      </c>
      <c r="S137" s="5">
        <f t="shared" si="164"/>
        <v>0</v>
      </c>
      <c r="T137" s="5">
        <f t="shared" si="165"/>
        <v>0</v>
      </c>
      <c r="U137" s="5">
        <f t="shared" si="166"/>
        <v>0</v>
      </c>
      <c r="V137" s="5">
        <f t="shared" si="159"/>
        <v>1.2305809475593234E-2</v>
      </c>
    </row>
    <row r="138" spans="2:22" x14ac:dyDescent="0.3">
      <c r="B138">
        <v>8</v>
      </c>
      <c r="C138">
        <v>0</v>
      </c>
      <c r="D138">
        <v>0</v>
      </c>
      <c r="E138">
        <v>0</v>
      </c>
      <c r="F138">
        <f t="shared" si="156"/>
        <v>0</v>
      </c>
      <c r="G138">
        <f t="shared" si="157"/>
        <v>0</v>
      </c>
      <c r="H138">
        <f t="shared" si="158"/>
        <v>0</v>
      </c>
      <c r="I138">
        <f t="shared" si="160"/>
        <v>0</v>
      </c>
      <c r="K138" s="67"/>
      <c r="L138" s="3">
        <v>-95.5</v>
      </c>
      <c r="M138" s="5">
        <f t="shared" si="167"/>
        <v>2.7000000000000028</v>
      </c>
      <c r="N138" s="5">
        <f t="shared" si="161"/>
        <v>57.756125383651771</v>
      </c>
      <c r="O138" s="5">
        <f t="shared" si="162"/>
        <v>1.0319843552918959E-2</v>
      </c>
      <c r="P138" s="4">
        <v>5</v>
      </c>
      <c r="Q138" s="5">
        <f t="shared" si="163"/>
        <v>0</v>
      </c>
      <c r="R138" s="5">
        <f t="shared" si="163"/>
        <v>0</v>
      </c>
      <c r="S138" s="5">
        <f t="shared" si="164"/>
        <v>0</v>
      </c>
      <c r="T138" s="5">
        <f t="shared" si="165"/>
        <v>0</v>
      </c>
      <c r="U138" s="5">
        <f t="shared" si="166"/>
        <v>0</v>
      </c>
      <c r="V138" s="5">
        <f t="shared" si="159"/>
        <v>1.0319843552918959E-2</v>
      </c>
    </row>
    <row r="139" spans="2:22" x14ac:dyDescent="0.3">
      <c r="B139">
        <v>9</v>
      </c>
      <c r="C139">
        <v>0</v>
      </c>
      <c r="D139">
        <v>0</v>
      </c>
      <c r="E139">
        <v>0</v>
      </c>
      <c r="F139">
        <f t="shared" si="156"/>
        <v>0</v>
      </c>
      <c r="G139">
        <f t="shared" si="157"/>
        <v>0</v>
      </c>
      <c r="H139">
        <f t="shared" si="158"/>
        <v>0</v>
      </c>
      <c r="I139">
        <f t="shared" si="160"/>
        <v>0</v>
      </c>
      <c r="K139" s="67"/>
      <c r="L139" s="5">
        <v>-95.1</v>
      </c>
      <c r="M139" s="5">
        <f t="shared" si="167"/>
        <v>3.1000000000000085</v>
      </c>
      <c r="N139" s="5">
        <f t="shared" si="161"/>
        <v>64.335352920706185</v>
      </c>
      <c r="O139" s="5">
        <f t="shared" si="162"/>
        <v>8.3170600898470233E-3</v>
      </c>
      <c r="P139" s="4">
        <v>8</v>
      </c>
      <c r="Q139" s="5">
        <f t="shared" si="163"/>
        <v>0</v>
      </c>
      <c r="R139" s="5">
        <f t="shared" si="163"/>
        <v>0</v>
      </c>
      <c r="S139" s="5">
        <f t="shared" si="164"/>
        <v>0</v>
      </c>
      <c r="T139" s="5">
        <f t="shared" si="165"/>
        <v>0</v>
      </c>
      <c r="U139" s="5">
        <f t="shared" si="166"/>
        <v>0</v>
      </c>
      <c r="V139" s="5">
        <f t="shared" si="159"/>
        <v>8.3170600898470233E-3</v>
      </c>
    </row>
    <row r="140" spans="2:22" x14ac:dyDescent="0.3">
      <c r="B140">
        <v>10</v>
      </c>
      <c r="C140">
        <v>0</v>
      </c>
      <c r="D140">
        <v>0</v>
      </c>
      <c r="E140">
        <v>0</v>
      </c>
      <c r="F140">
        <f t="shared" si="156"/>
        <v>0</v>
      </c>
      <c r="G140">
        <f t="shared" si="157"/>
        <v>0</v>
      </c>
      <c r="H140">
        <f t="shared" si="158"/>
        <v>0</v>
      </c>
      <c r="I140">
        <f t="shared" si="160"/>
        <v>0</v>
      </c>
      <c r="K140" s="67"/>
      <c r="L140" s="5">
        <v>-94.399999999999991</v>
      </c>
      <c r="M140" s="5">
        <f t="shared" si="167"/>
        <v>3.8000000000000114</v>
      </c>
      <c r="N140" s="5">
        <f t="shared" si="161"/>
        <v>76.025152245972833</v>
      </c>
      <c r="O140" s="5">
        <f t="shared" si="162"/>
        <v>5.9559990189911455E-3</v>
      </c>
      <c r="P140" s="4">
        <v>14</v>
      </c>
      <c r="Q140" s="5">
        <f t="shared" si="163"/>
        <v>0</v>
      </c>
      <c r="R140" s="5">
        <f t="shared" si="163"/>
        <v>0</v>
      </c>
      <c r="S140" s="5">
        <f t="shared" si="164"/>
        <v>0</v>
      </c>
      <c r="T140" s="5">
        <f t="shared" si="165"/>
        <v>0</v>
      </c>
      <c r="U140" s="5">
        <f t="shared" si="166"/>
        <v>0</v>
      </c>
      <c r="V140" s="5">
        <f t="shared" si="159"/>
        <v>5.9559990189911455E-3</v>
      </c>
    </row>
    <row r="141" spans="2:22" ht="15" thickBot="1" x14ac:dyDescent="0.35">
      <c r="B141">
        <v>11</v>
      </c>
      <c r="C141">
        <v>0</v>
      </c>
      <c r="D141">
        <v>0</v>
      </c>
      <c r="E141">
        <v>0</v>
      </c>
      <c r="F141">
        <f t="shared" si="156"/>
        <v>0</v>
      </c>
      <c r="G141">
        <f t="shared" si="157"/>
        <v>0</v>
      </c>
      <c r="H141">
        <f t="shared" si="158"/>
        <v>0</v>
      </c>
      <c r="I141">
        <f t="shared" si="160"/>
        <v>0</v>
      </c>
      <c r="K141" s="68"/>
      <c r="L141" s="6">
        <v>-93.3</v>
      </c>
      <c r="M141" s="6">
        <f t="shared" si="167"/>
        <v>4.9000000000000057</v>
      </c>
      <c r="N141" s="6">
        <f t="shared" si="161"/>
        <v>94.671337139281746</v>
      </c>
      <c r="O141" s="6">
        <f t="shared" si="162"/>
        <v>3.8408928549483723E-3</v>
      </c>
      <c r="P141" s="7">
        <v>21</v>
      </c>
      <c r="Q141" s="6">
        <f t="shared" si="163"/>
        <v>0</v>
      </c>
      <c r="R141" s="6">
        <f t="shared" si="163"/>
        <v>0</v>
      </c>
      <c r="S141" s="6">
        <f t="shared" si="164"/>
        <v>0</v>
      </c>
      <c r="T141" s="6">
        <f t="shared" si="165"/>
        <v>0</v>
      </c>
      <c r="U141" s="6">
        <f t="shared" si="166"/>
        <v>0</v>
      </c>
      <c r="V141" s="6">
        <f t="shared" si="159"/>
        <v>3.8408928549483723E-3</v>
      </c>
    </row>
    <row r="142" spans="2:22" ht="15" thickTop="1" x14ac:dyDescent="0.3"/>
    <row r="143" spans="2:22" ht="15" thickBot="1" x14ac:dyDescent="0.35"/>
    <row r="144" spans="2:22" ht="17.399999999999999" thickTop="1" thickBot="1" x14ac:dyDescent="0.35">
      <c r="B144" t="s">
        <v>17</v>
      </c>
      <c r="C144" t="s">
        <v>2</v>
      </c>
      <c r="D144" t="s">
        <v>1</v>
      </c>
      <c r="E144" t="s">
        <v>5</v>
      </c>
      <c r="F144" t="s">
        <v>0</v>
      </c>
      <c r="G144" t="s">
        <v>3</v>
      </c>
      <c r="H144" t="s">
        <v>4</v>
      </c>
      <c r="I144" t="s">
        <v>6</v>
      </c>
      <c r="K144" s="9" t="s">
        <v>31</v>
      </c>
      <c r="L144" s="10" t="s">
        <v>42</v>
      </c>
      <c r="M144" s="10" t="s">
        <v>43</v>
      </c>
      <c r="N144" s="10" t="s">
        <v>47</v>
      </c>
      <c r="O144" s="10" t="s">
        <v>44</v>
      </c>
      <c r="P144" s="10" t="s">
        <v>45</v>
      </c>
      <c r="Q144" s="10" t="s">
        <v>48</v>
      </c>
      <c r="R144" s="10" t="s">
        <v>49</v>
      </c>
      <c r="S144" s="13" t="s">
        <v>50</v>
      </c>
      <c r="T144" s="13" t="s">
        <v>52</v>
      </c>
      <c r="U144" s="13" t="s">
        <v>51</v>
      </c>
      <c r="V144" s="10" t="s">
        <v>44</v>
      </c>
    </row>
    <row r="145" spans="2:22" ht="15" thickTop="1" x14ac:dyDescent="0.3">
      <c r="B145">
        <v>1</v>
      </c>
      <c r="C145">
        <v>894.7</v>
      </c>
      <c r="D145">
        <v>36011.300000000003</v>
      </c>
      <c r="E145">
        <v>15898.1</v>
      </c>
      <c r="F145">
        <f t="shared" ref="F145:F155" si="168">D145/10000</f>
        <v>3.6011300000000004</v>
      </c>
      <c r="G145">
        <f t="shared" ref="G145:G155" si="169">C145/10000</f>
        <v>8.9470000000000008E-2</v>
      </c>
      <c r="H145">
        <f t="shared" ref="H145:H155" si="170">F145-G145</f>
        <v>3.5116600000000004</v>
      </c>
      <c r="I145">
        <f>E145/10000</f>
        <v>1.5898099999999999</v>
      </c>
      <c r="K145" s="66">
        <v>20</v>
      </c>
      <c r="L145" s="1">
        <v>-98.2</v>
      </c>
      <c r="M145" s="8">
        <f>L145+98.2</f>
        <v>0</v>
      </c>
      <c r="N145" s="8">
        <f>20.56036*SQRT(1+((L145-(-98.58903))*1.03*1095.70644/(3.14159*20.56036^2))^2)</f>
        <v>21.654820206582954</v>
      </c>
      <c r="O145" s="8">
        <f>2*$Z$1/$Z$2/PI()/(N145*10^-4)^2/$K$145/$Z$7</f>
        <v>5.5058111816682395E-2</v>
      </c>
      <c r="P145" s="2">
        <v>3</v>
      </c>
      <c r="Q145" s="8">
        <f>H145</f>
        <v>3.5116600000000004</v>
      </c>
      <c r="R145" s="8">
        <f>I145</f>
        <v>1.5898099999999999</v>
      </c>
      <c r="S145" s="8">
        <f>Q145/10^6*$Z$4*$Z$3/P145*10^12</f>
        <v>3.9014542600000008</v>
      </c>
      <c r="T145" s="8">
        <f>S145*0.06</f>
        <v>0.23408725560000004</v>
      </c>
      <c r="U145" s="8">
        <f>S145/$Z$1</f>
        <v>0.53444578904109596</v>
      </c>
      <c r="V145" s="12">
        <f t="shared" ref="V145:V155" si="171">O145</f>
        <v>5.5058111816682395E-2</v>
      </c>
    </row>
    <row r="146" spans="2:22" x14ac:dyDescent="0.3">
      <c r="B146">
        <v>2</v>
      </c>
      <c r="C146">
        <v>3811.3</v>
      </c>
      <c r="D146">
        <v>47751.7</v>
      </c>
      <c r="E146">
        <v>6737.4</v>
      </c>
      <c r="F146">
        <f t="shared" si="168"/>
        <v>4.7751700000000001</v>
      </c>
      <c r="G146">
        <f t="shared" si="169"/>
        <v>0.38113000000000002</v>
      </c>
      <c r="H146">
        <f t="shared" si="170"/>
        <v>4.3940400000000004</v>
      </c>
      <c r="I146">
        <f t="shared" ref="I146:I155" si="172">E146/10000</f>
        <v>0.67374000000000001</v>
      </c>
      <c r="K146" s="67"/>
      <c r="L146" s="3">
        <v>-98</v>
      </c>
      <c r="M146" s="5">
        <f>L146+98.2</f>
        <v>0.20000000000000284</v>
      </c>
      <c r="N146" s="5">
        <f t="shared" ref="N146:N155" si="173">20.56036*SQRT(1+((L146-(-98.58903))*1.03*1095.70644/(3.14159*20.56036^2))^2)</f>
        <v>22.992351577801337</v>
      </c>
      <c r="O146" s="5">
        <f t="shared" ref="O146:O155" si="174">2*$Z$1/$Z$2/PI()/(N146*10^-4)^2/$K$145/$Z$7</f>
        <v>4.8838654947181842E-2</v>
      </c>
      <c r="P146" s="4">
        <v>3</v>
      </c>
      <c r="Q146" s="5">
        <f t="shared" ref="Q146:R155" si="175">H146</f>
        <v>4.3940400000000004</v>
      </c>
      <c r="R146" s="5">
        <f t="shared" si="175"/>
        <v>0.67374000000000001</v>
      </c>
      <c r="S146" s="5">
        <f t="shared" ref="S146:S155" si="176">Q146/10^6*$Z$4*$Z$3/P146*10^12</f>
        <v>4.8817784400000006</v>
      </c>
      <c r="T146" s="5">
        <f t="shared" ref="T146:T155" si="177">S146*0.06</f>
        <v>0.29290670640000005</v>
      </c>
      <c r="U146" s="5">
        <f t="shared" ref="U146:U155" si="178">S146/$Z$1</f>
        <v>0.66873677260273978</v>
      </c>
      <c r="V146" s="5">
        <f t="shared" si="171"/>
        <v>4.8838654947181842E-2</v>
      </c>
    </row>
    <row r="147" spans="2:22" x14ac:dyDescent="0.3">
      <c r="B147">
        <v>3</v>
      </c>
      <c r="C147">
        <v>1172.7</v>
      </c>
      <c r="D147">
        <v>53861.1</v>
      </c>
      <c r="E147">
        <v>7676.9</v>
      </c>
      <c r="F147">
        <f t="shared" si="168"/>
        <v>5.3861099999999995</v>
      </c>
      <c r="G147">
        <f t="shared" si="169"/>
        <v>0.11727</v>
      </c>
      <c r="H147">
        <f t="shared" si="170"/>
        <v>5.2688399999999991</v>
      </c>
      <c r="I147">
        <f t="shared" si="172"/>
        <v>0.76768999999999998</v>
      </c>
      <c r="K147" s="67"/>
      <c r="L147" s="3">
        <v>-97.8</v>
      </c>
      <c r="M147" s="5">
        <f t="shared" ref="M147:M155" si="179">L147+98.2</f>
        <v>0.40000000000000568</v>
      </c>
      <c r="N147" s="5">
        <f t="shared" si="173"/>
        <v>24.754552179927092</v>
      </c>
      <c r="O147" s="5">
        <f t="shared" si="174"/>
        <v>4.2132800761519477E-2</v>
      </c>
      <c r="P147" s="4">
        <v>3</v>
      </c>
      <c r="Q147" s="5">
        <f t="shared" si="175"/>
        <v>5.2688399999999991</v>
      </c>
      <c r="R147" s="5">
        <f t="shared" si="175"/>
        <v>0.76768999999999998</v>
      </c>
      <c r="S147" s="5">
        <f t="shared" si="176"/>
        <v>5.8536812399999985</v>
      </c>
      <c r="T147" s="5">
        <f t="shared" si="177"/>
        <v>0.35122087439999988</v>
      </c>
      <c r="U147" s="5">
        <f t="shared" si="178"/>
        <v>0.80187414246575328</v>
      </c>
      <c r="V147" s="5">
        <f t="shared" si="171"/>
        <v>4.2132800761519477E-2</v>
      </c>
    </row>
    <row r="148" spans="2:22" x14ac:dyDescent="0.3">
      <c r="B148">
        <v>4</v>
      </c>
      <c r="C148">
        <v>3500.6</v>
      </c>
      <c r="D148">
        <v>38908.699999999997</v>
      </c>
      <c r="E148">
        <v>7696.1</v>
      </c>
      <c r="F148">
        <f t="shared" si="168"/>
        <v>3.8908699999999996</v>
      </c>
      <c r="G148">
        <f t="shared" si="169"/>
        <v>0.35005999999999998</v>
      </c>
      <c r="H148">
        <f t="shared" si="170"/>
        <v>3.5408099999999996</v>
      </c>
      <c r="I148">
        <f t="shared" si="172"/>
        <v>0.76961000000000002</v>
      </c>
      <c r="K148" s="67"/>
      <c r="L148" s="3">
        <v>-97.2</v>
      </c>
      <c r="M148" s="5">
        <f t="shared" si="179"/>
        <v>1</v>
      </c>
      <c r="N148" s="5">
        <f t="shared" si="173"/>
        <v>31.807899949628325</v>
      </c>
      <c r="O148" s="5">
        <f t="shared" si="174"/>
        <v>2.5518813894139659E-2</v>
      </c>
      <c r="P148" s="4">
        <v>3</v>
      </c>
      <c r="Q148" s="5">
        <f t="shared" si="175"/>
        <v>3.5408099999999996</v>
      </c>
      <c r="R148" s="5">
        <f t="shared" si="175"/>
        <v>0.76961000000000002</v>
      </c>
      <c r="S148" s="5">
        <f t="shared" si="176"/>
        <v>3.9338399100000001</v>
      </c>
      <c r="T148" s="5">
        <f t="shared" si="177"/>
        <v>0.2360303946</v>
      </c>
      <c r="U148" s="5">
        <f t="shared" si="178"/>
        <v>0.53888217945205485</v>
      </c>
      <c r="V148" s="5">
        <f t="shared" si="171"/>
        <v>2.5518813894139659E-2</v>
      </c>
    </row>
    <row r="149" spans="2:22" x14ac:dyDescent="0.3">
      <c r="B149">
        <v>5</v>
      </c>
      <c r="C149">
        <v>4487.3</v>
      </c>
      <c r="D149">
        <v>28803.599999999999</v>
      </c>
      <c r="E149">
        <v>6683.2</v>
      </c>
      <c r="F149">
        <f t="shared" si="168"/>
        <v>2.88036</v>
      </c>
      <c r="G149">
        <f t="shared" si="169"/>
        <v>0.44873000000000002</v>
      </c>
      <c r="H149">
        <f t="shared" si="170"/>
        <v>2.4316300000000002</v>
      </c>
      <c r="I149">
        <f t="shared" si="172"/>
        <v>0.66832000000000003</v>
      </c>
      <c r="K149" s="67"/>
      <c r="L149" s="3">
        <v>-96.8</v>
      </c>
      <c r="M149" s="5">
        <f t="shared" si="179"/>
        <v>1.4000000000000057</v>
      </c>
      <c r="N149" s="5">
        <f t="shared" si="173"/>
        <v>37.414240753916886</v>
      </c>
      <c r="O149" s="5">
        <f t="shared" si="174"/>
        <v>1.8444063337893141E-2</v>
      </c>
      <c r="P149" s="4">
        <v>3</v>
      </c>
      <c r="Q149" s="5">
        <f t="shared" si="175"/>
        <v>2.4316300000000002</v>
      </c>
      <c r="R149" s="5">
        <f t="shared" si="175"/>
        <v>0.66832000000000003</v>
      </c>
      <c r="S149" s="5">
        <f t="shared" si="176"/>
        <v>2.7015409300000006</v>
      </c>
      <c r="T149" s="5">
        <f t="shared" si="177"/>
        <v>0.16209245580000003</v>
      </c>
      <c r="U149" s="5">
        <f t="shared" si="178"/>
        <v>0.37007410000000007</v>
      </c>
      <c r="V149" s="5">
        <f t="shared" si="171"/>
        <v>1.8444063337893141E-2</v>
      </c>
    </row>
    <row r="150" spans="2:22" x14ac:dyDescent="0.3">
      <c r="B150">
        <v>6</v>
      </c>
      <c r="C150">
        <v>0</v>
      </c>
      <c r="D150">
        <v>0</v>
      </c>
      <c r="E150">
        <v>0</v>
      </c>
      <c r="F150">
        <f t="shared" si="168"/>
        <v>0</v>
      </c>
      <c r="G150">
        <f t="shared" si="169"/>
        <v>0</v>
      </c>
      <c r="H150">
        <f t="shared" si="170"/>
        <v>0</v>
      </c>
      <c r="I150">
        <f t="shared" si="172"/>
        <v>0</v>
      </c>
      <c r="K150" s="67"/>
      <c r="L150" s="3">
        <v>-96.3</v>
      </c>
      <c r="M150" s="5">
        <f t="shared" si="179"/>
        <v>1.9000000000000057</v>
      </c>
      <c r="N150" s="5">
        <f t="shared" si="173"/>
        <v>44.970060517830404</v>
      </c>
      <c r="O150" s="5">
        <f t="shared" si="174"/>
        <v>1.2766843478326573E-2</v>
      </c>
      <c r="P150" s="4">
        <v>4</v>
      </c>
      <c r="Q150" s="5">
        <f t="shared" si="175"/>
        <v>0</v>
      </c>
      <c r="R150" s="5">
        <f t="shared" si="175"/>
        <v>0</v>
      </c>
      <c r="S150" s="5">
        <f t="shared" si="176"/>
        <v>0</v>
      </c>
      <c r="T150" s="5">
        <f t="shared" si="177"/>
        <v>0</v>
      </c>
      <c r="U150" s="5">
        <f t="shared" si="178"/>
        <v>0</v>
      </c>
      <c r="V150" s="5">
        <f t="shared" si="171"/>
        <v>1.2766843478326573E-2</v>
      </c>
    </row>
    <row r="151" spans="2:22" x14ac:dyDescent="0.3">
      <c r="B151">
        <v>7</v>
      </c>
      <c r="C151">
        <v>0</v>
      </c>
      <c r="D151">
        <v>0</v>
      </c>
      <c r="E151">
        <v>0</v>
      </c>
      <c r="F151">
        <f t="shared" si="168"/>
        <v>0</v>
      </c>
      <c r="G151">
        <f t="shared" si="169"/>
        <v>0</v>
      </c>
      <c r="H151">
        <f t="shared" si="170"/>
        <v>0</v>
      </c>
      <c r="I151">
        <f t="shared" si="172"/>
        <v>0</v>
      </c>
      <c r="K151" s="67"/>
      <c r="L151" s="3">
        <v>-95.8</v>
      </c>
      <c r="M151" s="5">
        <f t="shared" si="179"/>
        <v>2.4000000000000057</v>
      </c>
      <c r="N151" s="5">
        <f t="shared" si="173"/>
        <v>52.890724234957723</v>
      </c>
      <c r="O151" s="5">
        <f t="shared" si="174"/>
        <v>9.229357106694926E-3</v>
      </c>
      <c r="P151" s="4">
        <v>4</v>
      </c>
      <c r="Q151" s="5">
        <f t="shared" si="175"/>
        <v>0</v>
      </c>
      <c r="R151" s="5">
        <f t="shared" si="175"/>
        <v>0</v>
      </c>
      <c r="S151" s="5">
        <f t="shared" si="176"/>
        <v>0</v>
      </c>
      <c r="T151" s="5">
        <f t="shared" si="177"/>
        <v>0</v>
      </c>
      <c r="U151" s="5">
        <f t="shared" si="178"/>
        <v>0</v>
      </c>
      <c r="V151" s="5">
        <f t="shared" si="171"/>
        <v>9.229357106694926E-3</v>
      </c>
    </row>
    <row r="152" spans="2:22" x14ac:dyDescent="0.3">
      <c r="B152">
        <v>8</v>
      </c>
      <c r="C152">
        <v>0</v>
      </c>
      <c r="D152">
        <v>0</v>
      </c>
      <c r="E152">
        <v>0</v>
      </c>
      <c r="F152">
        <f t="shared" si="168"/>
        <v>0</v>
      </c>
      <c r="G152">
        <f t="shared" si="169"/>
        <v>0</v>
      </c>
      <c r="H152">
        <f t="shared" si="170"/>
        <v>0</v>
      </c>
      <c r="I152">
        <f t="shared" si="172"/>
        <v>0</v>
      </c>
      <c r="K152" s="67"/>
      <c r="L152" s="3">
        <v>-95.5</v>
      </c>
      <c r="M152" s="5">
        <f t="shared" si="179"/>
        <v>2.7000000000000028</v>
      </c>
      <c r="N152" s="5">
        <f t="shared" si="173"/>
        <v>57.756125383651771</v>
      </c>
      <c r="O152" s="5">
        <f t="shared" si="174"/>
        <v>7.7398826646892195E-3</v>
      </c>
      <c r="P152" s="4">
        <v>5</v>
      </c>
      <c r="Q152" s="5">
        <f t="shared" si="175"/>
        <v>0</v>
      </c>
      <c r="R152" s="5">
        <f t="shared" si="175"/>
        <v>0</v>
      </c>
      <c r="S152" s="5">
        <f t="shared" si="176"/>
        <v>0</v>
      </c>
      <c r="T152" s="5">
        <f t="shared" si="177"/>
        <v>0</v>
      </c>
      <c r="U152" s="5">
        <f t="shared" si="178"/>
        <v>0</v>
      </c>
      <c r="V152" s="5">
        <f t="shared" si="171"/>
        <v>7.7398826646892195E-3</v>
      </c>
    </row>
    <row r="153" spans="2:22" x14ac:dyDescent="0.3">
      <c r="B153">
        <v>9</v>
      </c>
      <c r="C153">
        <v>0</v>
      </c>
      <c r="D153">
        <v>0</v>
      </c>
      <c r="E153">
        <v>0</v>
      </c>
      <c r="F153">
        <f t="shared" si="168"/>
        <v>0</v>
      </c>
      <c r="G153">
        <f t="shared" si="169"/>
        <v>0</v>
      </c>
      <c r="H153">
        <f t="shared" si="170"/>
        <v>0</v>
      </c>
      <c r="I153">
        <f t="shared" si="172"/>
        <v>0</v>
      </c>
      <c r="K153" s="67"/>
      <c r="L153" s="5">
        <v>-95.1</v>
      </c>
      <c r="M153" s="5">
        <f t="shared" si="179"/>
        <v>3.1000000000000085</v>
      </c>
      <c r="N153" s="5">
        <f t="shared" si="173"/>
        <v>64.335352920706185</v>
      </c>
      <c r="O153" s="5">
        <f t="shared" si="174"/>
        <v>6.2377950673852666E-3</v>
      </c>
      <c r="P153" s="4">
        <v>8</v>
      </c>
      <c r="Q153" s="5">
        <f t="shared" si="175"/>
        <v>0</v>
      </c>
      <c r="R153" s="5">
        <f t="shared" si="175"/>
        <v>0</v>
      </c>
      <c r="S153" s="5">
        <f t="shared" si="176"/>
        <v>0</v>
      </c>
      <c r="T153" s="5">
        <f t="shared" si="177"/>
        <v>0</v>
      </c>
      <c r="U153" s="5">
        <f t="shared" si="178"/>
        <v>0</v>
      </c>
      <c r="V153" s="5">
        <f t="shared" si="171"/>
        <v>6.2377950673852666E-3</v>
      </c>
    </row>
    <row r="154" spans="2:22" x14ac:dyDescent="0.3">
      <c r="B154">
        <v>10</v>
      </c>
      <c r="C154">
        <v>0</v>
      </c>
      <c r="D154">
        <v>0</v>
      </c>
      <c r="E154">
        <v>0</v>
      </c>
      <c r="F154">
        <f t="shared" si="168"/>
        <v>0</v>
      </c>
      <c r="G154">
        <f t="shared" si="169"/>
        <v>0</v>
      </c>
      <c r="H154">
        <f t="shared" si="170"/>
        <v>0</v>
      </c>
      <c r="I154">
        <f t="shared" si="172"/>
        <v>0</v>
      </c>
      <c r="K154" s="67"/>
      <c r="L154" s="5">
        <v>-94.399999999999991</v>
      </c>
      <c r="M154" s="5">
        <f t="shared" si="179"/>
        <v>3.8000000000000114</v>
      </c>
      <c r="N154" s="5">
        <f t="shared" si="173"/>
        <v>76.025152245972833</v>
      </c>
      <c r="O154" s="5">
        <f t="shared" si="174"/>
        <v>4.4669992642433591E-3</v>
      </c>
      <c r="P154" s="4">
        <v>14</v>
      </c>
      <c r="Q154" s="5">
        <f t="shared" si="175"/>
        <v>0</v>
      </c>
      <c r="R154" s="5">
        <f t="shared" si="175"/>
        <v>0</v>
      </c>
      <c r="S154" s="5">
        <f t="shared" si="176"/>
        <v>0</v>
      </c>
      <c r="T154" s="5">
        <f t="shared" si="177"/>
        <v>0</v>
      </c>
      <c r="U154" s="5">
        <f t="shared" si="178"/>
        <v>0</v>
      </c>
      <c r="V154" s="5">
        <f t="shared" si="171"/>
        <v>4.4669992642433591E-3</v>
      </c>
    </row>
    <row r="155" spans="2:22" ht="15" thickBot="1" x14ac:dyDescent="0.35">
      <c r="B155">
        <v>11</v>
      </c>
      <c r="C155">
        <v>0</v>
      </c>
      <c r="D155">
        <v>0</v>
      </c>
      <c r="E155">
        <v>0</v>
      </c>
      <c r="F155">
        <f t="shared" si="168"/>
        <v>0</v>
      </c>
      <c r="G155">
        <f t="shared" si="169"/>
        <v>0</v>
      </c>
      <c r="H155">
        <f t="shared" si="170"/>
        <v>0</v>
      </c>
      <c r="I155">
        <f t="shared" si="172"/>
        <v>0</v>
      </c>
      <c r="K155" s="68"/>
      <c r="L155" s="6">
        <v>-93.3</v>
      </c>
      <c r="M155" s="6">
        <f t="shared" si="179"/>
        <v>4.9000000000000057</v>
      </c>
      <c r="N155" s="6">
        <f t="shared" si="173"/>
        <v>94.671337139281746</v>
      </c>
      <c r="O155" s="6">
        <f t="shared" si="174"/>
        <v>2.8806696412112791E-3</v>
      </c>
      <c r="P155" s="7">
        <v>21</v>
      </c>
      <c r="Q155" s="6">
        <f t="shared" si="175"/>
        <v>0</v>
      </c>
      <c r="R155" s="6">
        <f t="shared" si="175"/>
        <v>0</v>
      </c>
      <c r="S155" s="6">
        <f t="shared" si="176"/>
        <v>0</v>
      </c>
      <c r="T155" s="6">
        <f t="shared" si="177"/>
        <v>0</v>
      </c>
      <c r="U155" s="6">
        <f t="shared" si="178"/>
        <v>0</v>
      </c>
      <c r="V155" s="6">
        <f t="shared" si="171"/>
        <v>2.8806696412112791E-3</v>
      </c>
    </row>
    <row r="156" spans="2:22" ht="15" thickTop="1" x14ac:dyDescent="0.3"/>
    <row r="157" spans="2:22" ht="15" thickBot="1" x14ac:dyDescent="0.35"/>
    <row r="158" spans="2:22" ht="17.399999999999999" thickTop="1" thickBot="1" x14ac:dyDescent="0.35">
      <c r="B158" t="s">
        <v>18</v>
      </c>
      <c r="C158" t="s">
        <v>2</v>
      </c>
      <c r="D158" t="s">
        <v>1</v>
      </c>
      <c r="E158" t="s">
        <v>5</v>
      </c>
      <c r="F158" t="s">
        <v>0</v>
      </c>
      <c r="G158" t="s">
        <v>3</v>
      </c>
      <c r="H158" t="s">
        <v>4</v>
      </c>
      <c r="I158" t="s">
        <v>6</v>
      </c>
      <c r="K158" s="9" t="s">
        <v>31</v>
      </c>
      <c r="L158" s="10" t="s">
        <v>42</v>
      </c>
      <c r="M158" s="10" t="s">
        <v>43</v>
      </c>
      <c r="N158" s="10" t="s">
        <v>47</v>
      </c>
      <c r="O158" s="10" t="s">
        <v>44</v>
      </c>
      <c r="P158" s="10" t="s">
        <v>45</v>
      </c>
      <c r="Q158" s="10" t="s">
        <v>48</v>
      </c>
      <c r="R158" s="10" t="s">
        <v>49</v>
      </c>
      <c r="S158" s="13" t="s">
        <v>50</v>
      </c>
      <c r="T158" s="13" t="s">
        <v>52</v>
      </c>
      <c r="U158" s="13" t="s">
        <v>51</v>
      </c>
      <c r="V158" s="10" t="s">
        <v>44</v>
      </c>
    </row>
    <row r="159" spans="2:22" ht="15" thickTop="1" x14ac:dyDescent="0.3">
      <c r="B159">
        <v>1</v>
      </c>
      <c r="C159">
        <v>4219.5</v>
      </c>
      <c r="D159">
        <v>28510.400000000001</v>
      </c>
      <c r="E159">
        <v>10999.7</v>
      </c>
      <c r="F159">
        <f t="shared" ref="F159:F169" si="180">D159/10000</f>
        <v>2.8510400000000002</v>
      </c>
      <c r="G159">
        <f t="shared" ref="G159:G169" si="181">C159/10000</f>
        <v>0.42194999999999999</v>
      </c>
      <c r="H159">
        <f t="shared" ref="H159:H169" si="182">F159-G159</f>
        <v>2.4290900000000004</v>
      </c>
      <c r="I159">
        <f>E159/10000</f>
        <v>1.0999700000000001</v>
      </c>
      <c r="K159" s="66">
        <v>25</v>
      </c>
      <c r="L159" s="1">
        <v>-98.2</v>
      </c>
      <c r="M159" s="8">
        <f>L159+98.2</f>
        <v>0</v>
      </c>
      <c r="N159" s="8">
        <f>20.56036*SQRT(1+((L159-(-98.58903))*1.03*1095.70644/(3.14159*20.56036^2))^2)</f>
        <v>21.654820206582954</v>
      </c>
      <c r="O159" s="8">
        <f>2*$Z$1/$Z$2/PI()/(N159*10^-4)^2/$K$159/$Z$7</f>
        <v>4.4046489453345918E-2</v>
      </c>
      <c r="P159" s="2">
        <v>3</v>
      </c>
      <c r="Q159" s="8">
        <f>H159</f>
        <v>2.4290900000000004</v>
      </c>
      <c r="R159" s="8">
        <f>I159</f>
        <v>1.0999700000000001</v>
      </c>
      <c r="S159" s="8">
        <f>Q159/10^6*$Z$4*$Z$3/P159*10^12</f>
        <v>2.6987189900000006</v>
      </c>
      <c r="T159" s="8">
        <f>S159*0.06</f>
        <v>0.16192313940000003</v>
      </c>
      <c r="U159" s="8">
        <f>S159/$Z$1</f>
        <v>0.36968753287671241</v>
      </c>
      <c r="V159" s="12">
        <f t="shared" ref="V159:V169" si="183">O159</f>
        <v>4.4046489453345918E-2</v>
      </c>
    </row>
    <row r="160" spans="2:22" x14ac:dyDescent="0.3">
      <c r="B160">
        <v>2</v>
      </c>
      <c r="C160">
        <v>1671.3</v>
      </c>
      <c r="D160">
        <v>34241.4</v>
      </c>
      <c r="E160">
        <v>10370.6</v>
      </c>
      <c r="F160">
        <f t="shared" si="180"/>
        <v>3.42414</v>
      </c>
      <c r="G160">
        <f t="shared" si="181"/>
        <v>0.16713</v>
      </c>
      <c r="H160">
        <f t="shared" si="182"/>
        <v>3.2570100000000002</v>
      </c>
      <c r="I160">
        <f t="shared" ref="I160:I169" si="184">E160/10000</f>
        <v>1.0370600000000001</v>
      </c>
      <c r="K160" s="67"/>
      <c r="L160" s="3">
        <v>-98</v>
      </c>
      <c r="M160" s="5">
        <f>L160+98.2</f>
        <v>0.20000000000000284</v>
      </c>
      <c r="N160" s="5">
        <f t="shared" ref="N160:N169" si="185">20.56036*SQRT(1+((L160-(-98.58903))*1.03*1095.70644/(3.14159*20.56036^2))^2)</f>
        <v>22.992351577801337</v>
      </c>
      <c r="O160" s="5">
        <f t="shared" ref="O160:O169" si="186">2*$Z$1/$Z$2/PI()/(N160*10^-4)^2/$K$159/$Z$7</f>
        <v>3.9070923957745467E-2</v>
      </c>
      <c r="P160" s="4">
        <v>3</v>
      </c>
      <c r="Q160" s="5">
        <f t="shared" ref="Q160:R169" si="187">H160</f>
        <v>3.2570100000000002</v>
      </c>
      <c r="R160" s="5">
        <f t="shared" si="187"/>
        <v>1.0370600000000001</v>
      </c>
      <c r="S160" s="5">
        <f t="shared" ref="S160:S169" si="188">Q160/10^6*$Z$4*$Z$3/P160*10^12</f>
        <v>3.6185381100000003</v>
      </c>
      <c r="T160" s="5">
        <f t="shared" ref="T160:T169" si="189">S160*0.06</f>
        <v>0.21711228660000001</v>
      </c>
      <c r="U160" s="5">
        <f t="shared" ref="U160:U169" si="190">S160/$Z$1</f>
        <v>0.49569015205479455</v>
      </c>
      <c r="V160" s="5">
        <f t="shared" si="183"/>
        <v>3.9070923957745467E-2</v>
      </c>
    </row>
    <row r="161" spans="2:22" x14ac:dyDescent="0.3">
      <c r="B161">
        <v>3</v>
      </c>
      <c r="C161">
        <v>-1391.6</v>
      </c>
      <c r="D161">
        <v>40630.300000000003</v>
      </c>
      <c r="E161">
        <v>7435.4</v>
      </c>
      <c r="F161">
        <f t="shared" si="180"/>
        <v>4.0630300000000004</v>
      </c>
      <c r="G161">
        <f t="shared" si="181"/>
        <v>-0.13915999999999998</v>
      </c>
      <c r="H161">
        <f t="shared" si="182"/>
        <v>4.2021900000000008</v>
      </c>
      <c r="I161">
        <f t="shared" si="184"/>
        <v>0.74353999999999998</v>
      </c>
      <c r="K161" s="67"/>
      <c r="L161" s="3">
        <v>-97.8</v>
      </c>
      <c r="M161" s="5">
        <f t="shared" ref="M161:M169" si="191">L161+98.2</f>
        <v>0.40000000000000568</v>
      </c>
      <c r="N161" s="5">
        <f t="shared" si="185"/>
        <v>24.754552179927092</v>
      </c>
      <c r="O161" s="5">
        <f t="shared" si="186"/>
        <v>3.3706240609215586E-2</v>
      </c>
      <c r="P161" s="4">
        <v>3</v>
      </c>
      <c r="Q161" s="5">
        <f t="shared" si="187"/>
        <v>4.2021900000000008</v>
      </c>
      <c r="R161" s="5">
        <f t="shared" si="187"/>
        <v>0.74353999999999998</v>
      </c>
      <c r="S161" s="5">
        <f t="shared" si="188"/>
        <v>4.6686330900000019</v>
      </c>
      <c r="T161" s="5">
        <f t="shared" si="189"/>
        <v>0.2801179854000001</v>
      </c>
      <c r="U161" s="5">
        <f t="shared" si="190"/>
        <v>0.63953877945205506</v>
      </c>
      <c r="V161" s="5">
        <f t="shared" si="183"/>
        <v>3.3706240609215586E-2</v>
      </c>
    </row>
    <row r="162" spans="2:22" x14ac:dyDescent="0.3">
      <c r="B162">
        <v>4</v>
      </c>
      <c r="C162">
        <v>3470.4</v>
      </c>
      <c r="D162">
        <v>26972</v>
      </c>
      <c r="E162">
        <v>7053.7</v>
      </c>
      <c r="F162">
        <f t="shared" si="180"/>
        <v>2.6972</v>
      </c>
      <c r="G162">
        <f t="shared" si="181"/>
        <v>0.34704000000000002</v>
      </c>
      <c r="H162">
        <f t="shared" si="182"/>
        <v>2.3501599999999998</v>
      </c>
      <c r="I162">
        <f t="shared" si="184"/>
        <v>0.70536999999999994</v>
      </c>
      <c r="K162" s="67"/>
      <c r="L162" s="3">
        <v>-97.2</v>
      </c>
      <c r="M162" s="5">
        <f t="shared" si="191"/>
        <v>1</v>
      </c>
      <c r="N162" s="5">
        <f t="shared" si="185"/>
        <v>31.807899949628325</v>
      </c>
      <c r="O162" s="5">
        <f t="shared" si="186"/>
        <v>2.0415051115311725E-2</v>
      </c>
      <c r="P162" s="4">
        <v>3</v>
      </c>
      <c r="Q162" s="5">
        <f t="shared" si="187"/>
        <v>2.3501599999999998</v>
      </c>
      <c r="R162" s="5">
        <f t="shared" si="187"/>
        <v>0.70536999999999994</v>
      </c>
      <c r="S162" s="5">
        <f t="shared" si="188"/>
        <v>2.6110277599999998</v>
      </c>
      <c r="T162" s="5">
        <f t="shared" si="189"/>
        <v>0.15666166559999997</v>
      </c>
      <c r="U162" s="5">
        <f t="shared" si="190"/>
        <v>0.35767503561643832</v>
      </c>
      <c r="V162" s="5">
        <f t="shared" si="183"/>
        <v>2.0415051115311725E-2</v>
      </c>
    </row>
    <row r="163" spans="2:22" x14ac:dyDescent="0.3">
      <c r="B163">
        <v>5</v>
      </c>
      <c r="C163">
        <v>0</v>
      </c>
      <c r="D163">
        <v>0</v>
      </c>
      <c r="E163">
        <v>0</v>
      </c>
      <c r="F163">
        <f t="shared" si="180"/>
        <v>0</v>
      </c>
      <c r="G163">
        <f t="shared" si="181"/>
        <v>0</v>
      </c>
      <c r="H163">
        <f t="shared" si="182"/>
        <v>0</v>
      </c>
      <c r="I163">
        <f t="shared" si="184"/>
        <v>0</v>
      </c>
      <c r="K163" s="67"/>
      <c r="L163" s="3">
        <v>-96.8</v>
      </c>
      <c r="M163" s="5">
        <f t="shared" si="191"/>
        <v>1.4000000000000057</v>
      </c>
      <c r="N163" s="5">
        <f t="shared" si="185"/>
        <v>37.414240753916886</v>
      </c>
      <c r="O163" s="5">
        <f t="shared" si="186"/>
        <v>1.4755250670314515E-2</v>
      </c>
      <c r="P163" s="4">
        <v>3</v>
      </c>
      <c r="Q163" s="5">
        <f t="shared" si="187"/>
        <v>0</v>
      </c>
      <c r="R163" s="5">
        <f t="shared" si="187"/>
        <v>0</v>
      </c>
      <c r="S163" s="5">
        <f t="shared" si="188"/>
        <v>0</v>
      </c>
      <c r="T163" s="5">
        <f t="shared" si="189"/>
        <v>0</v>
      </c>
      <c r="U163" s="5">
        <f t="shared" si="190"/>
        <v>0</v>
      </c>
      <c r="V163" s="5">
        <f t="shared" si="183"/>
        <v>1.4755250670314515E-2</v>
      </c>
    </row>
    <row r="164" spans="2:22" x14ac:dyDescent="0.3">
      <c r="B164">
        <v>6</v>
      </c>
      <c r="C164">
        <v>0</v>
      </c>
      <c r="D164">
        <v>0</v>
      </c>
      <c r="E164">
        <v>0</v>
      </c>
      <c r="F164">
        <f t="shared" si="180"/>
        <v>0</v>
      </c>
      <c r="G164">
        <f t="shared" si="181"/>
        <v>0</v>
      </c>
      <c r="H164">
        <f t="shared" si="182"/>
        <v>0</v>
      </c>
      <c r="I164">
        <f t="shared" si="184"/>
        <v>0</v>
      </c>
      <c r="K164" s="67"/>
      <c r="L164" s="3">
        <v>-96.3</v>
      </c>
      <c r="M164" s="5">
        <f t="shared" si="191"/>
        <v>1.9000000000000057</v>
      </c>
      <c r="N164" s="5">
        <f t="shared" si="185"/>
        <v>44.970060517830404</v>
      </c>
      <c r="O164" s="5">
        <f t="shared" si="186"/>
        <v>1.0213474782661259E-2</v>
      </c>
      <c r="P164" s="4">
        <v>4</v>
      </c>
      <c r="Q164" s="5">
        <f t="shared" si="187"/>
        <v>0</v>
      </c>
      <c r="R164" s="5">
        <f t="shared" si="187"/>
        <v>0</v>
      </c>
      <c r="S164" s="5">
        <f t="shared" si="188"/>
        <v>0</v>
      </c>
      <c r="T164" s="5">
        <f t="shared" si="189"/>
        <v>0</v>
      </c>
      <c r="U164" s="5">
        <f t="shared" si="190"/>
        <v>0</v>
      </c>
      <c r="V164" s="5">
        <f t="shared" si="183"/>
        <v>1.0213474782661259E-2</v>
      </c>
    </row>
    <row r="165" spans="2:22" x14ac:dyDescent="0.3">
      <c r="B165">
        <v>7</v>
      </c>
      <c r="C165">
        <v>0</v>
      </c>
      <c r="D165">
        <v>0</v>
      </c>
      <c r="E165">
        <v>0</v>
      </c>
      <c r="F165">
        <f t="shared" si="180"/>
        <v>0</v>
      </c>
      <c r="G165">
        <f t="shared" si="181"/>
        <v>0</v>
      </c>
      <c r="H165">
        <f t="shared" si="182"/>
        <v>0</v>
      </c>
      <c r="I165">
        <f t="shared" si="184"/>
        <v>0</v>
      </c>
      <c r="K165" s="67"/>
      <c r="L165" s="3">
        <v>-95.8</v>
      </c>
      <c r="M165" s="5">
        <f t="shared" si="191"/>
        <v>2.4000000000000057</v>
      </c>
      <c r="N165" s="5">
        <f t="shared" si="185"/>
        <v>52.890724234957723</v>
      </c>
      <c r="O165" s="5">
        <f t="shared" si="186"/>
        <v>7.3834856853559399E-3</v>
      </c>
      <c r="P165" s="4">
        <v>4</v>
      </c>
      <c r="Q165" s="5">
        <f t="shared" si="187"/>
        <v>0</v>
      </c>
      <c r="R165" s="5">
        <f t="shared" si="187"/>
        <v>0</v>
      </c>
      <c r="S165" s="5">
        <f t="shared" si="188"/>
        <v>0</v>
      </c>
      <c r="T165" s="5">
        <f t="shared" si="189"/>
        <v>0</v>
      </c>
      <c r="U165" s="5">
        <f t="shared" si="190"/>
        <v>0</v>
      </c>
      <c r="V165" s="5">
        <f t="shared" si="183"/>
        <v>7.3834856853559399E-3</v>
      </c>
    </row>
    <row r="166" spans="2:22" x14ac:dyDescent="0.3">
      <c r="B166">
        <v>8</v>
      </c>
      <c r="C166">
        <v>0</v>
      </c>
      <c r="D166">
        <v>0</v>
      </c>
      <c r="E166">
        <v>0</v>
      </c>
      <c r="F166">
        <f t="shared" si="180"/>
        <v>0</v>
      </c>
      <c r="G166">
        <f t="shared" si="181"/>
        <v>0</v>
      </c>
      <c r="H166">
        <f t="shared" si="182"/>
        <v>0</v>
      </c>
      <c r="I166">
        <f t="shared" si="184"/>
        <v>0</v>
      </c>
      <c r="K166" s="67"/>
      <c r="L166" s="3">
        <v>-95.5</v>
      </c>
      <c r="M166" s="5">
        <f t="shared" si="191"/>
        <v>2.7000000000000028</v>
      </c>
      <c r="N166" s="5">
        <f t="shared" si="185"/>
        <v>57.756125383651771</v>
      </c>
      <c r="O166" s="5">
        <f t="shared" si="186"/>
        <v>6.1919061317513751E-3</v>
      </c>
      <c r="P166" s="4">
        <v>5</v>
      </c>
      <c r="Q166" s="5">
        <f t="shared" si="187"/>
        <v>0</v>
      </c>
      <c r="R166" s="5">
        <f t="shared" si="187"/>
        <v>0</v>
      </c>
      <c r="S166" s="5">
        <f t="shared" si="188"/>
        <v>0</v>
      </c>
      <c r="T166" s="5">
        <f t="shared" si="189"/>
        <v>0</v>
      </c>
      <c r="U166" s="5">
        <f t="shared" si="190"/>
        <v>0</v>
      </c>
      <c r="V166" s="5">
        <f t="shared" si="183"/>
        <v>6.1919061317513751E-3</v>
      </c>
    </row>
    <row r="167" spans="2:22" x14ac:dyDescent="0.3">
      <c r="B167">
        <v>9</v>
      </c>
      <c r="C167">
        <v>0</v>
      </c>
      <c r="D167">
        <v>0</v>
      </c>
      <c r="E167">
        <v>0</v>
      </c>
      <c r="F167">
        <f t="shared" si="180"/>
        <v>0</v>
      </c>
      <c r="G167">
        <f t="shared" si="181"/>
        <v>0</v>
      </c>
      <c r="H167">
        <f t="shared" si="182"/>
        <v>0</v>
      </c>
      <c r="I167">
        <f t="shared" si="184"/>
        <v>0</v>
      </c>
      <c r="K167" s="67"/>
      <c r="L167" s="5">
        <v>-95.1</v>
      </c>
      <c r="M167" s="5">
        <f t="shared" si="191"/>
        <v>3.1000000000000085</v>
      </c>
      <c r="N167" s="5">
        <f t="shared" si="185"/>
        <v>64.335352920706185</v>
      </c>
      <c r="O167" s="5">
        <f t="shared" si="186"/>
        <v>4.9902360539082133E-3</v>
      </c>
      <c r="P167" s="4">
        <v>8</v>
      </c>
      <c r="Q167" s="5">
        <f t="shared" si="187"/>
        <v>0</v>
      </c>
      <c r="R167" s="5">
        <f t="shared" si="187"/>
        <v>0</v>
      </c>
      <c r="S167" s="5">
        <f t="shared" si="188"/>
        <v>0</v>
      </c>
      <c r="T167" s="5">
        <f t="shared" si="189"/>
        <v>0</v>
      </c>
      <c r="U167" s="5">
        <f t="shared" si="190"/>
        <v>0</v>
      </c>
      <c r="V167" s="5">
        <f t="shared" si="183"/>
        <v>4.9902360539082133E-3</v>
      </c>
    </row>
    <row r="168" spans="2:22" x14ac:dyDescent="0.3">
      <c r="B168">
        <v>10</v>
      </c>
      <c r="C168">
        <v>0</v>
      </c>
      <c r="D168">
        <v>0</v>
      </c>
      <c r="E168">
        <v>0</v>
      </c>
      <c r="F168">
        <f t="shared" si="180"/>
        <v>0</v>
      </c>
      <c r="G168">
        <f t="shared" si="181"/>
        <v>0</v>
      </c>
      <c r="H168">
        <f t="shared" si="182"/>
        <v>0</v>
      </c>
      <c r="I168">
        <f t="shared" si="184"/>
        <v>0</v>
      </c>
      <c r="K168" s="67"/>
      <c r="L168" s="5">
        <v>-94.399999999999991</v>
      </c>
      <c r="M168" s="5">
        <f t="shared" si="191"/>
        <v>3.8000000000000114</v>
      </c>
      <c r="N168" s="5">
        <f t="shared" si="185"/>
        <v>76.025152245972833</v>
      </c>
      <c r="O168" s="5">
        <f t="shared" si="186"/>
        <v>3.5735994113946876E-3</v>
      </c>
      <c r="P168" s="4">
        <v>14</v>
      </c>
      <c r="Q168" s="5">
        <f t="shared" si="187"/>
        <v>0</v>
      </c>
      <c r="R168" s="5">
        <f t="shared" si="187"/>
        <v>0</v>
      </c>
      <c r="S168" s="5">
        <f t="shared" si="188"/>
        <v>0</v>
      </c>
      <c r="T168" s="5">
        <f t="shared" si="189"/>
        <v>0</v>
      </c>
      <c r="U168" s="5">
        <f t="shared" si="190"/>
        <v>0</v>
      </c>
      <c r="V168" s="5">
        <f t="shared" si="183"/>
        <v>3.5735994113946876E-3</v>
      </c>
    </row>
    <row r="169" spans="2:22" ht="15" thickBot="1" x14ac:dyDescent="0.35">
      <c r="B169">
        <v>11</v>
      </c>
      <c r="C169">
        <v>0</v>
      </c>
      <c r="D169">
        <v>0</v>
      </c>
      <c r="E169">
        <v>0</v>
      </c>
      <c r="F169">
        <f t="shared" si="180"/>
        <v>0</v>
      </c>
      <c r="G169">
        <f t="shared" si="181"/>
        <v>0</v>
      </c>
      <c r="H169">
        <f t="shared" si="182"/>
        <v>0</v>
      </c>
      <c r="I169">
        <f t="shared" si="184"/>
        <v>0</v>
      </c>
      <c r="K169" s="68"/>
      <c r="L169" s="6">
        <v>-93.3</v>
      </c>
      <c r="M169" s="6">
        <f t="shared" si="191"/>
        <v>4.9000000000000057</v>
      </c>
      <c r="N169" s="6">
        <f t="shared" si="185"/>
        <v>94.671337139281746</v>
      </c>
      <c r="O169" s="6">
        <f t="shared" si="186"/>
        <v>2.3045357129690231E-3</v>
      </c>
      <c r="P169" s="7">
        <v>21</v>
      </c>
      <c r="Q169" s="6">
        <f t="shared" si="187"/>
        <v>0</v>
      </c>
      <c r="R169" s="6">
        <f t="shared" si="187"/>
        <v>0</v>
      </c>
      <c r="S169" s="6">
        <f t="shared" si="188"/>
        <v>0</v>
      </c>
      <c r="T169" s="6">
        <f t="shared" si="189"/>
        <v>0</v>
      </c>
      <c r="U169" s="6">
        <f t="shared" si="190"/>
        <v>0</v>
      </c>
      <c r="V169" s="6">
        <f t="shared" si="183"/>
        <v>2.3045357129690231E-3</v>
      </c>
    </row>
    <row r="170" spans="2:22" ht="15" thickTop="1" x14ac:dyDescent="0.3"/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CQ169"/>
  <sheetViews>
    <sheetView zoomScale="70" zoomScaleNormal="70" workbookViewId="0">
      <selection activeCell="Q19" sqref="Q19"/>
    </sheetView>
  </sheetViews>
  <sheetFormatPr defaultRowHeight="14.4" x14ac:dyDescent="0.3"/>
  <cols>
    <col min="19" max="19" width="9.109375" customWidth="1"/>
  </cols>
  <sheetData>
    <row r="1" spans="2:95" x14ac:dyDescent="0.3">
      <c r="K1" t="s">
        <v>28</v>
      </c>
      <c r="L1">
        <v>100</v>
      </c>
      <c r="M1" t="s">
        <v>29</v>
      </c>
      <c r="N1">
        <v>1030</v>
      </c>
      <c r="O1" t="s">
        <v>30</v>
      </c>
      <c r="P1" t="s">
        <v>32</v>
      </c>
      <c r="Q1" t="s">
        <v>33</v>
      </c>
      <c r="R1" t="s">
        <v>34</v>
      </c>
      <c r="S1" t="s">
        <v>35</v>
      </c>
      <c r="T1" t="s">
        <v>67</v>
      </c>
      <c r="U1" t="s">
        <v>36</v>
      </c>
      <c r="Y1" t="s">
        <v>38</v>
      </c>
      <c r="Z1">
        <v>7.3</v>
      </c>
    </row>
    <row r="2" spans="2:95" x14ac:dyDescent="0.3">
      <c r="Y2" t="s">
        <v>39</v>
      </c>
      <c r="Z2">
        <v>100000</v>
      </c>
    </row>
    <row r="3" spans="2:95" ht="15" thickBot="1" x14ac:dyDescent="0.35">
      <c r="M3" s="11" t="s">
        <v>46</v>
      </c>
      <c r="Y3" t="s">
        <v>37</v>
      </c>
      <c r="Z3">
        <f>333.3/1000</f>
        <v>0.33329999999999999</v>
      </c>
    </row>
    <row r="4" spans="2:95" ht="17.399999999999999" thickTop="1" thickBot="1" x14ac:dyDescent="0.35">
      <c r="B4" t="s">
        <v>19</v>
      </c>
      <c r="C4" t="s">
        <v>2</v>
      </c>
      <c r="D4" t="s">
        <v>1</v>
      </c>
      <c r="E4" t="s">
        <v>5</v>
      </c>
      <c r="F4" t="s">
        <v>0</v>
      </c>
      <c r="G4" t="s">
        <v>3</v>
      </c>
      <c r="H4" t="s">
        <v>4</v>
      </c>
      <c r="I4" t="s">
        <v>6</v>
      </c>
      <c r="K4" s="9" t="s">
        <v>41</v>
      </c>
      <c r="L4" s="10" t="s">
        <v>42</v>
      </c>
      <c r="M4" s="10" t="s">
        <v>43</v>
      </c>
      <c r="N4" s="10" t="s">
        <v>47</v>
      </c>
      <c r="O4" s="10" t="s">
        <v>44</v>
      </c>
      <c r="P4" s="10" t="s">
        <v>45</v>
      </c>
      <c r="Q4" s="10" t="s">
        <v>48</v>
      </c>
      <c r="R4" s="10" t="s">
        <v>49</v>
      </c>
      <c r="S4" s="13" t="s">
        <v>50</v>
      </c>
      <c r="T4" s="13" t="s">
        <v>52</v>
      </c>
      <c r="U4" s="13" t="s">
        <v>51</v>
      </c>
      <c r="V4" s="10" t="s">
        <v>44</v>
      </c>
      <c r="Y4" t="s">
        <v>40</v>
      </c>
      <c r="Z4">
        <f>10^-5</f>
        <v>1.0000000000000001E-5</v>
      </c>
    </row>
    <row r="5" spans="2:95" ht="15" thickTop="1" x14ac:dyDescent="0.3">
      <c r="B5">
        <v>1</v>
      </c>
      <c r="C5">
        <v>3865.5</v>
      </c>
      <c r="D5">
        <v>-46409.4</v>
      </c>
      <c r="E5">
        <v>43646.3</v>
      </c>
      <c r="F5">
        <f t="shared" ref="F5:F15" si="0">D5/10000</f>
        <v>-4.6409400000000005</v>
      </c>
      <c r="G5">
        <f t="shared" ref="G5:G15" si="1">C5/10000</f>
        <v>0.38655</v>
      </c>
      <c r="H5">
        <f t="shared" ref="H5:H15" si="2">F5-G5</f>
        <v>-5.0274900000000002</v>
      </c>
      <c r="I5">
        <f>E5/10000</f>
        <v>4.36463</v>
      </c>
      <c r="K5" s="66">
        <v>1</v>
      </c>
      <c r="L5" s="1">
        <v>-98.2</v>
      </c>
      <c r="M5" s="8">
        <f>L5+98.2</f>
        <v>0</v>
      </c>
      <c r="N5" s="8">
        <f>20.56036*SQRT(1+((L5-(-98.58903))*1.03*1095.70644/(3.14159*20.56036^2))^2)</f>
        <v>21.654820206582954</v>
      </c>
      <c r="O5" s="8">
        <f t="shared" ref="O5:O15" si="3">2*$Z$1/$Z$2/PI()/(N5*10^-4)^2/$K$5/$Z$7</f>
        <v>9.9104601270028319</v>
      </c>
      <c r="P5" s="2">
        <v>3</v>
      </c>
      <c r="Q5" s="8">
        <f>H5</f>
        <v>-5.0274900000000002</v>
      </c>
      <c r="R5" s="8">
        <f>I5</f>
        <v>4.36463</v>
      </c>
      <c r="S5" s="8">
        <f>Q5/10^6*$Z$4*$Z$3/P5*10^12</f>
        <v>-5.5855413899999995</v>
      </c>
      <c r="T5" s="8">
        <f>S5*0.06</f>
        <v>-0.33513248339999996</v>
      </c>
      <c r="U5" s="8">
        <f>S5/$Z$1</f>
        <v>-0.76514265616438348</v>
      </c>
      <c r="V5" s="12">
        <f t="shared" ref="V5:V15" si="4">O5</f>
        <v>9.9104601270028319</v>
      </c>
    </row>
    <row r="6" spans="2:95" x14ac:dyDescent="0.3">
      <c r="B6">
        <v>2</v>
      </c>
      <c r="C6">
        <v>-3758.3</v>
      </c>
      <c r="D6">
        <v>-68071.7</v>
      </c>
      <c r="E6">
        <v>49799.1</v>
      </c>
      <c r="F6">
        <f t="shared" si="0"/>
        <v>-6.8071699999999993</v>
      </c>
      <c r="G6">
        <f t="shared" si="1"/>
        <v>-0.37583</v>
      </c>
      <c r="H6">
        <f t="shared" si="2"/>
        <v>-6.4313399999999996</v>
      </c>
      <c r="I6">
        <f t="shared" ref="I6:I15" si="5">E6/10000</f>
        <v>4.9799100000000003</v>
      </c>
      <c r="K6" s="67"/>
      <c r="L6" s="3">
        <v>-98</v>
      </c>
      <c r="M6" s="5">
        <f>L6+98.2</f>
        <v>0.20000000000000284</v>
      </c>
      <c r="N6" s="5">
        <f t="shared" ref="N6:N15" si="6">20.56036*SQRT(1+((L6-(-98.58903))*1.03*1095.70644/(3.14159*20.56036^2))^2)</f>
        <v>22.992351577801337</v>
      </c>
      <c r="O6" s="5">
        <f t="shared" si="3"/>
        <v>8.7909578904927308</v>
      </c>
      <c r="P6" s="4">
        <v>3</v>
      </c>
      <c r="Q6" s="5">
        <f t="shared" ref="Q6:R15" si="7">H6</f>
        <v>-6.4313399999999996</v>
      </c>
      <c r="R6" s="5">
        <f t="shared" si="7"/>
        <v>4.9799100000000003</v>
      </c>
      <c r="S6" s="5">
        <f t="shared" ref="S6:S15" si="8">Q6/10^6*$Z$4*$Z$3/P6*10^12</f>
        <v>-7.1452187400000007</v>
      </c>
      <c r="T6" s="5">
        <f t="shared" ref="T6:T15" si="9">S6*0.06</f>
        <v>-0.42871312440000003</v>
      </c>
      <c r="U6" s="5">
        <f t="shared" ref="U6:U15" si="10">S6/$Z$1</f>
        <v>-0.97879708767123297</v>
      </c>
      <c r="V6" s="5">
        <f t="shared" si="4"/>
        <v>8.7909578904927308</v>
      </c>
    </row>
    <row r="7" spans="2:95" x14ac:dyDescent="0.3">
      <c r="B7">
        <v>3</v>
      </c>
      <c r="C7">
        <v>-80389.600000000006</v>
      </c>
      <c r="D7">
        <v>-83880.800000000003</v>
      </c>
      <c r="E7">
        <v>52118.6</v>
      </c>
      <c r="F7">
        <f t="shared" si="0"/>
        <v>-8.3880800000000004</v>
      </c>
      <c r="G7">
        <f t="shared" si="1"/>
        <v>-8.0389600000000012</v>
      </c>
      <c r="H7">
        <f t="shared" si="2"/>
        <v>-0.34911999999999921</v>
      </c>
      <c r="I7">
        <f t="shared" si="5"/>
        <v>5.2118599999999997</v>
      </c>
      <c r="K7" s="67"/>
      <c r="L7" s="3">
        <v>-97.8</v>
      </c>
      <c r="M7" s="5">
        <f t="shared" ref="M7:M15" si="11">L7+98.2</f>
        <v>0.40000000000000568</v>
      </c>
      <c r="N7" s="5">
        <f t="shared" si="6"/>
        <v>24.754552179927092</v>
      </c>
      <c r="O7" s="5">
        <f t="shared" si="3"/>
        <v>7.5839041370735059</v>
      </c>
      <c r="P7" s="4">
        <v>3</v>
      </c>
      <c r="Q7" s="5">
        <f t="shared" si="7"/>
        <v>-0.34911999999999921</v>
      </c>
      <c r="R7" s="5">
        <f t="shared" si="7"/>
        <v>5.2118599999999997</v>
      </c>
      <c r="S7" s="5">
        <f t="shared" si="8"/>
        <v>-0.3878723199999991</v>
      </c>
      <c r="T7" s="5">
        <f t="shared" si="9"/>
        <v>-2.3272339199999947E-2</v>
      </c>
      <c r="U7" s="5">
        <f t="shared" si="10"/>
        <v>-5.3133194520547822E-2</v>
      </c>
      <c r="V7" s="5">
        <f t="shared" si="4"/>
        <v>7.5839041370735059</v>
      </c>
      <c r="Y7" t="s">
        <v>31</v>
      </c>
      <c r="Z7">
        <v>1</v>
      </c>
    </row>
    <row r="8" spans="2:95" x14ac:dyDescent="0.3">
      <c r="B8">
        <v>4</v>
      </c>
      <c r="C8">
        <v>-120522</v>
      </c>
      <c r="D8">
        <v>-94986.4</v>
      </c>
      <c r="E8">
        <v>58447.3</v>
      </c>
      <c r="F8">
        <f t="shared" si="0"/>
        <v>-9.49864</v>
      </c>
      <c r="G8">
        <f t="shared" si="1"/>
        <v>-12.052199999999999</v>
      </c>
      <c r="H8">
        <f t="shared" si="2"/>
        <v>2.5535599999999992</v>
      </c>
      <c r="I8">
        <f t="shared" si="5"/>
        <v>5.8447300000000002</v>
      </c>
      <c r="K8" s="67"/>
      <c r="L8" s="3">
        <v>-97.2</v>
      </c>
      <c r="M8" s="5">
        <f t="shared" si="11"/>
        <v>1</v>
      </c>
      <c r="N8" s="5">
        <f t="shared" si="6"/>
        <v>31.807899949628325</v>
      </c>
      <c r="O8" s="5">
        <f t="shared" si="3"/>
        <v>4.5933865009451385</v>
      </c>
      <c r="P8" s="4">
        <v>3</v>
      </c>
      <c r="Q8" s="5">
        <f t="shared" si="7"/>
        <v>2.5535599999999992</v>
      </c>
      <c r="R8" s="5">
        <f t="shared" si="7"/>
        <v>5.8447300000000002</v>
      </c>
      <c r="S8" s="5">
        <f t="shared" si="8"/>
        <v>2.8370051599999995</v>
      </c>
      <c r="T8" s="5">
        <f t="shared" si="9"/>
        <v>0.17022030959999995</v>
      </c>
      <c r="U8" s="5">
        <f t="shared" si="10"/>
        <v>0.38863084383561636</v>
      </c>
      <c r="V8" s="5">
        <f t="shared" si="4"/>
        <v>4.5933865009451385</v>
      </c>
    </row>
    <row r="9" spans="2:95" x14ac:dyDescent="0.3">
      <c r="B9">
        <v>5</v>
      </c>
      <c r="C9">
        <v>-161043.29999999999</v>
      </c>
      <c r="D9">
        <v>-61919</v>
      </c>
      <c r="E9">
        <v>43422.7</v>
      </c>
      <c r="F9">
        <f t="shared" si="0"/>
        <v>-6.1919000000000004</v>
      </c>
      <c r="G9">
        <f t="shared" si="1"/>
        <v>-16.104329999999997</v>
      </c>
      <c r="H9">
        <f t="shared" si="2"/>
        <v>9.912429999999997</v>
      </c>
      <c r="I9">
        <f t="shared" si="5"/>
        <v>4.3422700000000001</v>
      </c>
      <c r="K9" s="67"/>
      <c r="L9" s="3">
        <v>-96.8</v>
      </c>
      <c r="M9" s="5">
        <f t="shared" si="11"/>
        <v>1.4000000000000057</v>
      </c>
      <c r="N9" s="5">
        <f t="shared" si="6"/>
        <v>37.414240753916886</v>
      </c>
      <c r="O9" s="5">
        <f t="shared" si="3"/>
        <v>3.3199314008207654</v>
      </c>
      <c r="P9" s="4">
        <v>3</v>
      </c>
      <c r="Q9" s="5">
        <f t="shared" si="7"/>
        <v>9.912429999999997</v>
      </c>
      <c r="R9" s="5">
        <f t="shared" si="7"/>
        <v>4.3422700000000001</v>
      </c>
      <c r="S9" s="5">
        <f t="shared" si="8"/>
        <v>11.012709729999997</v>
      </c>
      <c r="T9" s="5">
        <f t="shared" si="9"/>
        <v>0.66076258379999986</v>
      </c>
      <c r="U9" s="5">
        <f t="shared" si="10"/>
        <v>1.5085903739726023</v>
      </c>
      <c r="V9" s="5">
        <f t="shared" si="4"/>
        <v>3.3199314008207654</v>
      </c>
    </row>
    <row r="10" spans="2:95" ht="15" thickBot="1" x14ac:dyDescent="0.35">
      <c r="B10">
        <v>6</v>
      </c>
      <c r="C10">
        <v>-202381.4</v>
      </c>
      <c r="D10">
        <v>37788</v>
      </c>
      <c r="E10">
        <v>33988.9</v>
      </c>
      <c r="F10">
        <f t="shared" si="0"/>
        <v>3.7787999999999999</v>
      </c>
      <c r="G10">
        <f t="shared" si="1"/>
        <v>-20.238139999999998</v>
      </c>
      <c r="H10">
        <f t="shared" si="2"/>
        <v>24.016939999999998</v>
      </c>
      <c r="I10">
        <f t="shared" si="5"/>
        <v>3.3988900000000002</v>
      </c>
      <c r="K10" s="67"/>
      <c r="L10" s="3">
        <v>-96.3</v>
      </c>
      <c r="M10" s="5">
        <f t="shared" si="11"/>
        <v>1.9000000000000057</v>
      </c>
      <c r="N10" s="5">
        <f t="shared" si="6"/>
        <v>44.970060517830404</v>
      </c>
      <c r="O10" s="5">
        <f t="shared" si="3"/>
        <v>2.2980318260987831</v>
      </c>
      <c r="P10" s="4">
        <v>4</v>
      </c>
      <c r="Q10" s="5">
        <f t="shared" si="7"/>
        <v>24.016939999999998</v>
      </c>
      <c r="R10" s="5">
        <f t="shared" si="7"/>
        <v>3.3988900000000002</v>
      </c>
      <c r="S10" s="5">
        <f t="shared" si="8"/>
        <v>20.012115255000001</v>
      </c>
      <c r="T10" s="5">
        <f t="shared" si="9"/>
        <v>1.2007269153</v>
      </c>
      <c r="U10" s="5">
        <f t="shared" si="10"/>
        <v>2.7413856513698631</v>
      </c>
      <c r="V10" s="5">
        <f t="shared" si="4"/>
        <v>2.2980318260987831</v>
      </c>
    </row>
    <row r="11" spans="2:95" ht="15.6" thickTop="1" thickBot="1" x14ac:dyDescent="0.35">
      <c r="B11">
        <v>7</v>
      </c>
      <c r="C11">
        <v>-242799.4</v>
      </c>
      <c r="D11">
        <v>153219.1</v>
      </c>
      <c r="E11">
        <v>18383.400000000001</v>
      </c>
      <c r="F11">
        <f t="shared" si="0"/>
        <v>15.321910000000001</v>
      </c>
      <c r="G11">
        <f t="shared" si="1"/>
        <v>-24.27994</v>
      </c>
      <c r="H11">
        <f t="shared" si="2"/>
        <v>39.601849999999999</v>
      </c>
      <c r="I11">
        <f t="shared" si="5"/>
        <v>1.8383400000000001</v>
      </c>
      <c r="K11" s="67"/>
      <c r="L11" s="3">
        <v>-95.8</v>
      </c>
      <c r="M11" s="5">
        <f t="shared" si="11"/>
        <v>2.4000000000000057</v>
      </c>
      <c r="N11" s="5">
        <f t="shared" si="6"/>
        <v>52.890724234957723</v>
      </c>
      <c r="O11" s="5">
        <f t="shared" si="3"/>
        <v>1.6612842792050866</v>
      </c>
      <c r="P11" s="4">
        <v>4</v>
      </c>
      <c r="Q11" s="5">
        <f t="shared" si="7"/>
        <v>39.601849999999999</v>
      </c>
      <c r="R11" s="5">
        <f t="shared" si="7"/>
        <v>1.8383400000000001</v>
      </c>
      <c r="S11" s="5">
        <f t="shared" si="8"/>
        <v>32.998241512500002</v>
      </c>
      <c r="T11" s="5">
        <f t="shared" si="9"/>
        <v>1.97989449075</v>
      </c>
      <c r="U11" s="5">
        <f t="shared" si="10"/>
        <v>4.5203070565068497</v>
      </c>
      <c r="V11" s="5">
        <f t="shared" si="4"/>
        <v>1.6612842792050866</v>
      </c>
      <c r="X11" s="44" t="s">
        <v>60</v>
      </c>
      <c r="Y11" s="27" t="s">
        <v>61</v>
      </c>
      <c r="Z11" s="27" t="s">
        <v>62</v>
      </c>
      <c r="AA11" s="27" t="s">
        <v>56</v>
      </c>
      <c r="AB11" s="45" t="s">
        <v>63</v>
      </c>
      <c r="AC11" s="45" t="s">
        <v>64</v>
      </c>
      <c r="AD11" s="44" t="s">
        <v>60</v>
      </c>
      <c r="AE11" s="27" t="s">
        <v>61</v>
      </c>
      <c r="AF11" s="27" t="s">
        <v>62</v>
      </c>
      <c r="AG11" s="27" t="s">
        <v>56</v>
      </c>
      <c r="AH11" s="45" t="s">
        <v>63</v>
      </c>
      <c r="AI11" s="45" t="s">
        <v>64</v>
      </c>
      <c r="AJ11" s="44" t="s">
        <v>60</v>
      </c>
      <c r="AK11" s="27" t="s">
        <v>61</v>
      </c>
      <c r="AL11" s="27" t="s">
        <v>62</v>
      </c>
      <c r="AM11" s="27" t="s">
        <v>56</v>
      </c>
      <c r="AN11" s="45" t="s">
        <v>63</v>
      </c>
      <c r="AO11" s="45" t="s">
        <v>64</v>
      </c>
      <c r="AP11" s="44" t="s">
        <v>60</v>
      </c>
      <c r="AQ11" s="27" t="s">
        <v>61</v>
      </c>
      <c r="AR11" s="27" t="s">
        <v>62</v>
      </c>
      <c r="AS11" s="27" t="s">
        <v>56</v>
      </c>
      <c r="AT11" s="45" t="s">
        <v>63</v>
      </c>
      <c r="AU11" s="45" t="s">
        <v>64</v>
      </c>
      <c r="AV11" s="44" t="s">
        <v>60</v>
      </c>
      <c r="AW11" s="27" t="s">
        <v>61</v>
      </c>
      <c r="AX11" s="27" t="s">
        <v>62</v>
      </c>
      <c r="AY11" s="27" t="s">
        <v>56</v>
      </c>
      <c r="AZ11" s="45" t="s">
        <v>63</v>
      </c>
      <c r="BA11" s="45" t="s">
        <v>64</v>
      </c>
      <c r="BB11" s="44" t="s">
        <v>60</v>
      </c>
      <c r="BC11" s="27" t="s">
        <v>61</v>
      </c>
      <c r="BD11" s="27" t="s">
        <v>62</v>
      </c>
      <c r="BE11" s="27" t="s">
        <v>56</v>
      </c>
      <c r="BF11" s="45" t="s">
        <v>63</v>
      </c>
      <c r="BG11" s="45" t="s">
        <v>64</v>
      </c>
      <c r="BH11" s="44" t="s">
        <v>60</v>
      </c>
      <c r="BI11" s="27" t="s">
        <v>61</v>
      </c>
      <c r="BJ11" s="27" t="s">
        <v>62</v>
      </c>
      <c r="BK11" s="27" t="s">
        <v>56</v>
      </c>
      <c r="BL11" s="45" t="s">
        <v>63</v>
      </c>
      <c r="BM11" s="45" t="s">
        <v>64</v>
      </c>
      <c r="BN11" s="44" t="s">
        <v>60</v>
      </c>
      <c r="BO11" s="27" t="s">
        <v>61</v>
      </c>
      <c r="BP11" s="27" t="s">
        <v>62</v>
      </c>
      <c r="BQ11" s="27" t="s">
        <v>56</v>
      </c>
      <c r="BR11" s="45" t="s">
        <v>63</v>
      </c>
      <c r="BS11" s="45" t="s">
        <v>64</v>
      </c>
      <c r="BT11" s="44" t="s">
        <v>60</v>
      </c>
      <c r="BU11" s="27" t="s">
        <v>61</v>
      </c>
      <c r="BV11" s="27" t="s">
        <v>62</v>
      </c>
      <c r="BW11" s="27" t="s">
        <v>56</v>
      </c>
      <c r="BX11" s="45" t="s">
        <v>63</v>
      </c>
      <c r="BY11" s="45" t="s">
        <v>64</v>
      </c>
      <c r="BZ11" s="46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</row>
    <row r="12" spans="2:95" ht="15" thickBot="1" x14ac:dyDescent="0.35">
      <c r="B12">
        <v>8</v>
      </c>
      <c r="C12">
        <v>-287593.5</v>
      </c>
      <c r="D12">
        <v>338859.9</v>
      </c>
      <c r="E12">
        <v>15637.2</v>
      </c>
      <c r="F12">
        <f t="shared" si="0"/>
        <v>33.88599</v>
      </c>
      <c r="G12">
        <f t="shared" si="1"/>
        <v>-28.759350000000001</v>
      </c>
      <c r="H12">
        <f t="shared" si="2"/>
        <v>62.645340000000004</v>
      </c>
      <c r="I12">
        <f t="shared" si="5"/>
        <v>1.56372</v>
      </c>
      <c r="K12" s="67"/>
      <c r="L12" s="3">
        <v>-95.5</v>
      </c>
      <c r="M12" s="5">
        <f t="shared" si="11"/>
        <v>2.7000000000000028</v>
      </c>
      <c r="N12" s="5">
        <f t="shared" si="6"/>
        <v>57.756125383651771</v>
      </c>
      <c r="O12" s="5">
        <f t="shared" si="3"/>
        <v>1.3931788796440594</v>
      </c>
      <c r="P12" s="4">
        <v>5</v>
      </c>
      <c r="Q12" s="5">
        <f t="shared" si="7"/>
        <v>62.645340000000004</v>
      </c>
      <c r="R12" s="5">
        <f t="shared" si="7"/>
        <v>1.56372</v>
      </c>
      <c r="S12" s="5">
        <f t="shared" si="8"/>
        <v>41.759383644000003</v>
      </c>
      <c r="T12" s="5">
        <f t="shared" si="9"/>
        <v>2.5055630186400002</v>
      </c>
      <c r="U12" s="5">
        <f t="shared" si="10"/>
        <v>5.7204635128767132</v>
      </c>
      <c r="V12" s="5">
        <f t="shared" si="4"/>
        <v>1.3931788796440594</v>
      </c>
      <c r="X12" s="28" t="s">
        <v>53</v>
      </c>
      <c r="Y12" s="29" t="s">
        <v>54</v>
      </c>
      <c r="Z12" s="29" t="s">
        <v>55</v>
      </c>
      <c r="AA12" s="29" t="s">
        <v>57</v>
      </c>
      <c r="AB12" s="40" t="s">
        <v>59</v>
      </c>
      <c r="AC12" s="30" t="s">
        <v>58</v>
      </c>
      <c r="AD12" s="28" t="s">
        <v>53</v>
      </c>
      <c r="AE12" s="29" t="s">
        <v>54</v>
      </c>
      <c r="AF12" s="29" t="s">
        <v>55</v>
      </c>
      <c r="AG12" s="29" t="s">
        <v>57</v>
      </c>
      <c r="AH12" s="40" t="s">
        <v>59</v>
      </c>
      <c r="AI12" s="30" t="s">
        <v>58</v>
      </c>
      <c r="AJ12" s="28" t="s">
        <v>53</v>
      </c>
      <c r="AK12" s="29" t="s">
        <v>54</v>
      </c>
      <c r="AL12" s="29" t="s">
        <v>55</v>
      </c>
      <c r="AM12" s="29" t="s">
        <v>57</v>
      </c>
      <c r="AN12" s="40" t="s">
        <v>59</v>
      </c>
      <c r="AO12" s="30" t="s">
        <v>58</v>
      </c>
      <c r="AP12" s="28" t="s">
        <v>53</v>
      </c>
      <c r="AQ12" s="29" t="s">
        <v>54</v>
      </c>
      <c r="AR12" s="29" t="s">
        <v>55</v>
      </c>
      <c r="AS12" s="29" t="s">
        <v>57</v>
      </c>
      <c r="AT12" s="40" t="s">
        <v>59</v>
      </c>
      <c r="AU12" s="30" t="s">
        <v>58</v>
      </c>
      <c r="AV12" s="28" t="s">
        <v>53</v>
      </c>
      <c r="AW12" s="29" t="s">
        <v>54</v>
      </c>
      <c r="AX12" s="29" t="s">
        <v>55</v>
      </c>
      <c r="AY12" s="29" t="s">
        <v>57</v>
      </c>
      <c r="AZ12" s="40" t="s">
        <v>59</v>
      </c>
      <c r="BA12" s="30" t="s">
        <v>58</v>
      </c>
      <c r="BB12" s="28" t="s">
        <v>53</v>
      </c>
      <c r="BC12" s="29" t="s">
        <v>54</v>
      </c>
      <c r="BD12" s="29" t="s">
        <v>55</v>
      </c>
      <c r="BE12" s="29" t="s">
        <v>57</v>
      </c>
      <c r="BF12" s="40" t="s">
        <v>59</v>
      </c>
      <c r="BG12" s="30" t="s">
        <v>58</v>
      </c>
      <c r="BH12" s="28" t="s">
        <v>53</v>
      </c>
      <c r="BI12" s="29" t="s">
        <v>54</v>
      </c>
      <c r="BJ12" s="29" t="s">
        <v>55</v>
      </c>
      <c r="BK12" s="29" t="s">
        <v>57</v>
      </c>
      <c r="BL12" s="40" t="s">
        <v>59</v>
      </c>
      <c r="BM12" s="30" t="s">
        <v>58</v>
      </c>
      <c r="BN12" s="28" t="s">
        <v>53</v>
      </c>
      <c r="BO12" s="29" t="s">
        <v>54</v>
      </c>
      <c r="BP12" s="29" t="s">
        <v>55</v>
      </c>
      <c r="BQ12" s="29" t="s">
        <v>57</v>
      </c>
      <c r="BR12" s="40" t="s">
        <v>59</v>
      </c>
      <c r="BS12" s="30" t="s">
        <v>58</v>
      </c>
      <c r="BT12" s="28" t="s">
        <v>53</v>
      </c>
      <c r="BU12" s="29" t="s">
        <v>54</v>
      </c>
      <c r="BV12" s="29" t="s">
        <v>55</v>
      </c>
      <c r="BW12" s="29" t="s">
        <v>57</v>
      </c>
      <c r="BX12" s="40" t="s">
        <v>59</v>
      </c>
      <c r="BY12" s="30" t="s">
        <v>58</v>
      </c>
      <c r="BZ12" s="4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</row>
    <row r="13" spans="2:95" ht="15" thickBot="1" x14ac:dyDescent="0.35">
      <c r="B13">
        <v>9</v>
      </c>
      <c r="C13">
        <v>-328804.09999999998</v>
      </c>
      <c r="D13">
        <v>822870.7</v>
      </c>
      <c r="E13">
        <v>13888</v>
      </c>
      <c r="F13">
        <f t="shared" si="0"/>
        <v>82.28707</v>
      </c>
      <c r="G13">
        <f t="shared" si="1"/>
        <v>-32.880409999999998</v>
      </c>
      <c r="H13">
        <f t="shared" si="2"/>
        <v>115.16748</v>
      </c>
      <c r="I13">
        <f t="shared" si="5"/>
        <v>1.3888</v>
      </c>
      <c r="K13" s="67"/>
      <c r="L13" s="5">
        <v>-95.1</v>
      </c>
      <c r="M13" s="5">
        <f t="shared" si="11"/>
        <v>3.1000000000000085</v>
      </c>
      <c r="N13" s="5">
        <f t="shared" si="6"/>
        <v>64.335352920706185</v>
      </c>
      <c r="O13" s="5">
        <f t="shared" si="3"/>
        <v>1.122803112129348</v>
      </c>
      <c r="P13" s="4">
        <v>8</v>
      </c>
      <c r="Q13" s="5">
        <f t="shared" si="7"/>
        <v>115.16748</v>
      </c>
      <c r="R13" s="5">
        <f t="shared" si="7"/>
        <v>1.3888</v>
      </c>
      <c r="S13" s="5">
        <f t="shared" si="8"/>
        <v>47.981651354999997</v>
      </c>
      <c r="T13" s="5">
        <f t="shared" si="9"/>
        <v>2.8788990812999997</v>
      </c>
      <c r="U13" s="5">
        <f t="shared" si="10"/>
        <v>6.5728289527397257</v>
      </c>
      <c r="V13" s="5">
        <f t="shared" si="4"/>
        <v>1.122803112129348</v>
      </c>
      <c r="X13" s="28">
        <v>1</v>
      </c>
      <c r="Y13" s="29">
        <v>1</v>
      </c>
      <c r="Z13" s="29">
        <v>1</v>
      </c>
      <c r="AA13" s="29">
        <v>1</v>
      </c>
      <c r="AB13" s="40">
        <v>1</v>
      </c>
      <c r="AC13" s="30">
        <v>1</v>
      </c>
      <c r="AD13" s="28">
        <v>2</v>
      </c>
      <c r="AE13" s="29">
        <v>2</v>
      </c>
      <c r="AF13" s="29">
        <v>2</v>
      </c>
      <c r="AG13" s="29">
        <v>2</v>
      </c>
      <c r="AH13" s="40">
        <v>2</v>
      </c>
      <c r="AI13" s="30">
        <v>2</v>
      </c>
      <c r="AJ13" s="28">
        <v>3</v>
      </c>
      <c r="AK13" s="29">
        <v>3</v>
      </c>
      <c r="AL13" s="29">
        <v>3</v>
      </c>
      <c r="AM13" s="29">
        <v>3</v>
      </c>
      <c r="AN13" s="40">
        <v>3</v>
      </c>
      <c r="AO13" s="30">
        <v>3</v>
      </c>
      <c r="AP13" s="28">
        <v>4</v>
      </c>
      <c r="AQ13" s="29">
        <v>4</v>
      </c>
      <c r="AR13" s="29">
        <v>4</v>
      </c>
      <c r="AS13" s="29">
        <v>4</v>
      </c>
      <c r="AT13" s="40">
        <v>4</v>
      </c>
      <c r="AU13" s="30">
        <v>4</v>
      </c>
      <c r="AV13" s="28">
        <v>5</v>
      </c>
      <c r="AW13" s="29">
        <v>5</v>
      </c>
      <c r="AX13" s="29">
        <v>5</v>
      </c>
      <c r="AY13" s="29">
        <v>5</v>
      </c>
      <c r="AZ13" s="40">
        <v>5</v>
      </c>
      <c r="BA13" s="30">
        <v>5</v>
      </c>
      <c r="BB13" s="28">
        <v>6</v>
      </c>
      <c r="BC13" s="29">
        <v>6</v>
      </c>
      <c r="BD13" s="29">
        <v>6</v>
      </c>
      <c r="BE13" s="29">
        <v>6</v>
      </c>
      <c r="BF13" s="40">
        <v>6</v>
      </c>
      <c r="BG13" s="30">
        <v>6</v>
      </c>
      <c r="BH13" s="28">
        <v>7</v>
      </c>
      <c r="BI13" s="29">
        <v>7</v>
      </c>
      <c r="BJ13" s="29">
        <v>7</v>
      </c>
      <c r="BK13" s="29">
        <v>7</v>
      </c>
      <c r="BL13" s="40">
        <v>7</v>
      </c>
      <c r="BM13" s="30">
        <v>7</v>
      </c>
      <c r="BN13" s="28">
        <v>8</v>
      </c>
      <c r="BO13" s="29">
        <v>8</v>
      </c>
      <c r="BP13" s="29">
        <v>8</v>
      </c>
      <c r="BQ13" s="29">
        <v>8</v>
      </c>
      <c r="BR13" s="40">
        <v>8</v>
      </c>
      <c r="BS13" s="30">
        <v>8</v>
      </c>
      <c r="BT13" s="28">
        <v>9</v>
      </c>
      <c r="BU13" s="29">
        <v>9</v>
      </c>
      <c r="BV13" s="29">
        <v>9</v>
      </c>
      <c r="BW13" s="29">
        <v>9</v>
      </c>
      <c r="BX13" s="40">
        <v>9</v>
      </c>
      <c r="BY13" s="30">
        <v>9</v>
      </c>
      <c r="BZ13" s="4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</row>
    <row r="14" spans="2:95" x14ac:dyDescent="0.3">
      <c r="B14">
        <v>10</v>
      </c>
      <c r="C14">
        <v>-372067.8</v>
      </c>
      <c r="D14">
        <v>1737997.6</v>
      </c>
      <c r="E14">
        <v>43165.7</v>
      </c>
      <c r="F14">
        <f t="shared" si="0"/>
        <v>173.79976000000002</v>
      </c>
      <c r="G14">
        <f t="shared" si="1"/>
        <v>-37.206780000000002</v>
      </c>
      <c r="H14">
        <f t="shared" si="2"/>
        <v>211.00654000000003</v>
      </c>
      <c r="I14">
        <f t="shared" si="5"/>
        <v>4.3165699999999996</v>
      </c>
      <c r="K14" s="67"/>
      <c r="L14" s="5">
        <v>-94.399999999999991</v>
      </c>
      <c r="M14" s="5">
        <f t="shared" si="11"/>
        <v>3.8000000000000114</v>
      </c>
      <c r="N14" s="5">
        <f t="shared" si="6"/>
        <v>76.025152245972833</v>
      </c>
      <c r="O14" s="5">
        <f t="shared" si="3"/>
        <v>0.80405986756380465</v>
      </c>
      <c r="P14" s="4">
        <v>14</v>
      </c>
      <c r="Q14" s="5">
        <f t="shared" si="7"/>
        <v>211.00654000000003</v>
      </c>
      <c r="R14" s="5">
        <f t="shared" si="7"/>
        <v>4.3165699999999996</v>
      </c>
      <c r="S14" s="5">
        <f t="shared" si="8"/>
        <v>50.234628415714297</v>
      </c>
      <c r="T14" s="5">
        <f t="shared" si="9"/>
        <v>3.0140777049428578</v>
      </c>
      <c r="U14" s="5">
        <f t="shared" si="10"/>
        <v>6.8814559473581234</v>
      </c>
      <c r="V14" s="5">
        <f t="shared" si="4"/>
        <v>0.80405986756380465</v>
      </c>
      <c r="X14" s="31">
        <f t="shared" ref="X14:X24" si="12">O5</f>
        <v>9.9104601270028319</v>
      </c>
      <c r="Y14" s="32">
        <f t="shared" ref="Y14:AA24" si="13">S5</f>
        <v>-5.5855413899999995</v>
      </c>
      <c r="Z14" s="32">
        <f t="shared" si="13"/>
        <v>-0.33513248339999996</v>
      </c>
      <c r="AA14" s="32">
        <f t="shared" si="13"/>
        <v>-0.76514265616438348</v>
      </c>
      <c r="AB14" s="41">
        <f>I5/H5</f>
        <v>-0.86815289538119411</v>
      </c>
      <c r="AC14" s="33">
        <f t="shared" ref="AC14:AC24" si="14">R5</f>
        <v>4.36463</v>
      </c>
      <c r="AD14" s="31">
        <f t="shared" ref="AD14:AD24" si="15">O19</f>
        <v>4.9552300635014159</v>
      </c>
      <c r="AE14" s="32">
        <f t="shared" ref="AE14:AG24" si="16">S19</f>
        <v>27.573453489999999</v>
      </c>
      <c r="AF14" s="32">
        <f t="shared" si="16"/>
        <v>1.6544072093999997</v>
      </c>
      <c r="AG14" s="32">
        <f t="shared" si="16"/>
        <v>3.7771854095890411</v>
      </c>
      <c r="AH14" s="41">
        <f>I19/H19</f>
        <v>5.7666047910054523E-2</v>
      </c>
      <c r="AI14" s="33">
        <f>R19</f>
        <v>1.43119</v>
      </c>
      <c r="AJ14" s="31">
        <f t="shared" ref="AJ14:AJ24" si="17">O33</f>
        <v>3.3034867090009441</v>
      </c>
      <c r="AK14" s="32">
        <f t="shared" ref="AK14:AM24" si="18">S33</f>
        <v>18.09809001</v>
      </c>
      <c r="AL14" s="32">
        <f t="shared" si="18"/>
        <v>1.0858854006000001</v>
      </c>
      <c r="AM14" s="32">
        <f t="shared" si="18"/>
        <v>2.4791904123287671</v>
      </c>
      <c r="AN14" s="41">
        <f>I33/H33</f>
        <v>0.19677456781529182</v>
      </c>
      <c r="AO14" s="33">
        <f>R33</f>
        <v>3.2054400000000003</v>
      </c>
      <c r="AP14" s="31">
        <f t="shared" ref="AP14:AP24" si="19">O47</f>
        <v>2.477615031750708</v>
      </c>
      <c r="AQ14" s="32">
        <f t="shared" ref="AQ14:AS24" si="20">S47</f>
        <v>29.531235470000002</v>
      </c>
      <c r="AR14" s="32">
        <f t="shared" si="20"/>
        <v>1.7718741282000001</v>
      </c>
      <c r="AS14" s="32">
        <f t="shared" si="20"/>
        <v>4.0453747219178089</v>
      </c>
      <c r="AT14" s="41">
        <f>I47/H47</f>
        <v>6.3393197413017008E-2</v>
      </c>
      <c r="AU14" s="33">
        <f>R47</f>
        <v>1.6850400000000001</v>
      </c>
      <c r="AV14" s="31">
        <f t="shared" ref="AV14:AV24" si="21">O61</f>
        <v>1.9820920254005663</v>
      </c>
      <c r="AW14" s="32">
        <f t="shared" ref="AW14:AY24" si="22">S61</f>
        <v>33.753490980000009</v>
      </c>
      <c r="AX14" s="32">
        <f t="shared" si="22"/>
        <v>2.0252094588000005</v>
      </c>
      <c r="AY14" s="32">
        <f t="shared" si="22"/>
        <v>4.623765887671234</v>
      </c>
      <c r="AZ14" s="41">
        <f>I61/H61</f>
        <v>2.8207594306738578E-2</v>
      </c>
      <c r="BA14" s="33">
        <f>R61</f>
        <v>0.85697999999999996</v>
      </c>
      <c r="BB14" s="31">
        <f t="shared" ref="BB14:BB24" si="23">O75</f>
        <v>1.651743354500472</v>
      </c>
      <c r="BC14" s="32">
        <f t="shared" ref="BC14:BE24" si="24">S75</f>
        <v>33.687130950000004</v>
      </c>
      <c r="BD14" s="32">
        <f t="shared" si="24"/>
        <v>2.021227857</v>
      </c>
      <c r="BE14" s="32">
        <f t="shared" si="24"/>
        <v>4.6146754726027401</v>
      </c>
      <c r="BF14" s="41">
        <f>I75/H75</f>
        <v>2.5253079915373441E-2</v>
      </c>
      <c r="BG14" s="33">
        <f>R75</f>
        <v>0.76571</v>
      </c>
      <c r="BH14" s="31">
        <f t="shared" ref="BH14:BH24" si="25">O89</f>
        <v>1.4157800181432616</v>
      </c>
      <c r="BI14" s="32">
        <f t="shared" ref="BI14:BK24" si="26">S89</f>
        <v>33.38031719</v>
      </c>
      <c r="BJ14" s="32">
        <f t="shared" si="26"/>
        <v>2.0028190314000001</v>
      </c>
      <c r="BK14" s="32">
        <f t="shared" si="26"/>
        <v>4.5726461904109588</v>
      </c>
      <c r="BL14" s="41">
        <f>I89/H89</f>
        <v>3.8222629903056346E-2</v>
      </c>
      <c r="BM14" s="33">
        <f>R89</f>
        <v>1.1484099999999999</v>
      </c>
      <c r="BN14" s="31">
        <f t="shared" ref="BN14:BN24" si="27">O103</f>
        <v>1.238807515875354</v>
      </c>
      <c r="BO14" s="32">
        <f t="shared" ref="BO14:BQ24" si="28">S103</f>
        <v>34.118654459999995</v>
      </c>
      <c r="BP14" s="32">
        <f t="shared" si="28"/>
        <v>2.0471192675999994</v>
      </c>
      <c r="BQ14" s="32">
        <f t="shared" si="28"/>
        <v>4.6737882821917802</v>
      </c>
      <c r="BR14" s="41">
        <f>I103/H103</f>
        <v>3.7040220958350183E-2</v>
      </c>
      <c r="BS14" s="33">
        <f>R103</f>
        <v>1.1375</v>
      </c>
      <c r="BT14" s="31">
        <f t="shared" ref="BT14:BT23" si="29">O117</f>
        <v>1.101162236333648</v>
      </c>
      <c r="BU14" s="32">
        <f t="shared" ref="BU14:BW23" si="30">S117</f>
        <v>32.15188449</v>
      </c>
      <c r="BV14" s="32">
        <f t="shared" si="30"/>
        <v>1.9291130694</v>
      </c>
      <c r="BW14" s="32">
        <f t="shared" si="30"/>
        <v>4.4043677383561644</v>
      </c>
      <c r="BX14" s="41">
        <f>I117/H117</f>
        <v>3.8389279184674011E-2</v>
      </c>
      <c r="BY14" s="33">
        <f>R117</f>
        <v>1.11097</v>
      </c>
      <c r="BZ14" s="48"/>
      <c r="CA14" s="18"/>
      <c r="CB14" s="18"/>
      <c r="CC14" s="18"/>
      <c r="CD14" s="49"/>
      <c r="CE14" s="18"/>
      <c r="CF14" s="18"/>
      <c r="CG14" s="18"/>
      <c r="CH14" s="18"/>
      <c r="CI14" s="18"/>
      <c r="CJ14" s="49"/>
      <c r="CK14" s="18"/>
      <c r="CL14" s="18"/>
      <c r="CM14" s="18"/>
      <c r="CN14" s="18"/>
      <c r="CO14" s="18"/>
      <c r="CP14" s="49"/>
      <c r="CQ14" s="18"/>
    </row>
    <row r="15" spans="2:95" ht="15" thickBot="1" x14ac:dyDescent="0.35">
      <c r="B15">
        <v>11</v>
      </c>
      <c r="C15">
        <v>-412537.8</v>
      </c>
      <c r="D15">
        <v>2249395.9</v>
      </c>
      <c r="E15">
        <v>28902.2</v>
      </c>
      <c r="F15">
        <f t="shared" si="0"/>
        <v>224.93958999999998</v>
      </c>
      <c r="G15">
        <f t="shared" si="1"/>
        <v>-41.253779999999999</v>
      </c>
      <c r="H15">
        <f t="shared" si="2"/>
        <v>266.19336999999996</v>
      </c>
      <c r="I15">
        <f t="shared" si="5"/>
        <v>2.8902200000000002</v>
      </c>
      <c r="K15" s="68"/>
      <c r="L15" s="6">
        <v>-93.3</v>
      </c>
      <c r="M15" s="6">
        <f t="shared" si="11"/>
        <v>4.9000000000000057</v>
      </c>
      <c r="N15" s="6">
        <f t="shared" si="6"/>
        <v>94.671337139281746</v>
      </c>
      <c r="O15" s="6">
        <f t="shared" si="3"/>
        <v>0.51852053541803023</v>
      </c>
      <c r="P15" s="7">
        <v>21</v>
      </c>
      <c r="Q15" s="6">
        <f t="shared" si="7"/>
        <v>266.19336999999996</v>
      </c>
      <c r="R15" s="6">
        <f t="shared" si="7"/>
        <v>2.8902200000000002</v>
      </c>
      <c r="S15" s="6">
        <f t="shared" si="8"/>
        <v>42.248690581428562</v>
      </c>
      <c r="T15" s="6">
        <f t="shared" si="9"/>
        <v>2.5349214348857134</v>
      </c>
      <c r="U15" s="6">
        <f t="shared" si="10"/>
        <v>5.7874918604696663</v>
      </c>
      <c r="V15" s="6">
        <f t="shared" si="4"/>
        <v>0.51852053541803023</v>
      </c>
      <c r="X15" s="34">
        <f t="shared" si="12"/>
        <v>8.7909578904927308</v>
      </c>
      <c r="Y15" s="35">
        <f t="shared" si="13"/>
        <v>-7.1452187400000007</v>
      </c>
      <c r="Z15" s="35">
        <f t="shared" si="13"/>
        <v>-0.42871312440000003</v>
      </c>
      <c r="AA15" s="35">
        <f t="shared" si="13"/>
        <v>-0.97879708767123297</v>
      </c>
      <c r="AB15" s="42">
        <f t="shared" ref="AB15:AB24" si="31">I6/H6</f>
        <v>-0.7743191932007949</v>
      </c>
      <c r="AC15" s="36">
        <f t="shared" si="14"/>
        <v>4.9799100000000003</v>
      </c>
      <c r="AD15" s="34">
        <f t="shared" si="15"/>
        <v>4.3954789452463654</v>
      </c>
      <c r="AE15" s="35">
        <f t="shared" si="16"/>
        <v>31.515859209999999</v>
      </c>
      <c r="AF15" s="35">
        <f t="shared" si="16"/>
        <v>1.8909515525999998</v>
      </c>
      <c r="AG15" s="35">
        <f t="shared" si="16"/>
        <v>4.3172409876712328</v>
      </c>
      <c r="AH15" s="42">
        <f t="shared" ref="AH15:AH24" si="32">I20/H20</f>
        <v>2.4670119726683475E-2</v>
      </c>
      <c r="AI15" s="36">
        <f t="shared" ref="AI15:AI24" si="33">R20</f>
        <v>0.69982</v>
      </c>
      <c r="AJ15" s="34">
        <f t="shared" si="17"/>
        <v>2.9303192968309104</v>
      </c>
      <c r="AK15" s="35">
        <f t="shared" si="18"/>
        <v>19.622937509999996</v>
      </c>
      <c r="AL15" s="35">
        <f t="shared" si="18"/>
        <v>1.1773762505999998</v>
      </c>
      <c r="AM15" s="35">
        <f t="shared" si="18"/>
        <v>2.6880736315068487</v>
      </c>
      <c r="AN15" s="42">
        <f t="shared" ref="AN15:AN24" si="34">I34/H34</f>
        <v>0.20694401273665375</v>
      </c>
      <c r="AO15" s="36">
        <f t="shared" ref="AO15:AO24" si="35">R34</f>
        <v>3.6551300000000002</v>
      </c>
      <c r="AP15" s="34">
        <f t="shared" si="19"/>
        <v>2.1977394726231827</v>
      </c>
      <c r="AQ15" s="35">
        <f t="shared" si="20"/>
        <v>27.974535600000003</v>
      </c>
      <c r="AR15" s="35">
        <f t="shared" si="20"/>
        <v>1.6784721360000001</v>
      </c>
      <c r="AS15" s="35">
        <f t="shared" si="20"/>
        <v>3.8321281643835623</v>
      </c>
      <c r="AT15" s="42">
        <f t="shared" ref="AT15:AT24" si="36">I48/H48</f>
        <v>8.9876725603266136E-2</v>
      </c>
      <c r="AU15" s="36">
        <f t="shared" ref="AU15:AU24" si="37">R48</f>
        <v>2.2630599999999998</v>
      </c>
      <c r="AV15" s="34">
        <f t="shared" si="21"/>
        <v>1.7581915780985462</v>
      </c>
      <c r="AW15" s="35">
        <f t="shared" si="22"/>
        <v>33.448132629999996</v>
      </c>
      <c r="AX15" s="35">
        <f t="shared" si="22"/>
        <v>2.0068879577999996</v>
      </c>
      <c r="AY15" s="35">
        <f t="shared" si="22"/>
        <v>4.5819359767123284</v>
      </c>
      <c r="AZ15" s="42">
        <f t="shared" ref="AZ15:AZ24" si="38">I62/H62</f>
        <v>4.1272051425730073E-2</v>
      </c>
      <c r="BA15" s="36">
        <f t="shared" ref="BA15:BA24" si="39">R62</f>
        <v>1.24255</v>
      </c>
      <c r="BB15" s="34">
        <f t="shared" si="23"/>
        <v>1.4651596484154552</v>
      </c>
      <c r="BC15" s="35">
        <f t="shared" si="24"/>
        <v>34.556843970000003</v>
      </c>
      <c r="BD15" s="35">
        <f t="shared" si="24"/>
        <v>2.0734106381999999</v>
      </c>
      <c r="BE15" s="35">
        <f t="shared" si="24"/>
        <v>4.7338142424657539</v>
      </c>
      <c r="BF15" s="42">
        <f t="shared" ref="BF15:BF24" si="40">I76/H76</f>
        <v>3.0210643104628399E-2</v>
      </c>
      <c r="BG15" s="36">
        <f t="shared" ref="BG15:BG24" si="41">R76</f>
        <v>0.93967999999999996</v>
      </c>
      <c r="BH15" s="34">
        <f t="shared" si="25"/>
        <v>1.2558511272132473</v>
      </c>
      <c r="BI15" s="35">
        <f t="shared" si="26"/>
        <v>35.243697499999996</v>
      </c>
      <c r="BJ15" s="35">
        <f t="shared" si="26"/>
        <v>2.1146218499999998</v>
      </c>
      <c r="BK15" s="35">
        <f t="shared" si="26"/>
        <v>4.8279037671232876</v>
      </c>
      <c r="BL15" s="42">
        <f t="shared" ref="BL15:BL24" si="42">I90/H90</f>
        <v>2.9606115533138935E-2</v>
      </c>
      <c r="BM15" s="36">
        <f t="shared" ref="BM15:BM24" si="43">R90</f>
        <v>0.9391799999999999</v>
      </c>
      <c r="BN15" s="34">
        <f t="shared" si="27"/>
        <v>1.0988697363115913</v>
      </c>
      <c r="BO15" s="35">
        <f t="shared" si="28"/>
        <v>34.522369639999994</v>
      </c>
      <c r="BP15" s="35">
        <f t="shared" si="28"/>
        <v>2.0713421783999997</v>
      </c>
      <c r="BQ15" s="35">
        <f t="shared" si="28"/>
        <v>4.7290917315068484</v>
      </c>
      <c r="BR15" s="42">
        <f t="shared" ref="BR15:BR24" si="44">I104/H104</f>
        <v>2.6855905595940432E-2</v>
      </c>
      <c r="BS15" s="36">
        <f t="shared" ref="BS15:BS24" si="45">R104</f>
        <v>0.83450000000000002</v>
      </c>
      <c r="BT15" s="34">
        <f t="shared" si="29"/>
        <v>0.97677309894363673</v>
      </c>
      <c r="BU15" s="35">
        <f t="shared" si="30"/>
        <v>33.256440689999998</v>
      </c>
      <c r="BV15" s="35">
        <f t="shared" si="30"/>
        <v>1.9953864413999998</v>
      </c>
      <c r="BW15" s="35">
        <f t="shared" si="30"/>
        <v>4.5556768068493145</v>
      </c>
      <c r="BX15" s="42">
        <f t="shared" ref="BX15:BX23" si="46">I118/H118</f>
        <v>3.6862021147338844E-2</v>
      </c>
      <c r="BY15" s="36">
        <f t="shared" ref="BY15:BY23" si="47">R118</f>
        <v>1.1034200000000001</v>
      </c>
      <c r="BZ15" s="48"/>
      <c r="CA15" s="18"/>
      <c r="CB15" s="18"/>
      <c r="CC15" s="18"/>
      <c r="CD15" s="49"/>
      <c r="CE15" s="18"/>
      <c r="CF15" s="18"/>
      <c r="CG15" s="18"/>
      <c r="CH15" s="18"/>
      <c r="CI15" s="18"/>
      <c r="CJ15" s="49"/>
      <c r="CK15" s="18"/>
      <c r="CL15" s="18"/>
      <c r="CM15" s="18"/>
      <c r="CN15" s="18"/>
      <c r="CO15" s="18"/>
      <c r="CP15" s="49"/>
      <c r="CQ15" s="18"/>
    </row>
    <row r="16" spans="2:95" ht="15" thickTop="1" x14ac:dyDescent="0.3">
      <c r="X16" s="34">
        <f t="shared" si="12"/>
        <v>7.5839041370735059</v>
      </c>
      <c r="Y16" s="35">
        <f t="shared" si="13"/>
        <v>-0.3878723199999991</v>
      </c>
      <c r="Z16" s="35">
        <f t="shared" si="13"/>
        <v>-2.3272339199999947E-2</v>
      </c>
      <c r="AA16" s="35">
        <f t="shared" si="13"/>
        <v>-5.3133194520547822E-2</v>
      </c>
      <c r="AB16" s="42">
        <f t="shared" si="31"/>
        <v>-14.92856324472964</v>
      </c>
      <c r="AC16" s="36">
        <f t="shared" si="14"/>
        <v>5.2118599999999997</v>
      </c>
      <c r="AD16" s="34">
        <f t="shared" si="15"/>
        <v>3.7919520685367529</v>
      </c>
      <c r="AE16" s="35">
        <f t="shared" si="16"/>
        <v>32.819184419999999</v>
      </c>
      <c r="AF16" s="35">
        <f t="shared" si="16"/>
        <v>1.9691510651999999</v>
      </c>
      <c r="AG16" s="35">
        <f t="shared" si="16"/>
        <v>4.4957786876712325</v>
      </c>
      <c r="AH16" s="42">
        <f t="shared" si="32"/>
        <v>3.3037668642955265E-2</v>
      </c>
      <c r="AI16" s="36">
        <f t="shared" si="33"/>
        <v>0.97593999999999992</v>
      </c>
      <c r="AJ16" s="34">
        <f t="shared" si="17"/>
        <v>2.5279680456911686</v>
      </c>
      <c r="AK16" s="35">
        <f t="shared" si="18"/>
        <v>20.280760610000002</v>
      </c>
      <c r="AL16" s="35">
        <f t="shared" si="18"/>
        <v>1.2168456366</v>
      </c>
      <c r="AM16" s="35">
        <f t="shared" si="18"/>
        <v>2.7781863849315069</v>
      </c>
      <c r="AN16" s="42">
        <f t="shared" si="34"/>
        <v>0.20335851249910294</v>
      </c>
      <c r="AO16" s="36">
        <f t="shared" si="35"/>
        <v>3.7122099999999998</v>
      </c>
      <c r="AP16" s="34">
        <f t="shared" si="19"/>
        <v>1.8959760342683765</v>
      </c>
      <c r="AQ16" s="35">
        <f t="shared" si="20"/>
        <v>29.446999449999996</v>
      </c>
      <c r="AR16" s="35">
        <f t="shared" si="20"/>
        <v>1.7668199669999998</v>
      </c>
      <c r="AS16" s="35">
        <f t="shared" si="20"/>
        <v>4.0338355410958897</v>
      </c>
      <c r="AT16" s="42">
        <f t="shared" si="36"/>
        <v>0.11920037577886397</v>
      </c>
      <c r="AU16" s="36">
        <f t="shared" si="37"/>
        <v>3.1594000000000002</v>
      </c>
      <c r="AV16" s="34">
        <f t="shared" si="21"/>
        <v>1.5167808274147012</v>
      </c>
      <c r="AW16" s="35">
        <f t="shared" si="22"/>
        <v>35.562954459999993</v>
      </c>
      <c r="AX16" s="35">
        <f t="shared" si="22"/>
        <v>2.1337772675999993</v>
      </c>
      <c r="AY16" s="35">
        <f t="shared" si="22"/>
        <v>4.871637597260273</v>
      </c>
      <c r="AZ16" s="42">
        <f t="shared" si="38"/>
        <v>3.9732132536662149E-2</v>
      </c>
      <c r="BA16" s="36">
        <f t="shared" si="39"/>
        <v>1.2718200000000002</v>
      </c>
      <c r="BB16" s="34">
        <f t="shared" si="23"/>
        <v>1.2639840228455843</v>
      </c>
      <c r="BC16" s="35">
        <f t="shared" si="24"/>
        <v>35.803519290000004</v>
      </c>
      <c r="BD16" s="35">
        <f t="shared" si="24"/>
        <v>2.1482111574</v>
      </c>
      <c r="BE16" s="35">
        <f t="shared" si="24"/>
        <v>4.9045916835616445</v>
      </c>
      <c r="BF16" s="42">
        <f t="shared" si="40"/>
        <v>3.4224125010589149E-2</v>
      </c>
      <c r="BG16" s="36">
        <f t="shared" si="41"/>
        <v>1.1029200000000001</v>
      </c>
      <c r="BH16" s="34">
        <f t="shared" si="25"/>
        <v>1.0834148767247866</v>
      </c>
      <c r="BI16" s="35">
        <f t="shared" si="26"/>
        <v>36.857347229999995</v>
      </c>
      <c r="BJ16" s="35">
        <f t="shared" si="26"/>
        <v>2.2114408337999998</v>
      </c>
      <c r="BK16" s="35">
        <f t="shared" si="26"/>
        <v>5.0489516753424653</v>
      </c>
      <c r="BL16" s="42">
        <f t="shared" si="42"/>
        <v>1.8052487224539737E-2</v>
      </c>
      <c r="BM16" s="36">
        <f t="shared" si="43"/>
        <v>0.59888999999999992</v>
      </c>
      <c r="BN16" s="34">
        <f t="shared" si="27"/>
        <v>0.94798801713418823</v>
      </c>
      <c r="BO16" s="35">
        <f t="shared" si="28"/>
        <v>35.723727269999998</v>
      </c>
      <c r="BP16" s="35">
        <f t="shared" si="28"/>
        <v>2.1434236361999996</v>
      </c>
      <c r="BQ16" s="35">
        <f t="shared" si="28"/>
        <v>4.8936612698630135</v>
      </c>
      <c r="BR16" s="42">
        <f t="shared" si="44"/>
        <v>2.5456723569931117E-2</v>
      </c>
      <c r="BS16" s="36">
        <f t="shared" si="45"/>
        <v>0.81855</v>
      </c>
      <c r="BT16" s="34">
        <f t="shared" si="29"/>
        <v>0.84265601523038958</v>
      </c>
      <c r="BU16" s="35">
        <f t="shared" si="30"/>
        <v>34.508015520000001</v>
      </c>
      <c r="BV16" s="35">
        <f t="shared" si="30"/>
        <v>2.0704809312000001</v>
      </c>
      <c r="BW16" s="35">
        <f t="shared" si="30"/>
        <v>4.72712541369863</v>
      </c>
      <c r="BX16" s="42">
        <f t="shared" si="46"/>
        <v>2.3600207596058253E-2</v>
      </c>
      <c r="BY16" s="36">
        <f t="shared" si="47"/>
        <v>0.73303000000000007</v>
      </c>
      <c r="BZ16" s="48"/>
      <c r="CA16" s="18"/>
      <c r="CB16" s="18"/>
      <c r="CC16" s="18"/>
      <c r="CD16" s="49"/>
      <c r="CE16" s="18"/>
      <c r="CF16" s="18"/>
      <c r="CG16" s="18"/>
      <c r="CH16" s="18"/>
      <c r="CI16" s="18"/>
      <c r="CJ16" s="49"/>
      <c r="CK16" s="18"/>
      <c r="CL16" s="18"/>
      <c r="CM16" s="18"/>
      <c r="CN16" s="18"/>
      <c r="CO16" s="18"/>
      <c r="CP16" s="49"/>
      <c r="CQ16" s="18"/>
    </row>
    <row r="17" spans="2:95" ht="15" thickBot="1" x14ac:dyDescent="0.35">
      <c r="X17" s="34">
        <f t="shared" si="12"/>
        <v>4.5933865009451385</v>
      </c>
      <c r="Y17" s="35">
        <f t="shared" si="13"/>
        <v>2.8370051599999995</v>
      </c>
      <c r="Z17" s="35">
        <f t="shared" si="13"/>
        <v>0.17022030959999995</v>
      </c>
      <c r="AA17" s="35">
        <f t="shared" si="13"/>
        <v>0.38863084383561636</v>
      </c>
      <c r="AB17" s="42">
        <f t="shared" si="31"/>
        <v>2.2888555585143884</v>
      </c>
      <c r="AC17" s="36">
        <f t="shared" si="14"/>
        <v>5.8447300000000002</v>
      </c>
      <c r="AD17" s="34">
        <f t="shared" si="15"/>
        <v>2.2966932504725692</v>
      </c>
      <c r="AE17" s="35">
        <f t="shared" si="16"/>
        <v>30.157417289999994</v>
      </c>
      <c r="AF17" s="35">
        <f t="shared" si="16"/>
        <v>1.8094450373999995</v>
      </c>
      <c r="AG17" s="35">
        <f t="shared" si="16"/>
        <v>4.131153053424657</v>
      </c>
      <c r="AH17" s="42">
        <f t="shared" si="32"/>
        <v>0.19497619950199654</v>
      </c>
      <c r="AI17" s="36">
        <f t="shared" si="33"/>
        <v>5.29251</v>
      </c>
      <c r="AJ17" s="34">
        <f t="shared" si="17"/>
        <v>1.5311288336483795</v>
      </c>
      <c r="AK17" s="35">
        <f t="shared" si="18"/>
        <v>22.111333089999995</v>
      </c>
      <c r="AL17" s="35">
        <f t="shared" si="18"/>
        <v>1.3266799853999998</v>
      </c>
      <c r="AM17" s="35">
        <f t="shared" si="18"/>
        <v>3.0289497383561637</v>
      </c>
      <c r="AN17" s="42">
        <f t="shared" si="34"/>
        <v>0.18389684753285945</v>
      </c>
      <c r="AO17" s="36">
        <f t="shared" si="35"/>
        <v>3.6599499999999998</v>
      </c>
      <c r="AP17" s="34">
        <f t="shared" si="19"/>
        <v>1.1483466252362846</v>
      </c>
      <c r="AQ17" s="35">
        <f t="shared" si="20"/>
        <v>25.321934219999996</v>
      </c>
      <c r="AR17" s="35">
        <f t="shared" si="20"/>
        <v>1.5193160531999996</v>
      </c>
      <c r="AS17" s="35">
        <f t="shared" si="20"/>
        <v>3.4687581123287665</v>
      </c>
      <c r="AT17" s="42">
        <f t="shared" si="36"/>
        <v>0.18612391530017966</v>
      </c>
      <c r="AU17" s="36">
        <f t="shared" si="37"/>
        <v>4.24214</v>
      </c>
      <c r="AV17" s="34">
        <f t="shared" si="21"/>
        <v>0.91867730018902771</v>
      </c>
      <c r="AW17" s="35">
        <f t="shared" si="22"/>
        <v>32.101656179999999</v>
      </c>
      <c r="AX17" s="35">
        <f t="shared" si="22"/>
        <v>1.9260993707999998</v>
      </c>
      <c r="AY17" s="35">
        <f t="shared" si="22"/>
        <v>4.3974871479452053</v>
      </c>
      <c r="AZ17" s="42">
        <f t="shared" si="38"/>
        <v>0.10393958963646217</v>
      </c>
      <c r="BA17" s="36">
        <f t="shared" si="39"/>
        <v>3.0032700000000001</v>
      </c>
      <c r="BB17" s="34">
        <f t="shared" si="23"/>
        <v>0.76556441682418974</v>
      </c>
      <c r="BC17" s="35">
        <f t="shared" si="24"/>
        <v>34.367118500000004</v>
      </c>
      <c r="BD17" s="35">
        <f t="shared" si="24"/>
        <v>2.0620271100000003</v>
      </c>
      <c r="BE17" s="35">
        <f t="shared" si="24"/>
        <v>4.7078244520547949</v>
      </c>
      <c r="BF17" s="42">
        <f t="shared" si="40"/>
        <v>4.5936282670890789E-2</v>
      </c>
      <c r="BG17" s="36">
        <f t="shared" si="41"/>
        <v>1.4209700000000001</v>
      </c>
      <c r="BH17" s="34">
        <f t="shared" si="25"/>
        <v>0.65619807156359122</v>
      </c>
      <c r="BI17" s="35">
        <f t="shared" si="26"/>
        <v>32.990956130000008</v>
      </c>
      <c r="BJ17" s="35">
        <f t="shared" si="26"/>
        <v>1.9794573678000005</v>
      </c>
      <c r="BK17" s="35">
        <f t="shared" si="26"/>
        <v>4.5193090589041107</v>
      </c>
      <c r="BL17" s="42">
        <f t="shared" si="42"/>
        <v>4.5055317710187254E-2</v>
      </c>
      <c r="BM17" s="36">
        <f t="shared" si="43"/>
        <v>1.3379099999999999</v>
      </c>
      <c r="BN17" s="34">
        <f t="shared" si="27"/>
        <v>0.57417331261814231</v>
      </c>
      <c r="BO17" s="35">
        <f t="shared" si="28"/>
        <v>31.741803280000003</v>
      </c>
      <c r="BP17" s="35">
        <f t="shared" si="28"/>
        <v>1.9045081968000002</v>
      </c>
      <c r="BQ17" s="35">
        <f t="shared" si="28"/>
        <v>4.3481922301369869</v>
      </c>
      <c r="BR17" s="42">
        <f t="shared" si="44"/>
        <v>3.289164200251448E-2</v>
      </c>
      <c r="BS17" s="36">
        <f t="shared" si="45"/>
        <v>0.93972999999999995</v>
      </c>
      <c r="BT17" s="34">
        <f t="shared" si="29"/>
        <v>0.51037627788279316</v>
      </c>
      <c r="BU17" s="35">
        <f t="shared" si="30"/>
        <v>30.275772120000003</v>
      </c>
      <c r="BV17" s="35">
        <f t="shared" si="30"/>
        <v>1.8165463272000002</v>
      </c>
      <c r="BW17" s="35">
        <f t="shared" si="30"/>
        <v>4.1473660438356168</v>
      </c>
      <c r="BX17" s="42">
        <f t="shared" si="46"/>
        <v>3.6851599872591463E-2</v>
      </c>
      <c r="BY17" s="36">
        <f t="shared" si="47"/>
        <v>1.00424</v>
      </c>
      <c r="BZ17" s="48"/>
      <c r="CA17" s="18"/>
      <c r="CB17" s="18"/>
      <c r="CC17" s="18"/>
      <c r="CD17" s="49"/>
      <c r="CE17" s="18"/>
      <c r="CF17" s="18"/>
      <c r="CG17" s="18"/>
      <c r="CH17" s="18"/>
      <c r="CI17" s="18"/>
      <c r="CJ17" s="49"/>
      <c r="CK17" s="18"/>
      <c r="CL17" s="18"/>
      <c r="CM17" s="18"/>
      <c r="CN17" s="18"/>
      <c r="CO17" s="18"/>
      <c r="CP17" s="49"/>
      <c r="CQ17" s="18"/>
    </row>
    <row r="18" spans="2:95" ht="17.399999999999999" thickTop="1" thickBot="1" x14ac:dyDescent="0.35">
      <c r="B18" t="s">
        <v>20</v>
      </c>
      <c r="C18" t="s">
        <v>2</v>
      </c>
      <c r="D18" t="s">
        <v>1</v>
      </c>
      <c r="E18" t="s">
        <v>5</v>
      </c>
      <c r="F18" t="s">
        <v>0</v>
      </c>
      <c r="G18" t="s">
        <v>3</v>
      </c>
      <c r="H18" t="s">
        <v>4</v>
      </c>
      <c r="I18" t="s">
        <v>6</v>
      </c>
      <c r="K18" s="9" t="s">
        <v>41</v>
      </c>
      <c r="L18" s="10" t="s">
        <v>42</v>
      </c>
      <c r="M18" s="10" t="s">
        <v>43</v>
      </c>
      <c r="N18" s="10" t="s">
        <v>47</v>
      </c>
      <c r="O18" s="10" t="s">
        <v>44</v>
      </c>
      <c r="P18" s="10" t="s">
        <v>45</v>
      </c>
      <c r="Q18" s="10" t="s">
        <v>48</v>
      </c>
      <c r="R18" s="10" t="s">
        <v>49</v>
      </c>
      <c r="S18" s="13" t="s">
        <v>50</v>
      </c>
      <c r="T18" s="13" t="s">
        <v>52</v>
      </c>
      <c r="U18" s="13" t="s">
        <v>51</v>
      </c>
      <c r="V18" s="10" t="s">
        <v>44</v>
      </c>
      <c r="W18" s="14"/>
      <c r="X18" s="34">
        <f t="shared" si="12"/>
        <v>3.3199314008207654</v>
      </c>
      <c r="Y18" s="35">
        <f t="shared" si="13"/>
        <v>11.012709729999997</v>
      </c>
      <c r="Z18" s="35">
        <f t="shared" si="13"/>
        <v>0.66076258379999986</v>
      </c>
      <c r="AA18" s="35">
        <f t="shared" si="13"/>
        <v>1.5085903739726023</v>
      </c>
      <c r="AB18" s="42">
        <f t="shared" si="31"/>
        <v>0.43806311873072512</v>
      </c>
      <c r="AC18" s="36">
        <f t="shared" si="14"/>
        <v>4.3422700000000001</v>
      </c>
      <c r="AD18" s="34">
        <f t="shared" si="15"/>
        <v>1.6599657004103827</v>
      </c>
      <c r="AE18" s="35">
        <f t="shared" si="16"/>
        <v>29.39488244</v>
      </c>
      <c r="AF18" s="35">
        <f t="shared" si="16"/>
        <v>1.7636929464</v>
      </c>
      <c r="AG18" s="35">
        <f t="shared" si="16"/>
        <v>4.0266962246575346</v>
      </c>
      <c r="AH18" s="42">
        <f t="shared" si="32"/>
        <v>0.15425670231052641</v>
      </c>
      <c r="AI18" s="36">
        <f t="shared" si="33"/>
        <v>4.0813300000000003</v>
      </c>
      <c r="AJ18" s="34">
        <f t="shared" si="17"/>
        <v>1.1066438002735886</v>
      </c>
      <c r="AK18" s="35">
        <f t="shared" si="18"/>
        <v>21.13037564</v>
      </c>
      <c r="AL18" s="35">
        <f t="shared" si="18"/>
        <v>1.2678225383999999</v>
      </c>
      <c r="AM18" s="35">
        <f t="shared" si="18"/>
        <v>2.8945720054794521</v>
      </c>
      <c r="AN18" s="42">
        <f t="shared" si="34"/>
        <v>0.19512872228332992</v>
      </c>
      <c r="AO18" s="36">
        <f t="shared" si="35"/>
        <v>3.7111999999999998</v>
      </c>
      <c r="AP18" s="34">
        <f t="shared" si="19"/>
        <v>0.82998285020519136</v>
      </c>
      <c r="AQ18" s="35">
        <f t="shared" si="20"/>
        <v>22.122898599999996</v>
      </c>
      <c r="AR18" s="35">
        <f t="shared" si="20"/>
        <v>1.3273739159999998</v>
      </c>
      <c r="AS18" s="35">
        <f t="shared" si="20"/>
        <v>3.0305340547945199</v>
      </c>
      <c r="AT18" s="42">
        <f t="shared" si="36"/>
        <v>0.23716541285417281</v>
      </c>
      <c r="AU18" s="36">
        <f t="shared" si="37"/>
        <v>4.7225800000000007</v>
      </c>
      <c r="AV18" s="34">
        <f t="shared" si="21"/>
        <v>0.66398628016415306</v>
      </c>
      <c r="AW18" s="35">
        <f t="shared" si="22"/>
        <v>25.95444874</v>
      </c>
      <c r="AX18" s="35">
        <f t="shared" si="22"/>
        <v>1.5572669243999999</v>
      </c>
      <c r="AY18" s="35">
        <f t="shared" si="22"/>
        <v>3.5554039369863015</v>
      </c>
      <c r="AZ18" s="42">
        <f t="shared" si="38"/>
        <v>0.12895792792707955</v>
      </c>
      <c r="BA18" s="36">
        <f t="shared" si="39"/>
        <v>3.0126300000000001</v>
      </c>
      <c r="BB18" s="34">
        <f t="shared" si="23"/>
        <v>0.55332190013679428</v>
      </c>
      <c r="BC18" s="35">
        <f t="shared" si="24"/>
        <v>28.92157422</v>
      </c>
      <c r="BD18" s="35">
        <f t="shared" si="24"/>
        <v>1.7352944531999999</v>
      </c>
      <c r="BE18" s="35">
        <f t="shared" si="24"/>
        <v>3.9618594821917807</v>
      </c>
      <c r="BF18" s="42">
        <f t="shared" si="40"/>
        <v>4.9922748983751548E-2</v>
      </c>
      <c r="BG18" s="36">
        <f t="shared" si="41"/>
        <v>1.29959</v>
      </c>
      <c r="BH18" s="34">
        <f t="shared" si="25"/>
        <v>0.47427591440296651</v>
      </c>
      <c r="BI18" s="35">
        <f t="shared" si="26"/>
        <v>27.827639180000002</v>
      </c>
      <c r="BJ18" s="35">
        <f t="shared" si="26"/>
        <v>1.6696583508</v>
      </c>
      <c r="BK18" s="35">
        <f t="shared" si="26"/>
        <v>3.8120053671232879</v>
      </c>
      <c r="BL18" s="42">
        <f t="shared" si="42"/>
        <v>4.3892015851558129E-2</v>
      </c>
      <c r="BM18" s="36">
        <f t="shared" si="43"/>
        <v>1.09938</v>
      </c>
      <c r="BN18" s="34">
        <f t="shared" si="27"/>
        <v>0.41499142510259568</v>
      </c>
      <c r="BO18" s="35">
        <f t="shared" si="28"/>
        <v>27.233098640000001</v>
      </c>
      <c r="BP18" s="35">
        <f t="shared" si="28"/>
        <v>1.6339859184000001</v>
      </c>
      <c r="BQ18" s="35">
        <f t="shared" si="28"/>
        <v>3.7305614575342467</v>
      </c>
      <c r="BR18" s="42">
        <f t="shared" si="44"/>
        <v>4.4870644216929989E-2</v>
      </c>
      <c r="BS18" s="36">
        <f t="shared" si="45"/>
        <v>1.09988</v>
      </c>
      <c r="BT18" s="34">
        <f t="shared" si="29"/>
        <v>0.36888126675786281</v>
      </c>
      <c r="BU18" s="35">
        <f t="shared" si="30"/>
        <v>23.526302690000005</v>
      </c>
      <c r="BV18" s="35">
        <f t="shared" si="30"/>
        <v>1.4115781614000003</v>
      </c>
      <c r="BW18" s="35">
        <f t="shared" si="30"/>
        <v>3.2227811904109598</v>
      </c>
      <c r="BX18" s="42">
        <f t="shared" si="46"/>
        <v>3.957207735815288E-2</v>
      </c>
      <c r="BY18" s="36">
        <f t="shared" si="47"/>
        <v>0.8379700000000001</v>
      </c>
      <c r="BZ18" s="48"/>
      <c r="CA18" s="18"/>
      <c r="CB18" s="18"/>
      <c r="CC18" s="18"/>
      <c r="CD18" s="49"/>
      <c r="CE18" s="18"/>
      <c r="CF18" s="18"/>
      <c r="CG18" s="18"/>
      <c r="CH18" s="18"/>
      <c r="CI18" s="18"/>
      <c r="CJ18" s="49"/>
      <c r="CK18" s="18"/>
      <c r="CL18" s="18"/>
      <c r="CM18" s="18"/>
      <c r="CN18" s="18"/>
      <c r="CO18" s="18"/>
      <c r="CP18" s="49"/>
      <c r="CQ18" s="18"/>
    </row>
    <row r="19" spans="2:95" ht="15" thickTop="1" x14ac:dyDescent="0.3">
      <c r="B19">
        <v>1</v>
      </c>
      <c r="C19">
        <v>4938.8999999999996</v>
      </c>
      <c r="D19">
        <v>253124.8</v>
      </c>
      <c r="E19">
        <v>14311.9</v>
      </c>
      <c r="F19">
        <f t="shared" ref="F19:F29" si="48">D19/10000</f>
        <v>25.312479999999997</v>
      </c>
      <c r="G19">
        <f t="shared" ref="G19:G29" si="49">C19/10000</f>
        <v>0.49388999999999994</v>
      </c>
      <c r="H19">
        <f t="shared" ref="H19:H29" si="50">F19-G19</f>
        <v>24.818589999999997</v>
      </c>
      <c r="I19">
        <f>E19/10000</f>
        <v>1.43119</v>
      </c>
      <c r="K19" s="66">
        <v>2</v>
      </c>
      <c r="L19" s="1">
        <v>-98.2</v>
      </c>
      <c r="M19" s="8">
        <f>L19+98.2</f>
        <v>0</v>
      </c>
      <c r="N19" s="8">
        <f>20.56036*SQRT(1+((L19-(-98.58903))*1.03*1095.70644/(3.14159*20.56036^2))^2)</f>
        <v>21.654820206582954</v>
      </c>
      <c r="O19" s="8">
        <f>2*$Z$1/$Z$2/PI()/(N19*10^-4)^2/$K$19/$Z$7</f>
        <v>4.9552300635014159</v>
      </c>
      <c r="P19" s="2">
        <v>3</v>
      </c>
      <c r="Q19" s="8">
        <f>H19</f>
        <v>24.818589999999997</v>
      </c>
      <c r="R19" s="8">
        <f>I19</f>
        <v>1.43119</v>
      </c>
      <c r="S19" s="8">
        <f>Q19/10^6*$Z$4*$Z$3/P19*10^12</f>
        <v>27.573453489999999</v>
      </c>
      <c r="T19" s="8">
        <f>S19*0.06</f>
        <v>1.6544072093999997</v>
      </c>
      <c r="U19" s="8">
        <f>S19/$Z$1</f>
        <v>3.7771854095890411</v>
      </c>
      <c r="V19" s="12">
        <f t="shared" ref="V19:V29" si="51">O19</f>
        <v>4.9552300635014159</v>
      </c>
      <c r="W19" s="19"/>
      <c r="X19" s="34">
        <f t="shared" si="12"/>
        <v>2.2980318260987831</v>
      </c>
      <c r="Y19" s="35">
        <f t="shared" si="13"/>
        <v>20.012115255000001</v>
      </c>
      <c r="Z19" s="35">
        <f t="shared" si="13"/>
        <v>1.2007269153</v>
      </c>
      <c r="AA19" s="35">
        <f t="shared" si="13"/>
        <v>2.7413856513698631</v>
      </c>
      <c r="AB19" s="42">
        <f t="shared" si="31"/>
        <v>0.14152052676152752</v>
      </c>
      <c r="AC19" s="36">
        <f t="shared" si="14"/>
        <v>3.3988900000000002</v>
      </c>
      <c r="AD19" s="34">
        <f t="shared" si="15"/>
        <v>1.1490159130493915</v>
      </c>
      <c r="AE19" s="35">
        <f t="shared" si="16"/>
        <v>30.415999762499993</v>
      </c>
      <c r="AF19" s="35">
        <f t="shared" si="16"/>
        <v>1.8249599857499996</v>
      </c>
      <c r="AG19" s="35">
        <f t="shared" si="16"/>
        <v>4.1665753099315062</v>
      </c>
      <c r="AH19" s="42">
        <f t="shared" si="32"/>
        <v>0.11909042718582251</v>
      </c>
      <c r="AI19" s="36">
        <f t="shared" si="33"/>
        <v>4.3471400000000004</v>
      </c>
      <c r="AJ19" s="34">
        <f t="shared" si="17"/>
        <v>0.76601060869959436</v>
      </c>
      <c r="AK19" s="35">
        <f t="shared" si="18"/>
        <v>21.691322317499999</v>
      </c>
      <c r="AL19" s="35">
        <f t="shared" si="18"/>
        <v>1.3014793390499999</v>
      </c>
      <c r="AM19" s="35">
        <f t="shared" si="18"/>
        <v>2.9714140160958902</v>
      </c>
      <c r="AN19" s="42">
        <f t="shared" si="34"/>
        <v>0.16961692427721217</v>
      </c>
      <c r="AO19" s="36">
        <f t="shared" si="35"/>
        <v>4.4154999999999998</v>
      </c>
      <c r="AP19" s="34">
        <f t="shared" si="19"/>
        <v>0.57450795652469577</v>
      </c>
      <c r="AQ19" s="35">
        <f t="shared" si="20"/>
        <v>15.936164557499998</v>
      </c>
      <c r="AR19" s="35">
        <f t="shared" si="20"/>
        <v>0.95616987344999982</v>
      </c>
      <c r="AS19" s="35">
        <f t="shared" si="20"/>
        <v>2.1830362407534243</v>
      </c>
      <c r="AT19" s="42">
        <f t="shared" si="36"/>
        <v>0.22283403510845051</v>
      </c>
      <c r="AU19" s="36">
        <f t="shared" si="37"/>
        <v>4.2617699999999994</v>
      </c>
      <c r="AV19" s="34">
        <f t="shared" si="21"/>
        <v>0.45960636521975662</v>
      </c>
      <c r="AW19" s="35">
        <f t="shared" si="22"/>
        <v>14.757199132499998</v>
      </c>
      <c r="AX19" s="35">
        <f t="shared" si="22"/>
        <v>0.88543194794999991</v>
      </c>
      <c r="AY19" s="35">
        <f t="shared" si="22"/>
        <v>2.0215341277397259</v>
      </c>
      <c r="AZ19" s="42">
        <f t="shared" si="38"/>
        <v>0.21547948353538968</v>
      </c>
      <c r="BA19" s="36">
        <f t="shared" si="39"/>
        <v>3.8162300000000005</v>
      </c>
      <c r="BB19" s="34">
        <f t="shared" si="23"/>
        <v>0.38300530434979718</v>
      </c>
      <c r="BC19" s="35">
        <f t="shared" si="24"/>
        <v>14.554544400000001</v>
      </c>
      <c r="BD19" s="35">
        <f t="shared" si="24"/>
        <v>0.87327266400000003</v>
      </c>
      <c r="BE19" s="35">
        <f t="shared" si="24"/>
        <v>1.9937732054794521</v>
      </c>
      <c r="BF19" s="42">
        <f t="shared" si="40"/>
        <v>0.18573955757076116</v>
      </c>
      <c r="BG19" s="36">
        <f t="shared" si="41"/>
        <v>3.2443499999999998</v>
      </c>
      <c r="BH19" s="34">
        <f t="shared" si="25"/>
        <v>0.32829026087125474</v>
      </c>
      <c r="BI19" s="35">
        <f t="shared" si="26"/>
        <v>12.855630975</v>
      </c>
      <c r="BJ19" s="35">
        <f t="shared" si="26"/>
        <v>0.77133785850000003</v>
      </c>
      <c r="BK19" s="35">
        <f t="shared" si="26"/>
        <v>1.7610453390410961</v>
      </c>
      <c r="BL19" s="42">
        <f t="shared" si="42"/>
        <v>0.17050161067648412</v>
      </c>
      <c r="BM19" s="36">
        <f t="shared" si="43"/>
        <v>2.6305499999999999</v>
      </c>
      <c r="BN19" s="34">
        <f t="shared" si="27"/>
        <v>0.28725397826234789</v>
      </c>
      <c r="BO19" s="35">
        <f t="shared" si="28"/>
        <v>12.624387434999999</v>
      </c>
      <c r="BP19" s="35">
        <f t="shared" si="28"/>
        <v>0.75746324609999993</v>
      </c>
      <c r="BQ19" s="35">
        <f t="shared" si="28"/>
        <v>1.7293681417808218</v>
      </c>
      <c r="BR19" s="42">
        <f t="shared" si="44"/>
        <v>0.16912924615102326</v>
      </c>
      <c r="BS19" s="36">
        <f t="shared" si="45"/>
        <v>2.5624400000000001</v>
      </c>
      <c r="BT19" s="34">
        <f t="shared" si="29"/>
        <v>0.25533686956653145</v>
      </c>
      <c r="BU19" s="35">
        <f t="shared" si="30"/>
        <v>8.9439388500000003</v>
      </c>
      <c r="BV19" s="35">
        <f t="shared" si="30"/>
        <v>0.53663633099999997</v>
      </c>
      <c r="BW19" s="35">
        <f t="shared" si="30"/>
        <v>1.2251971027397262</v>
      </c>
      <c r="BX19" s="42">
        <f t="shared" si="46"/>
        <v>0.25342842236672941</v>
      </c>
      <c r="BY19" s="36">
        <f t="shared" si="47"/>
        <v>2.7202500000000001</v>
      </c>
      <c r="BZ19" s="48"/>
      <c r="CA19" s="18"/>
      <c r="CB19" s="18"/>
      <c r="CC19" s="18"/>
      <c r="CD19" s="49"/>
      <c r="CE19" s="18"/>
      <c r="CF19" s="18"/>
      <c r="CG19" s="18"/>
      <c r="CH19" s="18"/>
      <c r="CI19" s="18"/>
      <c r="CJ19" s="49"/>
      <c r="CK19" s="18"/>
      <c r="CL19" s="18"/>
      <c r="CM19" s="18"/>
      <c r="CN19" s="18"/>
      <c r="CO19" s="18"/>
      <c r="CP19" s="49"/>
      <c r="CQ19" s="18"/>
    </row>
    <row r="20" spans="2:95" x14ac:dyDescent="0.3">
      <c r="B20">
        <v>2</v>
      </c>
      <c r="C20">
        <v>2567.5</v>
      </c>
      <c r="D20">
        <v>286238.59999999998</v>
      </c>
      <c r="E20">
        <v>6998.2</v>
      </c>
      <c r="F20">
        <f t="shared" si="48"/>
        <v>28.623859999999997</v>
      </c>
      <c r="G20">
        <f t="shared" si="49"/>
        <v>0.25674999999999998</v>
      </c>
      <c r="H20">
        <f t="shared" si="50"/>
        <v>28.367109999999997</v>
      </c>
      <c r="I20">
        <f t="shared" ref="I20:I29" si="52">E20/10000</f>
        <v>0.69982</v>
      </c>
      <c r="K20" s="67"/>
      <c r="L20" s="3">
        <v>-98</v>
      </c>
      <c r="M20" s="5">
        <f>L20+98.2</f>
        <v>0.20000000000000284</v>
      </c>
      <c r="N20" s="5">
        <f t="shared" ref="N20:N29" si="53">20.56036*SQRT(1+((L20-(-98.58903))*1.03*1095.70644/(3.14159*20.56036^2))^2)</f>
        <v>22.992351577801337</v>
      </c>
      <c r="O20" s="5">
        <f t="shared" ref="O20:O29" si="54">2*$Z$1/$Z$2/PI()/(N20*10^-4)^2/$K$19/$Z$7</f>
        <v>4.3954789452463654</v>
      </c>
      <c r="P20" s="4">
        <v>3</v>
      </c>
      <c r="Q20" s="5">
        <f t="shared" ref="Q20:R29" si="55">H20</f>
        <v>28.367109999999997</v>
      </c>
      <c r="R20" s="5">
        <f t="shared" si="55"/>
        <v>0.69982</v>
      </c>
      <c r="S20" s="5">
        <f t="shared" ref="S20:S29" si="56">Q20/10^6*$Z$4*$Z$3/P20*10^12</f>
        <v>31.515859209999999</v>
      </c>
      <c r="T20" s="5">
        <f t="shared" ref="T20:T29" si="57">S20*0.06</f>
        <v>1.8909515525999998</v>
      </c>
      <c r="U20" s="5">
        <f t="shared" ref="U20:U29" si="58">S20/$Z$1</f>
        <v>4.3172409876712328</v>
      </c>
      <c r="V20" s="5">
        <f t="shared" si="51"/>
        <v>4.3954789452463654</v>
      </c>
      <c r="W20" s="19"/>
      <c r="X20" s="34">
        <f t="shared" si="12"/>
        <v>1.6612842792050866</v>
      </c>
      <c r="Y20" s="35">
        <f t="shared" si="13"/>
        <v>32.998241512500002</v>
      </c>
      <c r="Z20" s="35">
        <f t="shared" si="13"/>
        <v>1.97989449075</v>
      </c>
      <c r="AA20" s="35">
        <f t="shared" si="13"/>
        <v>4.5203070565068497</v>
      </c>
      <c r="AB20" s="42">
        <f t="shared" si="31"/>
        <v>4.6420558635518291E-2</v>
      </c>
      <c r="AC20" s="36">
        <f t="shared" si="14"/>
        <v>1.8383400000000001</v>
      </c>
      <c r="AD20" s="34">
        <f t="shared" si="15"/>
        <v>0.83064213960254329</v>
      </c>
      <c r="AE20" s="35">
        <f t="shared" si="16"/>
        <v>29.548819822500004</v>
      </c>
      <c r="AF20" s="35">
        <f t="shared" si="16"/>
        <v>1.7729291893500001</v>
      </c>
      <c r="AG20" s="35">
        <f t="shared" si="16"/>
        <v>4.0477835373287681</v>
      </c>
      <c r="AH20" s="42">
        <f t="shared" si="32"/>
        <v>0.11026297630740171</v>
      </c>
      <c r="AI20" s="36">
        <f t="shared" si="33"/>
        <v>3.9101599999999999</v>
      </c>
      <c r="AJ20" s="34">
        <f t="shared" si="17"/>
        <v>0.55376142640169557</v>
      </c>
      <c r="AK20" s="35">
        <f t="shared" si="18"/>
        <v>18.413483467499997</v>
      </c>
      <c r="AL20" s="35">
        <f t="shared" si="18"/>
        <v>1.1048090080499997</v>
      </c>
      <c r="AM20" s="35">
        <f t="shared" si="18"/>
        <v>2.5223949955479448</v>
      </c>
      <c r="AN20" s="42">
        <f t="shared" si="34"/>
        <v>0.12890939113663938</v>
      </c>
      <c r="AO20" s="36">
        <f t="shared" si="35"/>
        <v>2.8486899999999999</v>
      </c>
      <c r="AP20" s="34">
        <f t="shared" si="19"/>
        <v>0.41532106980127165</v>
      </c>
      <c r="AQ20" s="35">
        <f t="shared" si="20"/>
        <v>13.04926161</v>
      </c>
      <c r="AR20" s="35">
        <f t="shared" si="20"/>
        <v>0.78295569659999997</v>
      </c>
      <c r="AS20" s="35">
        <f t="shared" si="20"/>
        <v>1.7875700835616439</v>
      </c>
      <c r="AT20" s="42">
        <f t="shared" si="36"/>
        <v>0.17166432108950569</v>
      </c>
      <c r="AU20" s="36">
        <f t="shared" si="37"/>
        <v>2.68838</v>
      </c>
      <c r="AV20" s="34">
        <f t="shared" si="21"/>
        <v>0.33225685584101733</v>
      </c>
      <c r="AW20" s="35">
        <f t="shared" si="22"/>
        <v>10.4039178375</v>
      </c>
      <c r="AX20" s="35">
        <f t="shared" si="22"/>
        <v>0.62423507025000002</v>
      </c>
      <c r="AY20" s="35">
        <f t="shared" si="22"/>
        <v>1.4251942243150686</v>
      </c>
      <c r="AZ20" s="42">
        <f t="shared" si="38"/>
        <v>0.17755637336366076</v>
      </c>
      <c r="BA20" s="36">
        <f t="shared" si="39"/>
        <v>2.2169599999999998</v>
      </c>
      <c r="BB20" s="34">
        <f t="shared" si="23"/>
        <v>0.27688071320084778</v>
      </c>
      <c r="BC20" s="35">
        <f t="shared" si="24"/>
        <v>7.7566575900000005</v>
      </c>
      <c r="BD20" s="35">
        <f t="shared" si="24"/>
        <v>0.4653994554</v>
      </c>
      <c r="BE20" s="35">
        <f t="shared" si="24"/>
        <v>1.0625558342465755</v>
      </c>
      <c r="BF20" s="42">
        <f t="shared" si="40"/>
        <v>0.16173197320419552</v>
      </c>
      <c r="BG20" s="36">
        <f t="shared" si="41"/>
        <v>1.5055499999999999</v>
      </c>
      <c r="BH20" s="34">
        <f t="shared" si="25"/>
        <v>0.23732632560072667</v>
      </c>
      <c r="BI20" s="35">
        <f t="shared" si="26"/>
        <v>6.0187314000000001</v>
      </c>
      <c r="BJ20" s="35">
        <f t="shared" si="26"/>
        <v>0.36112388400000001</v>
      </c>
      <c r="BK20" s="35">
        <f t="shared" si="26"/>
        <v>0.82448375342465752</v>
      </c>
      <c r="BL20" s="42">
        <f t="shared" si="42"/>
        <v>0.18576392734522093</v>
      </c>
      <c r="BM20" s="36">
        <f t="shared" si="43"/>
        <v>1.3418099999999999</v>
      </c>
      <c r="BN20" s="34">
        <f t="shared" si="27"/>
        <v>0.20766053490063582</v>
      </c>
      <c r="BO20" s="35">
        <f t="shared" si="28"/>
        <v>5.6045394899999996</v>
      </c>
      <c r="BP20" s="35">
        <f t="shared" si="28"/>
        <v>0.33627236939999994</v>
      </c>
      <c r="BQ20" s="35">
        <f t="shared" si="28"/>
        <v>0.76774513561643831</v>
      </c>
      <c r="BR20" s="42">
        <f t="shared" si="44"/>
        <v>0.2110384590224379</v>
      </c>
      <c r="BS20" s="36">
        <f t="shared" si="45"/>
        <v>1.41947</v>
      </c>
      <c r="BT20" s="34">
        <f t="shared" si="29"/>
        <v>0.18458714213389851</v>
      </c>
      <c r="BU20" s="35">
        <f t="shared" si="30"/>
        <v>3.9762773325</v>
      </c>
      <c r="BV20" s="35">
        <f t="shared" si="30"/>
        <v>0.23857663995</v>
      </c>
      <c r="BW20" s="35">
        <f t="shared" si="30"/>
        <v>0.54469552500000007</v>
      </c>
      <c r="BX20" s="42">
        <f t="shared" si="46"/>
        <v>0.18827286615074157</v>
      </c>
      <c r="BY20" s="36">
        <f t="shared" si="47"/>
        <v>0.89844000000000002</v>
      </c>
      <c r="BZ20" s="48"/>
      <c r="CA20" s="18"/>
      <c r="CB20" s="18"/>
      <c r="CC20" s="18"/>
      <c r="CD20" s="49"/>
      <c r="CE20" s="18"/>
      <c r="CF20" s="18"/>
      <c r="CG20" s="18"/>
      <c r="CH20" s="18"/>
      <c r="CI20" s="18"/>
      <c r="CJ20" s="49"/>
      <c r="CK20" s="18"/>
      <c r="CL20" s="18"/>
      <c r="CM20" s="18"/>
      <c r="CN20" s="18"/>
      <c r="CO20" s="18"/>
      <c r="CP20" s="49"/>
      <c r="CQ20" s="18"/>
    </row>
    <row r="21" spans="2:95" x14ac:dyDescent="0.3">
      <c r="B21">
        <v>3</v>
      </c>
      <c r="C21">
        <v>3255.5</v>
      </c>
      <c r="D21">
        <v>298657.7</v>
      </c>
      <c r="E21">
        <v>9759.4</v>
      </c>
      <c r="F21">
        <f t="shared" si="48"/>
        <v>29.865770000000001</v>
      </c>
      <c r="G21">
        <f t="shared" si="49"/>
        <v>0.32555000000000001</v>
      </c>
      <c r="H21">
        <f t="shared" si="50"/>
        <v>29.540220000000001</v>
      </c>
      <c r="I21">
        <f t="shared" si="52"/>
        <v>0.97593999999999992</v>
      </c>
      <c r="K21" s="67"/>
      <c r="L21" s="3">
        <v>-97.8</v>
      </c>
      <c r="M21" s="5">
        <f t="shared" ref="M21:M29" si="59">L21+98.2</f>
        <v>0.40000000000000568</v>
      </c>
      <c r="N21" s="5">
        <f t="shared" si="53"/>
        <v>24.754552179927092</v>
      </c>
      <c r="O21" s="5">
        <f t="shared" si="54"/>
        <v>3.7919520685367529</v>
      </c>
      <c r="P21" s="4">
        <v>3</v>
      </c>
      <c r="Q21" s="5">
        <f t="shared" si="55"/>
        <v>29.540220000000001</v>
      </c>
      <c r="R21" s="5">
        <f t="shared" si="55"/>
        <v>0.97593999999999992</v>
      </c>
      <c r="S21" s="5">
        <f t="shared" si="56"/>
        <v>32.819184419999999</v>
      </c>
      <c r="T21" s="5">
        <f t="shared" si="57"/>
        <v>1.9691510651999999</v>
      </c>
      <c r="U21" s="5">
        <f t="shared" si="58"/>
        <v>4.4957786876712325</v>
      </c>
      <c r="V21" s="5">
        <f t="shared" si="51"/>
        <v>3.7919520685367529</v>
      </c>
      <c r="W21" s="19"/>
      <c r="X21" s="34">
        <f t="shared" si="12"/>
        <v>1.3931788796440594</v>
      </c>
      <c r="Y21" s="35">
        <f t="shared" si="13"/>
        <v>41.759383644000003</v>
      </c>
      <c r="Z21" s="35">
        <f t="shared" si="13"/>
        <v>2.5055630186400002</v>
      </c>
      <c r="AA21" s="35">
        <f t="shared" si="13"/>
        <v>5.7204635128767132</v>
      </c>
      <c r="AB21" s="42">
        <f t="shared" si="31"/>
        <v>2.4961473590852885E-2</v>
      </c>
      <c r="AC21" s="36">
        <f t="shared" si="14"/>
        <v>1.56372</v>
      </c>
      <c r="AD21" s="34">
        <f t="shared" si="15"/>
        <v>0.6965894398220297</v>
      </c>
      <c r="AE21" s="35">
        <f t="shared" si="16"/>
        <v>27.468892836000002</v>
      </c>
      <c r="AF21" s="35">
        <f t="shared" si="16"/>
        <v>1.6481335701599999</v>
      </c>
      <c r="AG21" s="35">
        <f t="shared" si="16"/>
        <v>3.7628620323287674</v>
      </c>
      <c r="AH21" s="42">
        <f t="shared" si="32"/>
        <v>7.3441071107027717E-2</v>
      </c>
      <c r="AI21" s="36">
        <f t="shared" si="33"/>
        <v>3.0263200000000001</v>
      </c>
      <c r="AJ21" s="34">
        <f t="shared" si="17"/>
        <v>0.46439295988135315</v>
      </c>
      <c r="AK21" s="35">
        <f t="shared" si="18"/>
        <v>17.069266236000004</v>
      </c>
      <c r="AL21" s="35">
        <f t="shared" si="18"/>
        <v>1.0241559741600001</v>
      </c>
      <c r="AM21" s="35">
        <f t="shared" si="18"/>
        <v>2.3382556487671238</v>
      </c>
      <c r="AN21" s="42">
        <f t="shared" si="34"/>
        <v>9.092275933494906E-2</v>
      </c>
      <c r="AO21" s="36">
        <f t="shared" si="35"/>
        <v>2.3282099999999999</v>
      </c>
      <c r="AP21" s="34">
        <f t="shared" si="19"/>
        <v>0.34829471991101485</v>
      </c>
      <c r="AQ21" s="35">
        <f t="shared" si="20"/>
        <v>11.247641789999999</v>
      </c>
      <c r="AR21" s="35">
        <f t="shared" si="20"/>
        <v>0.67485850739999997</v>
      </c>
      <c r="AS21" s="35">
        <f t="shared" si="20"/>
        <v>1.5407728479452054</v>
      </c>
      <c r="AT21" s="42">
        <f t="shared" si="36"/>
        <v>0.16387100215431027</v>
      </c>
      <c r="AU21" s="36">
        <f t="shared" si="37"/>
        <v>2.7650200000000003</v>
      </c>
      <c r="AV21" s="34">
        <f t="shared" si="21"/>
        <v>0.27863577592881189</v>
      </c>
      <c r="AW21" s="35">
        <f t="shared" si="22"/>
        <v>8.2638202020000016</v>
      </c>
      <c r="AX21" s="35">
        <f t="shared" si="22"/>
        <v>0.49582921212000008</v>
      </c>
      <c r="AY21" s="35">
        <f t="shared" si="22"/>
        <v>1.1320301646575346</v>
      </c>
      <c r="AZ21" s="42">
        <f t="shared" si="38"/>
        <v>0.17248004956049742</v>
      </c>
      <c r="BA21" s="36">
        <f t="shared" si="39"/>
        <v>2.1382300000000001</v>
      </c>
      <c r="BB21" s="34">
        <f t="shared" si="23"/>
        <v>0.23219647994067658</v>
      </c>
      <c r="BC21" s="35">
        <f t="shared" si="24"/>
        <v>6.1562443140000012</v>
      </c>
      <c r="BD21" s="35">
        <f t="shared" si="24"/>
        <v>0.36937465884000004</v>
      </c>
      <c r="BE21" s="35">
        <f t="shared" si="24"/>
        <v>0.84332113890410976</v>
      </c>
      <c r="BF21" s="42">
        <f t="shared" si="40"/>
        <v>0.13154865737838226</v>
      </c>
      <c r="BG21" s="36">
        <f t="shared" si="41"/>
        <v>1.21489</v>
      </c>
      <c r="BH21" s="34">
        <f t="shared" si="25"/>
        <v>0.19902555423486562</v>
      </c>
      <c r="BI21" s="35">
        <f t="shared" si="26"/>
        <v>4.6696329900000002</v>
      </c>
      <c r="BJ21" s="35">
        <f t="shared" si="26"/>
        <v>0.2801779794</v>
      </c>
      <c r="BK21" s="35">
        <f t="shared" si="26"/>
        <v>0.63967575205479454</v>
      </c>
      <c r="BL21" s="42">
        <f t="shared" si="42"/>
        <v>0.15193678936211216</v>
      </c>
      <c r="BM21" s="36">
        <f t="shared" si="43"/>
        <v>1.0643400000000001</v>
      </c>
      <c r="BN21" s="34">
        <f t="shared" si="27"/>
        <v>0.17414735995550742</v>
      </c>
      <c r="BO21" s="35">
        <f t="shared" si="28"/>
        <v>3.9351397799999996</v>
      </c>
      <c r="BP21" s="35">
        <f t="shared" si="28"/>
        <v>0.23610838679999996</v>
      </c>
      <c r="BQ21" s="35">
        <f t="shared" si="28"/>
        <v>0.53906024383561635</v>
      </c>
      <c r="BR21" s="42">
        <f t="shared" si="44"/>
        <v>0.17131434960107059</v>
      </c>
      <c r="BS21" s="36">
        <f t="shared" si="45"/>
        <v>1.01132</v>
      </c>
      <c r="BT21" s="34">
        <f t="shared" si="29"/>
        <v>0.15479765329378437</v>
      </c>
      <c r="BU21" s="35">
        <f t="shared" si="30"/>
        <v>3.2930773260000006</v>
      </c>
      <c r="BV21" s="35">
        <f t="shared" si="30"/>
        <v>0.19758463956000002</v>
      </c>
      <c r="BW21" s="35">
        <f t="shared" si="30"/>
        <v>0.45110648301369871</v>
      </c>
      <c r="BX21" s="42">
        <f t="shared" si="46"/>
        <v>0.16218262346384998</v>
      </c>
      <c r="BY21" s="36">
        <f t="shared" si="47"/>
        <v>0.80120000000000002</v>
      </c>
      <c r="BZ21" s="48"/>
      <c r="CA21" s="18"/>
      <c r="CB21" s="18"/>
      <c r="CC21" s="18"/>
      <c r="CD21" s="49"/>
      <c r="CE21" s="18"/>
      <c r="CF21" s="18"/>
      <c r="CG21" s="18"/>
      <c r="CH21" s="18"/>
      <c r="CI21" s="18"/>
      <c r="CJ21" s="49"/>
      <c r="CK21" s="18"/>
      <c r="CL21" s="18"/>
      <c r="CM21" s="18"/>
      <c r="CN21" s="18"/>
      <c r="CO21" s="18"/>
      <c r="CP21" s="49"/>
      <c r="CQ21" s="18"/>
    </row>
    <row r="22" spans="2:95" x14ac:dyDescent="0.3">
      <c r="B22">
        <v>4</v>
      </c>
      <c r="C22">
        <v>5400.1</v>
      </c>
      <c r="D22">
        <v>276844</v>
      </c>
      <c r="E22">
        <v>52925.1</v>
      </c>
      <c r="F22">
        <f t="shared" si="48"/>
        <v>27.6844</v>
      </c>
      <c r="G22">
        <f t="shared" si="49"/>
        <v>0.54000999999999999</v>
      </c>
      <c r="H22">
        <f t="shared" si="50"/>
        <v>27.144390000000001</v>
      </c>
      <c r="I22">
        <f t="shared" si="52"/>
        <v>5.29251</v>
      </c>
      <c r="K22" s="67"/>
      <c r="L22" s="3">
        <v>-97.2</v>
      </c>
      <c r="M22" s="5">
        <f t="shared" si="59"/>
        <v>1</v>
      </c>
      <c r="N22" s="5">
        <f t="shared" si="53"/>
        <v>31.807899949628325</v>
      </c>
      <c r="O22" s="5">
        <f t="shared" si="54"/>
        <v>2.2966932504725692</v>
      </c>
      <c r="P22" s="4">
        <v>3</v>
      </c>
      <c r="Q22" s="5">
        <f t="shared" si="55"/>
        <v>27.144390000000001</v>
      </c>
      <c r="R22" s="5">
        <f t="shared" si="55"/>
        <v>5.29251</v>
      </c>
      <c r="S22" s="5">
        <f t="shared" si="56"/>
        <v>30.157417289999994</v>
      </c>
      <c r="T22" s="5">
        <f t="shared" si="57"/>
        <v>1.8094450373999995</v>
      </c>
      <c r="U22" s="5">
        <f t="shared" si="58"/>
        <v>4.131153053424657</v>
      </c>
      <c r="V22" s="5">
        <f t="shared" si="51"/>
        <v>2.2966932504725692</v>
      </c>
      <c r="W22" s="19"/>
      <c r="X22" s="34">
        <f t="shared" si="12"/>
        <v>1.122803112129348</v>
      </c>
      <c r="Y22" s="35">
        <f t="shared" si="13"/>
        <v>47.981651354999997</v>
      </c>
      <c r="Z22" s="35">
        <f t="shared" si="13"/>
        <v>2.8788990812999997</v>
      </c>
      <c r="AA22" s="35">
        <f t="shared" si="13"/>
        <v>6.5728289527397257</v>
      </c>
      <c r="AB22" s="42">
        <f t="shared" si="31"/>
        <v>1.2058959699387362E-2</v>
      </c>
      <c r="AC22" s="36">
        <f t="shared" si="14"/>
        <v>1.3888</v>
      </c>
      <c r="AD22" s="34">
        <f t="shared" si="15"/>
        <v>0.56140155606467401</v>
      </c>
      <c r="AE22" s="35">
        <f t="shared" si="16"/>
        <v>30.080887443750004</v>
      </c>
      <c r="AF22" s="35">
        <f t="shared" si="16"/>
        <v>1.8048532466250002</v>
      </c>
      <c r="AG22" s="35">
        <f t="shared" si="16"/>
        <v>4.1206695128424666</v>
      </c>
      <c r="AH22" s="42">
        <f t="shared" si="32"/>
        <v>3.1236950555633653E-2</v>
      </c>
      <c r="AI22" s="36">
        <f t="shared" si="33"/>
        <v>2.25535</v>
      </c>
      <c r="AJ22" s="34">
        <f t="shared" si="17"/>
        <v>0.37426770404311599</v>
      </c>
      <c r="AK22" s="35">
        <f t="shared" si="18"/>
        <v>14.692143138749996</v>
      </c>
      <c r="AL22" s="35">
        <f t="shared" si="18"/>
        <v>0.8815285883249997</v>
      </c>
      <c r="AM22" s="35">
        <f t="shared" si="18"/>
        <v>2.0126223477739722</v>
      </c>
      <c r="AN22" s="42">
        <f t="shared" si="34"/>
        <v>5.9106465479472813E-2</v>
      </c>
      <c r="AO22" s="36">
        <f t="shared" si="35"/>
        <v>2.0843700000000003</v>
      </c>
      <c r="AP22" s="34">
        <f t="shared" si="19"/>
        <v>0.28070077803233701</v>
      </c>
      <c r="AQ22" s="35">
        <f t="shared" si="20"/>
        <v>8.5633227487500019</v>
      </c>
      <c r="AR22" s="35">
        <f t="shared" si="20"/>
        <v>0.51379936492500011</v>
      </c>
      <c r="AS22" s="35">
        <f t="shared" si="20"/>
        <v>1.1730579107876715</v>
      </c>
      <c r="AT22" s="42">
        <f t="shared" si="36"/>
        <v>6.5135158409324101E-2</v>
      </c>
      <c r="AU22" s="36">
        <f t="shared" si="37"/>
        <v>1.3387899999999999</v>
      </c>
      <c r="AV22" s="34">
        <f t="shared" si="21"/>
        <v>0.2245606224258696</v>
      </c>
      <c r="AW22" s="35">
        <f t="shared" si="22"/>
        <v>6.4288570499999995</v>
      </c>
      <c r="AX22" s="35">
        <f t="shared" si="22"/>
        <v>0.38573142299999996</v>
      </c>
      <c r="AY22" s="35">
        <f t="shared" si="22"/>
        <v>0.88066534931506846</v>
      </c>
      <c r="AZ22" s="42">
        <f t="shared" si="38"/>
        <v>0.12097687741400316</v>
      </c>
      <c r="BA22" s="36">
        <f t="shared" si="39"/>
        <v>1.86677</v>
      </c>
      <c r="BB22" s="34">
        <f t="shared" si="23"/>
        <v>0.18713385202155799</v>
      </c>
      <c r="BC22" s="35">
        <f t="shared" si="24"/>
        <v>4.4635369349999996</v>
      </c>
      <c r="BD22" s="35">
        <f t="shared" si="24"/>
        <v>0.26781221609999994</v>
      </c>
      <c r="BE22" s="35">
        <f t="shared" si="24"/>
        <v>0.61144341575342465</v>
      </c>
      <c r="BF22" s="42">
        <f t="shared" si="40"/>
        <v>0.13685180276210709</v>
      </c>
      <c r="BG22" s="36">
        <f t="shared" si="41"/>
        <v>1.46617</v>
      </c>
      <c r="BH22" s="34">
        <f t="shared" si="25"/>
        <v>0.16040044458990685</v>
      </c>
      <c r="BI22" s="35">
        <f t="shared" si="26"/>
        <v>3.2237817562499997</v>
      </c>
      <c r="BJ22" s="35">
        <f t="shared" si="26"/>
        <v>0.19342690537499999</v>
      </c>
      <c r="BK22" s="35">
        <f t="shared" si="26"/>
        <v>0.44161393921232872</v>
      </c>
      <c r="BL22" s="42">
        <f t="shared" si="42"/>
        <v>0.16075395620230426</v>
      </c>
      <c r="BM22" s="36">
        <f t="shared" si="43"/>
        <v>1.2438899999999999</v>
      </c>
      <c r="BN22" s="34">
        <f t="shared" si="27"/>
        <v>0.1403503890161685</v>
      </c>
      <c r="BO22" s="35">
        <f t="shared" si="28"/>
        <v>2.1215836537500001</v>
      </c>
      <c r="BP22" s="35">
        <f t="shared" si="28"/>
        <v>0.127295019225</v>
      </c>
      <c r="BQ22" s="35">
        <f t="shared" si="28"/>
        <v>0.29062789777397263</v>
      </c>
      <c r="BR22" s="42">
        <f t="shared" si="44"/>
        <v>0.22657104536055345</v>
      </c>
      <c r="BS22" s="36">
        <f t="shared" si="45"/>
        <v>1.15377</v>
      </c>
      <c r="BT22" s="34">
        <f t="shared" si="29"/>
        <v>0.12475590134770534</v>
      </c>
      <c r="BU22" s="35">
        <f t="shared" si="30"/>
        <v>1.6127803724999998</v>
      </c>
      <c r="BV22" s="35">
        <f t="shared" si="30"/>
        <v>9.676682234999999E-2</v>
      </c>
      <c r="BW22" s="35">
        <f t="shared" si="30"/>
        <v>0.22092881815068491</v>
      </c>
      <c r="BX22" s="42">
        <f t="shared" si="46"/>
        <v>0.29189937639819585</v>
      </c>
      <c r="BY22" s="36">
        <f t="shared" si="47"/>
        <v>1.1299600000000001</v>
      </c>
      <c r="BZ22" s="48"/>
      <c r="CA22" s="18"/>
      <c r="CB22" s="18"/>
      <c r="CC22" s="18"/>
      <c r="CD22" s="49"/>
      <c r="CE22" s="18"/>
      <c r="CF22" s="18"/>
      <c r="CG22" s="18"/>
      <c r="CH22" s="18"/>
      <c r="CI22" s="18"/>
      <c r="CJ22" s="49"/>
      <c r="CK22" s="18"/>
      <c r="CL22" s="18"/>
      <c r="CM22" s="18"/>
      <c r="CN22" s="18"/>
      <c r="CO22" s="18"/>
      <c r="CP22" s="49"/>
      <c r="CQ22" s="18"/>
    </row>
    <row r="23" spans="2:95" x14ac:dyDescent="0.3">
      <c r="B23">
        <v>5</v>
      </c>
      <c r="C23">
        <v>6934</v>
      </c>
      <c r="D23">
        <v>271514.40000000002</v>
      </c>
      <c r="E23">
        <v>40813.300000000003</v>
      </c>
      <c r="F23">
        <f t="shared" si="48"/>
        <v>27.151440000000001</v>
      </c>
      <c r="G23">
        <f t="shared" si="49"/>
        <v>0.69340000000000002</v>
      </c>
      <c r="H23">
        <f t="shared" si="50"/>
        <v>26.45804</v>
      </c>
      <c r="I23">
        <f t="shared" si="52"/>
        <v>4.0813300000000003</v>
      </c>
      <c r="K23" s="67"/>
      <c r="L23" s="3">
        <v>-96.8</v>
      </c>
      <c r="M23" s="5">
        <f t="shared" si="59"/>
        <v>1.4000000000000057</v>
      </c>
      <c r="N23" s="5">
        <f t="shared" si="53"/>
        <v>37.414240753916886</v>
      </c>
      <c r="O23" s="5">
        <f t="shared" si="54"/>
        <v>1.6599657004103827</v>
      </c>
      <c r="P23" s="4">
        <v>3</v>
      </c>
      <c r="Q23" s="5">
        <f t="shared" si="55"/>
        <v>26.45804</v>
      </c>
      <c r="R23" s="5">
        <f t="shared" si="55"/>
        <v>4.0813300000000003</v>
      </c>
      <c r="S23" s="5">
        <f t="shared" si="56"/>
        <v>29.39488244</v>
      </c>
      <c r="T23" s="5">
        <f t="shared" si="57"/>
        <v>1.7636929464</v>
      </c>
      <c r="U23" s="5">
        <f t="shared" si="58"/>
        <v>4.0266962246575346</v>
      </c>
      <c r="V23" s="5">
        <f t="shared" si="51"/>
        <v>1.6599657004103827</v>
      </c>
      <c r="W23" s="19"/>
      <c r="X23" s="34">
        <f t="shared" si="12"/>
        <v>0.80405986756380465</v>
      </c>
      <c r="Y23" s="35">
        <f t="shared" si="13"/>
        <v>50.234628415714297</v>
      </c>
      <c r="Z23" s="35">
        <f t="shared" si="13"/>
        <v>3.0140777049428578</v>
      </c>
      <c r="AA23" s="35">
        <f t="shared" si="13"/>
        <v>6.8814559473581234</v>
      </c>
      <c r="AB23" s="42">
        <f t="shared" si="31"/>
        <v>2.0457043653718025E-2</v>
      </c>
      <c r="AC23" s="36">
        <f t="shared" si="14"/>
        <v>4.3165699999999996</v>
      </c>
      <c r="AD23" s="34">
        <f t="shared" si="15"/>
        <v>0.40202993378190233</v>
      </c>
      <c r="AE23" s="35">
        <f t="shared" si="16"/>
        <v>24.845727083571429</v>
      </c>
      <c r="AF23" s="35">
        <f t="shared" si="16"/>
        <v>1.4907436250142856</v>
      </c>
      <c r="AG23" s="35">
        <f t="shared" si="16"/>
        <v>3.4035242580234835</v>
      </c>
      <c r="AH23" s="42">
        <f t="shared" si="32"/>
        <v>5.3550562084135778E-2</v>
      </c>
      <c r="AI23" s="36">
        <f t="shared" si="33"/>
        <v>5.5886699999999996</v>
      </c>
      <c r="AJ23" s="34">
        <f t="shared" si="17"/>
        <v>0.26801995585460153</v>
      </c>
      <c r="AK23" s="35">
        <f t="shared" si="18"/>
        <v>10.480925612142858</v>
      </c>
      <c r="AL23" s="35">
        <f t="shared" si="18"/>
        <v>0.62885553672857142</v>
      </c>
      <c r="AM23" s="35">
        <f t="shared" si="18"/>
        <v>1.4357432345401175</v>
      </c>
      <c r="AN23" s="42">
        <f t="shared" si="34"/>
        <v>5.1604920828933303E-2</v>
      </c>
      <c r="AO23" s="36">
        <f t="shared" si="35"/>
        <v>2.2718700000000003</v>
      </c>
      <c r="AP23" s="34">
        <f t="shared" si="19"/>
        <v>0.20101496689095116</v>
      </c>
      <c r="AQ23" s="35">
        <f t="shared" si="20"/>
        <v>5.9761166142857141</v>
      </c>
      <c r="AR23" s="35">
        <f t="shared" si="20"/>
        <v>0.35856699685714283</v>
      </c>
      <c r="AS23" s="35">
        <f t="shared" si="20"/>
        <v>0.81864611154598821</v>
      </c>
      <c r="AT23" s="42">
        <f t="shared" si="36"/>
        <v>6.7313621913617144E-2</v>
      </c>
      <c r="AU23" s="36">
        <f t="shared" si="37"/>
        <v>1.6897200000000001</v>
      </c>
      <c r="AV23" s="34">
        <f t="shared" si="21"/>
        <v>0.16081197351276094</v>
      </c>
      <c r="AW23" s="35">
        <f t="shared" si="22"/>
        <v>3.6169954071428569</v>
      </c>
      <c r="AX23" s="35">
        <f t="shared" si="22"/>
        <v>0.2170197244285714</v>
      </c>
      <c r="AY23" s="35">
        <f t="shared" si="22"/>
        <v>0.49547882289628181</v>
      </c>
      <c r="AZ23" s="42">
        <f t="shared" si="38"/>
        <v>0.11597390886532524</v>
      </c>
      <c r="BA23" s="36">
        <f t="shared" si="39"/>
        <v>1.7619799999999999</v>
      </c>
      <c r="BB23" s="34">
        <f t="shared" si="23"/>
        <v>0.13400997792730077</v>
      </c>
      <c r="BC23" s="35">
        <f t="shared" si="24"/>
        <v>2.4817065664285716</v>
      </c>
      <c r="BD23" s="35">
        <f t="shared" si="24"/>
        <v>0.14890239398571428</v>
      </c>
      <c r="BE23" s="35">
        <f t="shared" si="24"/>
        <v>0.33995980362035227</v>
      </c>
      <c r="BF23" s="42">
        <f t="shared" si="40"/>
        <v>0.12943810610108583</v>
      </c>
      <c r="BG23" s="36">
        <f t="shared" si="41"/>
        <v>1.3492899999999999</v>
      </c>
      <c r="BH23" s="34">
        <f t="shared" si="25"/>
        <v>0.11486569536625781</v>
      </c>
      <c r="BI23" s="35">
        <f t="shared" si="26"/>
        <v>1.6047228450000004</v>
      </c>
      <c r="BJ23" s="35">
        <f t="shared" si="26"/>
        <v>9.6283370700000023E-2</v>
      </c>
      <c r="BK23" s="35">
        <f t="shared" si="26"/>
        <v>0.21982504726027402</v>
      </c>
      <c r="BL23" s="42">
        <f t="shared" si="42"/>
        <v>0.18718316566550602</v>
      </c>
      <c r="BM23" s="36">
        <f t="shared" si="43"/>
        <v>1.2617100000000001</v>
      </c>
      <c r="BN23" s="34">
        <f t="shared" si="27"/>
        <v>0.10050748344547558</v>
      </c>
      <c r="BO23" s="35">
        <f t="shared" si="28"/>
        <v>1.0950523885714285</v>
      </c>
      <c r="BP23" s="35">
        <f t="shared" si="28"/>
        <v>6.5703143314285714E-2</v>
      </c>
      <c r="BQ23" s="35">
        <f t="shared" si="28"/>
        <v>0.15000717651663403</v>
      </c>
      <c r="BR23" s="42">
        <f t="shared" si="44"/>
        <v>0.26372921594545712</v>
      </c>
      <c r="BS23" s="36">
        <f t="shared" si="45"/>
        <v>1.2130700000000001</v>
      </c>
      <c r="BT23" s="34">
        <f t="shared" si="29"/>
        <v>8.9339985284867182E-2</v>
      </c>
      <c r="BU23" s="35">
        <f t="shared" si="30"/>
        <v>0.91115887500000026</v>
      </c>
      <c r="BV23" s="35">
        <f t="shared" si="30"/>
        <v>5.4669532500000013E-2</v>
      </c>
      <c r="BW23" s="35">
        <f t="shared" si="30"/>
        <v>0.12481628424657538</v>
      </c>
      <c r="BX23" s="42">
        <f t="shared" si="46"/>
        <v>0.29160101900842633</v>
      </c>
      <c r="BY23" s="36">
        <f t="shared" si="47"/>
        <v>1.1160299999999999</v>
      </c>
      <c r="BZ23" s="48"/>
      <c r="CA23" s="18"/>
      <c r="CB23" s="18"/>
      <c r="CC23" s="18"/>
      <c r="CD23" s="49"/>
      <c r="CE23" s="18"/>
      <c r="CF23" s="18"/>
      <c r="CG23" s="18"/>
      <c r="CH23" s="18"/>
      <c r="CI23" s="18"/>
      <c r="CJ23" s="49"/>
      <c r="CK23" s="18"/>
      <c r="CL23" s="18"/>
      <c r="CM23" s="18"/>
      <c r="CN23" s="18"/>
      <c r="CO23" s="18"/>
      <c r="CP23" s="49"/>
      <c r="CQ23" s="18"/>
    </row>
    <row r="24" spans="2:95" ht="15" thickBot="1" x14ac:dyDescent="0.35">
      <c r="B24">
        <v>6</v>
      </c>
      <c r="C24">
        <v>7474.3</v>
      </c>
      <c r="D24">
        <v>372502.8</v>
      </c>
      <c r="E24">
        <v>43471.4</v>
      </c>
      <c r="F24">
        <f t="shared" si="48"/>
        <v>37.250279999999997</v>
      </c>
      <c r="G24">
        <f t="shared" si="49"/>
        <v>0.74743000000000004</v>
      </c>
      <c r="H24">
        <f t="shared" si="50"/>
        <v>36.502849999999995</v>
      </c>
      <c r="I24">
        <f t="shared" si="52"/>
        <v>4.3471400000000004</v>
      </c>
      <c r="K24" s="67"/>
      <c r="L24" s="3">
        <v>-96.3</v>
      </c>
      <c r="M24" s="5">
        <f t="shared" si="59"/>
        <v>1.9000000000000057</v>
      </c>
      <c r="N24" s="5">
        <f t="shared" si="53"/>
        <v>44.970060517830404</v>
      </c>
      <c r="O24" s="5">
        <f t="shared" si="54"/>
        <v>1.1490159130493915</v>
      </c>
      <c r="P24" s="4">
        <v>4</v>
      </c>
      <c r="Q24" s="5">
        <f t="shared" si="55"/>
        <v>36.502849999999995</v>
      </c>
      <c r="R24" s="5">
        <f t="shared" si="55"/>
        <v>4.3471400000000004</v>
      </c>
      <c r="S24" s="5">
        <f t="shared" si="56"/>
        <v>30.415999762499993</v>
      </c>
      <c r="T24" s="5">
        <f t="shared" si="57"/>
        <v>1.8249599857499996</v>
      </c>
      <c r="U24" s="5">
        <f t="shared" si="58"/>
        <v>4.1665753099315062</v>
      </c>
      <c r="V24" s="5">
        <f t="shared" si="51"/>
        <v>1.1490159130493915</v>
      </c>
      <c r="W24" s="19"/>
      <c r="X24" s="37">
        <f t="shared" si="12"/>
        <v>0.51852053541803023</v>
      </c>
      <c r="Y24" s="38">
        <f t="shared" si="13"/>
        <v>42.248690581428562</v>
      </c>
      <c r="Z24" s="38">
        <f t="shared" si="13"/>
        <v>2.5349214348857134</v>
      </c>
      <c r="AA24" s="38">
        <f t="shared" si="13"/>
        <v>5.7874918604696663</v>
      </c>
      <c r="AB24" s="43">
        <f t="shared" si="31"/>
        <v>1.0857595739518233E-2</v>
      </c>
      <c r="AC24" s="39">
        <f t="shared" si="14"/>
        <v>2.8902200000000002</v>
      </c>
      <c r="AD24" s="37">
        <f t="shared" si="15"/>
        <v>0.25926026770901511</v>
      </c>
      <c r="AE24" s="38">
        <f t="shared" si="16"/>
        <v>12.683206155714283</v>
      </c>
      <c r="AF24" s="38">
        <f t="shared" si="16"/>
        <v>0.76099236934285697</v>
      </c>
      <c r="AG24" s="38">
        <f t="shared" si="16"/>
        <v>1.7374255007827786</v>
      </c>
      <c r="AH24" s="43">
        <f t="shared" si="32"/>
        <v>7.9020609997048005E-2</v>
      </c>
      <c r="AI24" s="39">
        <f t="shared" si="33"/>
        <v>6.3147099999999998</v>
      </c>
      <c r="AJ24" s="37">
        <f t="shared" si="17"/>
        <v>0.17284017847267674</v>
      </c>
      <c r="AK24" s="38">
        <f t="shared" si="18"/>
        <v>3.7989676842857141</v>
      </c>
      <c r="AL24" s="38">
        <f t="shared" si="18"/>
        <v>0.22793806105714284</v>
      </c>
      <c r="AM24" s="38">
        <f t="shared" si="18"/>
        <v>0.52040653209393339</v>
      </c>
      <c r="AN24" s="43">
        <f t="shared" si="34"/>
        <v>0.38442898927092339</v>
      </c>
      <c r="AO24" s="39">
        <f t="shared" si="35"/>
        <v>9.2016500000000008</v>
      </c>
      <c r="AP24" s="37">
        <f t="shared" si="19"/>
        <v>0.12963013385450756</v>
      </c>
      <c r="AQ24" s="38">
        <f t="shared" si="20"/>
        <v>2.4654661271428577</v>
      </c>
      <c r="AR24" s="38">
        <f t="shared" si="20"/>
        <v>0.14792796762857147</v>
      </c>
      <c r="AS24" s="38">
        <f t="shared" si="20"/>
        <v>0.33773508590998053</v>
      </c>
      <c r="AT24" s="43">
        <f t="shared" si="36"/>
        <v>0.1821483083225881</v>
      </c>
      <c r="AU24" s="39">
        <f t="shared" si="37"/>
        <v>2.8294900000000003</v>
      </c>
      <c r="AV24" s="37">
        <f t="shared" si="21"/>
        <v>0.10370410708360604</v>
      </c>
      <c r="AW24" s="38">
        <f t="shared" si="22"/>
        <v>1.2577202471428572</v>
      </c>
      <c r="AX24" s="38">
        <f t="shared" si="22"/>
        <v>7.5463214828571434E-2</v>
      </c>
      <c r="AY24" s="38">
        <f t="shared" si="22"/>
        <v>0.17229044481409003</v>
      </c>
      <c r="AZ24" s="43">
        <f t="shared" si="38"/>
        <v>0.32349329857163228</v>
      </c>
      <c r="BA24" s="39">
        <f t="shared" si="39"/>
        <v>2.5634999999999999</v>
      </c>
      <c r="BB24" s="37">
        <f t="shared" si="23"/>
        <v>8.6420089236338371E-2</v>
      </c>
      <c r="BC24" s="38">
        <f t="shared" si="24"/>
        <v>0.6331795328571429</v>
      </c>
      <c r="BD24" s="38">
        <f t="shared" si="24"/>
        <v>3.7990771971428576E-2</v>
      </c>
      <c r="BE24" s="38">
        <f t="shared" si="24"/>
        <v>8.6736922309197662E-2</v>
      </c>
      <c r="BF24" s="43">
        <f t="shared" si="40"/>
        <v>0.48878411201600236</v>
      </c>
      <c r="BG24" s="39">
        <f t="shared" si="41"/>
        <v>1.94997</v>
      </c>
      <c r="BH24" s="37">
        <f t="shared" si="25"/>
        <v>7.4074362202575753E-2</v>
      </c>
      <c r="BI24" s="38">
        <f t="shared" si="26"/>
        <v>0.44907889714285715</v>
      </c>
      <c r="BJ24" s="38">
        <f t="shared" si="26"/>
        <v>2.6944733828571429E-2</v>
      </c>
      <c r="BK24" s="38">
        <f t="shared" si="26"/>
        <v>6.1517657142857146E-2</v>
      </c>
      <c r="BL24" s="43">
        <f t="shared" si="42"/>
        <v>0.48460494507824758</v>
      </c>
      <c r="BM24" s="39">
        <f t="shared" si="43"/>
        <v>1.3711799999999998</v>
      </c>
      <c r="BN24" s="37">
        <f t="shared" si="27"/>
        <v>6.4815066927253778E-2</v>
      </c>
      <c r="BO24" s="38">
        <f t="shared" si="28"/>
        <v>0.24354231000000004</v>
      </c>
      <c r="BP24" s="38">
        <f t="shared" si="28"/>
        <v>1.4612538600000002E-2</v>
      </c>
      <c r="BQ24" s="38">
        <f t="shared" si="28"/>
        <v>3.3361960273972611E-2</v>
      </c>
      <c r="BR24" s="43">
        <f t="shared" si="44"/>
        <v>0.75515324509439741</v>
      </c>
      <c r="BS24" s="39">
        <f t="shared" si="45"/>
        <v>1.15876</v>
      </c>
      <c r="BT24" s="37"/>
      <c r="BU24" s="38"/>
      <c r="BV24" s="38"/>
      <c r="BW24" s="38"/>
      <c r="BX24" s="43"/>
      <c r="BY24" s="39"/>
      <c r="BZ24" s="48"/>
      <c r="CA24" s="18"/>
      <c r="CB24" s="18"/>
      <c r="CC24" s="18"/>
      <c r="CD24" s="49"/>
      <c r="CE24" s="18"/>
      <c r="CF24" s="18"/>
      <c r="CG24" s="18"/>
      <c r="CH24" s="18"/>
      <c r="CI24" s="18"/>
      <c r="CJ24" s="49"/>
      <c r="CK24" s="18"/>
      <c r="CL24" s="18"/>
      <c r="CM24" s="18"/>
      <c r="CN24" s="18"/>
      <c r="CO24" s="18"/>
      <c r="CP24" s="49"/>
      <c r="CQ24" s="18"/>
    </row>
    <row r="25" spans="2:95" ht="15" thickTop="1" x14ac:dyDescent="0.3">
      <c r="B25">
        <v>7</v>
      </c>
      <c r="C25">
        <v>7721.8</v>
      </c>
      <c r="D25">
        <v>362343.1</v>
      </c>
      <c r="E25">
        <v>39101.599999999999</v>
      </c>
      <c r="F25">
        <f t="shared" si="48"/>
        <v>36.234310000000001</v>
      </c>
      <c r="G25">
        <f t="shared" si="49"/>
        <v>0.77217999999999998</v>
      </c>
      <c r="H25">
        <f t="shared" si="50"/>
        <v>35.462130000000002</v>
      </c>
      <c r="I25">
        <f t="shared" si="52"/>
        <v>3.9101599999999999</v>
      </c>
      <c r="K25" s="67"/>
      <c r="L25" s="3">
        <v>-95.8</v>
      </c>
      <c r="M25" s="5">
        <f t="shared" si="59"/>
        <v>2.4000000000000057</v>
      </c>
      <c r="N25" s="5">
        <f t="shared" si="53"/>
        <v>52.890724234957723</v>
      </c>
      <c r="O25" s="5">
        <f t="shared" si="54"/>
        <v>0.83064213960254329</v>
      </c>
      <c r="P25" s="4">
        <v>4</v>
      </c>
      <c r="Q25" s="5">
        <f t="shared" si="55"/>
        <v>35.462130000000002</v>
      </c>
      <c r="R25" s="5">
        <f t="shared" si="55"/>
        <v>3.9101599999999999</v>
      </c>
      <c r="S25" s="5">
        <f t="shared" si="56"/>
        <v>29.548819822500004</v>
      </c>
      <c r="T25" s="5">
        <f t="shared" si="57"/>
        <v>1.7729291893500001</v>
      </c>
      <c r="U25" s="5">
        <f t="shared" si="58"/>
        <v>4.0477835373287681</v>
      </c>
      <c r="V25" s="5">
        <f t="shared" si="51"/>
        <v>0.83064213960254329</v>
      </c>
      <c r="W25" s="19" t="s">
        <v>66</v>
      </c>
      <c r="X25" s="20"/>
      <c r="Y25" s="21"/>
      <c r="Z25" s="18"/>
      <c r="AC25" s="26">
        <f>MIN(AC14:AC24)</f>
        <v>1.3888</v>
      </c>
      <c r="AI25" s="26">
        <f>MIN(AI14:AI24)</f>
        <v>0.69982</v>
      </c>
      <c r="AO25" s="26">
        <f>MIN(AO14:AO24)</f>
        <v>2.0843700000000003</v>
      </c>
      <c r="AU25" s="26">
        <f>MIN(AU14:AU24)</f>
        <v>1.3387899999999999</v>
      </c>
      <c r="BA25" s="26">
        <f>MIN(BA14:BA24)</f>
        <v>0.85697999999999996</v>
      </c>
      <c r="BG25" s="26">
        <f>MIN(BG14:BG24)</f>
        <v>0.76571</v>
      </c>
      <c r="BM25" s="26">
        <f>MIN(BM14:BM24)</f>
        <v>0.59888999999999992</v>
      </c>
      <c r="BS25" s="26">
        <f>MIN(BS14:BS24)</f>
        <v>0.81855</v>
      </c>
      <c r="BY25" s="26">
        <f>MIN(BY14:BY24)</f>
        <v>0.73303000000000007</v>
      </c>
    </row>
    <row r="26" spans="2:95" x14ac:dyDescent="0.3">
      <c r="B26">
        <v>8</v>
      </c>
      <c r="C26">
        <v>5171.8999999999996</v>
      </c>
      <c r="D26">
        <v>417246.5</v>
      </c>
      <c r="E26">
        <v>30263.200000000001</v>
      </c>
      <c r="F26">
        <f t="shared" si="48"/>
        <v>41.724649999999997</v>
      </c>
      <c r="G26">
        <f t="shared" si="49"/>
        <v>0.51718999999999993</v>
      </c>
      <c r="H26">
        <f t="shared" si="50"/>
        <v>41.207459999999998</v>
      </c>
      <c r="I26">
        <f t="shared" si="52"/>
        <v>3.0263200000000001</v>
      </c>
      <c r="K26" s="67"/>
      <c r="L26" s="3">
        <v>-95.5</v>
      </c>
      <c r="M26" s="5">
        <f t="shared" si="59"/>
        <v>2.7000000000000028</v>
      </c>
      <c r="N26" s="5">
        <f t="shared" si="53"/>
        <v>57.756125383651771</v>
      </c>
      <c r="O26" s="5">
        <f t="shared" si="54"/>
        <v>0.6965894398220297</v>
      </c>
      <c r="P26" s="4">
        <v>5</v>
      </c>
      <c r="Q26" s="5">
        <f t="shared" si="55"/>
        <v>41.207459999999998</v>
      </c>
      <c r="R26" s="5">
        <f t="shared" si="55"/>
        <v>3.0263200000000001</v>
      </c>
      <c r="S26" s="5">
        <f t="shared" si="56"/>
        <v>27.468892836000002</v>
      </c>
      <c r="T26" s="5">
        <f t="shared" si="57"/>
        <v>1.6481335701599999</v>
      </c>
      <c r="U26" s="5">
        <f t="shared" si="58"/>
        <v>3.7628620323287674</v>
      </c>
      <c r="V26" s="5">
        <f t="shared" si="51"/>
        <v>0.6965894398220297</v>
      </c>
      <c r="W26" s="19"/>
      <c r="X26" s="20"/>
      <c r="Y26" s="21"/>
      <c r="Z26" s="18"/>
    </row>
    <row r="27" spans="2:95" x14ac:dyDescent="0.3">
      <c r="B27">
        <v>9</v>
      </c>
      <c r="C27">
        <v>4789.1000000000004</v>
      </c>
      <c r="D27">
        <v>726802.6</v>
      </c>
      <c r="E27">
        <v>22553.5</v>
      </c>
      <c r="F27">
        <f t="shared" si="48"/>
        <v>72.680260000000004</v>
      </c>
      <c r="G27">
        <f t="shared" si="49"/>
        <v>0.47891000000000006</v>
      </c>
      <c r="H27">
        <f t="shared" si="50"/>
        <v>72.201350000000005</v>
      </c>
      <c r="I27">
        <f t="shared" si="52"/>
        <v>2.25535</v>
      </c>
      <c r="K27" s="67"/>
      <c r="L27" s="5">
        <v>-95.1</v>
      </c>
      <c r="M27" s="5">
        <f t="shared" si="59"/>
        <v>3.1000000000000085</v>
      </c>
      <c r="N27" s="5">
        <f t="shared" si="53"/>
        <v>64.335352920706185</v>
      </c>
      <c r="O27" s="5">
        <f t="shared" si="54"/>
        <v>0.56140155606467401</v>
      </c>
      <c r="P27" s="4">
        <v>8</v>
      </c>
      <c r="Q27" s="5">
        <f t="shared" si="55"/>
        <v>72.201350000000005</v>
      </c>
      <c r="R27" s="5">
        <f t="shared" si="55"/>
        <v>2.25535</v>
      </c>
      <c r="S27" s="5">
        <f t="shared" si="56"/>
        <v>30.080887443750004</v>
      </c>
      <c r="T27" s="5">
        <f t="shared" si="57"/>
        <v>1.8048532466250002</v>
      </c>
      <c r="U27" s="5">
        <f t="shared" si="58"/>
        <v>4.1206695128424666</v>
      </c>
      <c r="V27" s="5">
        <f t="shared" si="51"/>
        <v>0.56140155606467401</v>
      </c>
      <c r="W27" s="19"/>
      <c r="X27" s="20"/>
      <c r="Y27" s="21"/>
      <c r="Z27" s="17"/>
    </row>
    <row r="28" spans="2:95" x14ac:dyDescent="0.3">
      <c r="B28">
        <v>10</v>
      </c>
      <c r="C28">
        <v>5577.9</v>
      </c>
      <c r="D28">
        <v>1049202.8</v>
      </c>
      <c r="E28">
        <v>55886.7</v>
      </c>
      <c r="F28">
        <f t="shared" si="48"/>
        <v>104.92028000000001</v>
      </c>
      <c r="G28">
        <f t="shared" si="49"/>
        <v>0.55779000000000001</v>
      </c>
      <c r="H28">
        <f t="shared" si="50"/>
        <v>104.36249000000001</v>
      </c>
      <c r="I28">
        <f t="shared" si="52"/>
        <v>5.5886699999999996</v>
      </c>
      <c r="K28" s="67"/>
      <c r="L28" s="5">
        <v>-94.399999999999991</v>
      </c>
      <c r="M28" s="5">
        <f t="shared" si="59"/>
        <v>3.8000000000000114</v>
      </c>
      <c r="N28" s="5">
        <f t="shared" si="53"/>
        <v>76.025152245972833</v>
      </c>
      <c r="O28" s="5">
        <f t="shared" si="54"/>
        <v>0.40202993378190233</v>
      </c>
      <c r="P28" s="4">
        <v>14</v>
      </c>
      <c r="Q28" s="5">
        <f t="shared" si="55"/>
        <v>104.36249000000001</v>
      </c>
      <c r="R28" s="5">
        <f t="shared" si="55"/>
        <v>5.5886699999999996</v>
      </c>
      <c r="S28" s="5">
        <f t="shared" si="56"/>
        <v>24.845727083571429</v>
      </c>
      <c r="T28" s="5">
        <f t="shared" si="57"/>
        <v>1.4907436250142856</v>
      </c>
      <c r="U28" s="5">
        <f t="shared" si="58"/>
        <v>3.4035242580234835</v>
      </c>
      <c r="V28" s="5">
        <f t="shared" si="51"/>
        <v>0.40202993378190233</v>
      </c>
      <c r="W28" s="19"/>
      <c r="X28" s="20"/>
      <c r="Y28" s="21"/>
      <c r="Z28" s="17"/>
    </row>
    <row r="29" spans="2:95" ht="15" thickBot="1" x14ac:dyDescent="0.35">
      <c r="B29">
        <v>11</v>
      </c>
      <c r="C29">
        <v>2257.5</v>
      </c>
      <c r="D29">
        <v>801379.4</v>
      </c>
      <c r="E29">
        <v>63147.1</v>
      </c>
      <c r="F29">
        <f t="shared" si="48"/>
        <v>80.13794</v>
      </c>
      <c r="G29">
        <f t="shared" si="49"/>
        <v>0.22575000000000001</v>
      </c>
      <c r="H29">
        <f t="shared" si="50"/>
        <v>79.912189999999995</v>
      </c>
      <c r="I29">
        <f t="shared" si="52"/>
        <v>6.3147099999999998</v>
      </c>
      <c r="K29" s="68"/>
      <c r="L29" s="6">
        <v>-93.3</v>
      </c>
      <c r="M29" s="6">
        <f t="shared" si="59"/>
        <v>4.9000000000000057</v>
      </c>
      <c r="N29" s="6">
        <f t="shared" si="53"/>
        <v>94.671337139281746</v>
      </c>
      <c r="O29" s="6">
        <f t="shared" si="54"/>
        <v>0.25926026770901511</v>
      </c>
      <c r="P29" s="7">
        <v>21</v>
      </c>
      <c r="Q29" s="6">
        <f t="shared" si="55"/>
        <v>79.912189999999995</v>
      </c>
      <c r="R29" s="6">
        <f t="shared" si="55"/>
        <v>6.3147099999999998</v>
      </c>
      <c r="S29" s="6">
        <f t="shared" si="56"/>
        <v>12.683206155714283</v>
      </c>
      <c r="T29" s="6">
        <f t="shared" si="57"/>
        <v>0.76099236934285697</v>
      </c>
      <c r="U29" s="6">
        <f t="shared" si="58"/>
        <v>1.7374255007827786</v>
      </c>
      <c r="V29" s="6">
        <f t="shared" si="51"/>
        <v>0.25926026770901511</v>
      </c>
      <c r="W29" s="19"/>
      <c r="X29" s="15"/>
      <c r="Y29" s="17"/>
      <c r="Z29" s="17"/>
    </row>
    <row r="30" spans="2:95" ht="15" thickTop="1" x14ac:dyDescent="0.3"/>
    <row r="31" spans="2:95" ht="15" thickBot="1" x14ac:dyDescent="0.35"/>
    <row r="32" spans="2:95" ht="17.399999999999999" thickTop="1" thickBot="1" x14ac:dyDescent="0.35">
      <c r="B32" t="s">
        <v>21</v>
      </c>
      <c r="C32" t="s">
        <v>2</v>
      </c>
      <c r="D32" t="s">
        <v>1</v>
      </c>
      <c r="E32" t="s">
        <v>5</v>
      </c>
      <c r="F32" t="s">
        <v>0</v>
      </c>
      <c r="G32" t="s">
        <v>3</v>
      </c>
      <c r="H32" t="s">
        <v>4</v>
      </c>
      <c r="I32" t="s">
        <v>6</v>
      </c>
      <c r="K32" s="9" t="s">
        <v>41</v>
      </c>
      <c r="L32" s="10" t="s">
        <v>42</v>
      </c>
      <c r="M32" s="10" t="s">
        <v>43</v>
      </c>
      <c r="N32" s="10" t="s">
        <v>47</v>
      </c>
      <c r="O32" s="10" t="s">
        <v>44</v>
      </c>
      <c r="P32" s="10" t="s">
        <v>45</v>
      </c>
      <c r="Q32" s="10" t="s">
        <v>48</v>
      </c>
      <c r="R32" s="10" t="s">
        <v>49</v>
      </c>
      <c r="S32" s="13" t="s">
        <v>50</v>
      </c>
      <c r="T32" s="13" t="s">
        <v>52</v>
      </c>
      <c r="U32" s="13" t="s">
        <v>51</v>
      </c>
      <c r="V32" s="10" t="s">
        <v>44</v>
      </c>
    </row>
    <row r="33" spans="2:22" ht="15" thickTop="1" x14ac:dyDescent="0.3">
      <c r="B33">
        <v>1</v>
      </c>
      <c r="C33">
        <v>7804</v>
      </c>
      <c r="D33">
        <v>170703.1</v>
      </c>
      <c r="E33">
        <v>32054.400000000001</v>
      </c>
      <c r="F33">
        <f t="shared" ref="F33:F43" si="60">D33/10000</f>
        <v>17.070309999999999</v>
      </c>
      <c r="G33">
        <f t="shared" ref="G33:G43" si="61">C33/10000</f>
        <v>0.78039999999999998</v>
      </c>
      <c r="H33">
        <f t="shared" ref="H33:H43" si="62">F33-G33</f>
        <v>16.289909999999999</v>
      </c>
      <c r="I33">
        <f>E33/10000</f>
        <v>3.2054400000000003</v>
      </c>
      <c r="K33" s="66">
        <v>3</v>
      </c>
      <c r="L33" s="1">
        <v>-98.2</v>
      </c>
      <c r="M33" s="8">
        <f>L33+98.2</f>
        <v>0</v>
      </c>
      <c r="N33" s="8">
        <f>20.56036*SQRT(1+((L33-(-98.58903))*1.03*1095.70644/(3.14159*20.56036^2))^2)</f>
        <v>21.654820206582954</v>
      </c>
      <c r="O33" s="8">
        <f>2*$Z$1/$Z$2/PI()/(N33*10^-4)^2/$K$33/$Z$7</f>
        <v>3.3034867090009441</v>
      </c>
      <c r="P33" s="2">
        <v>3</v>
      </c>
      <c r="Q33" s="8">
        <f>H33</f>
        <v>16.289909999999999</v>
      </c>
      <c r="R33" s="8">
        <f>I33</f>
        <v>3.2054400000000003</v>
      </c>
      <c r="S33" s="8">
        <f>Q33/10^6*$Z$4*$Z$3/P33*10^12</f>
        <v>18.09809001</v>
      </c>
      <c r="T33" s="8">
        <f>S33*0.06</f>
        <v>1.0858854006000001</v>
      </c>
      <c r="U33" s="8">
        <f>S33/$Z$1</f>
        <v>2.4791904123287671</v>
      </c>
      <c r="V33" s="12">
        <f t="shared" ref="V33:V43" si="63">O33</f>
        <v>3.3034867090009441</v>
      </c>
    </row>
    <row r="34" spans="2:22" x14ac:dyDescent="0.3">
      <c r="B34">
        <v>2</v>
      </c>
      <c r="C34">
        <v>6361.3</v>
      </c>
      <c r="D34">
        <v>182985.4</v>
      </c>
      <c r="E34">
        <v>36551.300000000003</v>
      </c>
      <c r="F34">
        <f t="shared" si="60"/>
        <v>18.298539999999999</v>
      </c>
      <c r="G34">
        <f t="shared" si="61"/>
        <v>0.63612999999999997</v>
      </c>
      <c r="H34">
        <f t="shared" si="62"/>
        <v>17.662409999999998</v>
      </c>
      <c r="I34">
        <f t="shared" ref="I34:I43" si="64">E34/10000</f>
        <v>3.6551300000000002</v>
      </c>
      <c r="K34" s="67"/>
      <c r="L34" s="3">
        <v>-98</v>
      </c>
      <c r="M34" s="5">
        <f>L34+98.2</f>
        <v>0.20000000000000284</v>
      </c>
      <c r="N34" s="5">
        <f t="shared" ref="N34:N43" si="65">20.56036*SQRT(1+((L34-(-98.58903))*1.03*1095.70644/(3.14159*20.56036^2))^2)</f>
        <v>22.992351577801337</v>
      </c>
      <c r="O34" s="5">
        <f t="shared" ref="O34:O43" si="66">2*$Z$1/$Z$2/PI()/(N34*10^-4)^2/$K$33/$Z$7</f>
        <v>2.9303192968309104</v>
      </c>
      <c r="P34" s="4">
        <v>3</v>
      </c>
      <c r="Q34" s="5">
        <f t="shared" ref="Q34:R43" si="67">H34</f>
        <v>17.662409999999998</v>
      </c>
      <c r="R34" s="5">
        <f t="shared" si="67"/>
        <v>3.6551300000000002</v>
      </c>
      <c r="S34" s="5">
        <f t="shared" ref="S34:S43" si="68">Q34/10^6*$Z$4*$Z$3/P34*10^12</f>
        <v>19.622937509999996</v>
      </c>
      <c r="T34" s="5">
        <f t="shared" ref="T34:T43" si="69">S34*0.06</f>
        <v>1.1773762505999998</v>
      </c>
      <c r="U34" s="5">
        <f t="shared" ref="U34:U43" si="70">S34/$Z$1</f>
        <v>2.6880736315068487</v>
      </c>
      <c r="V34" s="5">
        <f t="shared" si="63"/>
        <v>2.9303192968309104</v>
      </c>
    </row>
    <row r="35" spans="2:22" x14ac:dyDescent="0.3">
      <c r="B35">
        <v>3</v>
      </c>
      <c r="C35">
        <v>4683.7</v>
      </c>
      <c r="D35">
        <v>187228.79999999999</v>
      </c>
      <c r="E35">
        <v>37122.1</v>
      </c>
      <c r="F35">
        <f t="shared" si="60"/>
        <v>18.72288</v>
      </c>
      <c r="G35">
        <f t="shared" si="61"/>
        <v>0.46837000000000001</v>
      </c>
      <c r="H35">
        <f t="shared" si="62"/>
        <v>18.25451</v>
      </c>
      <c r="I35">
        <f t="shared" si="64"/>
        <v>3.7122099999999998</v>
      </c>
      <c r="K35" s="67"/>
      <c r="L35" s="3">
        <v>-97.8</v>
      </c>
      <c r="M35" s="5">
        <f t="shared" ref="M35:M43" si="71">L35+98.2</f>
        <v>0.40000000000000568</v>
      </c>
      <c r="N35" s="5">
        <f t="shared" si="65"/>
        <v>24.754552179927092</v>
      </c>
      <c r="O35" s="5">
        <f t="shared" si="66"/>
        <v>2.5279680456911686</v>
      </c>
      <c r="P35" s="4">
        <v>3</v>
      </c>
      <c r="Q35" s="5">
        <f t="shared" si="67"/>
        <v>18.25451</v>
      </c>
      <c r="R35" s="5">
        <f t="shared" si="67"/>
        <v>3.7122099999999998</v>
      </c>
      <c r="S35" s="5">
        <f t="shared" si="68"/>
        <v>20.280760610000002</v>
      </c>
      <c r="T35" s="5">
        <f t="shared" si="69"/>
        <v>1.2168456366</v>
      </c>
      <c r="U35" s="5">
        <f t="shared" si="70"/>
        <v>2.7781863849315069</v>
      </c>
      <c r="V35" s="5">
        <f t="shared" si="63"/>
        <v>2.5279680456911686</v>
      </c>
    </row>
    <row r="36" spans="2:22" x14ac:dyDescent="0.3">
      <c r="B36">
        <v>4</v>
      </c>
      <c r="C36">
        <v>5725.1</v>
      </c>
      <c r="D36">
        <v>204747</v>
      </c>
      <c r="E36">
        <v>36599.5</v>
      </c>
      <c r="F36">
        <f t="shared" si="60"/>
        <v>20.474699999999999</v>
      </c>
      <c r="G36">
        <f t="shared" si="61"/>
        <v>0.57251000000000007</v>
      </c>
      <c r="H36">
        <f t="shared" si="62"/>
        <v>19.902189999999997</v>
      </c>
      <c r="I36">
        <f t="shared" si="64"/>
        <v>3.6599499999999998</v>
      </c>
      <c r="K36" s="67"/>
      <c r="L36" s="3">
        <v>-97.2</v>
      </c>
      <c r="M36" s="5">
        <f t="shared" si="71"/>
        <v>1</v>
      </c>
      <c r="N36" s="5">
        <f t="shared" si="65"/>
        <v>31.807899949628325</v>
      </c>
      <c r="O36" s="5">
        <f t="shared" si="66"/>
        <v>1.5311288336483795</v>
      </c>
      <c r="P36" s="4">
        <v>3</v>
      </c>
      <c r="Q36" s="5">
        <f t="shared" si="67"/>
        <v>19.902189999999997</v>
      </c>
      <c r="R36" s="5">
        <f t="shared" si="67"/>
        <v>3.6599499999999998</v>
      </c>
      <c r="S36" s="5">
        <f t="shared" si="68"/>
        <v>22.111333089999995</v>
      </c>
      <c r="T36" s="5">
        <f t="shared" si="69"/>
        <v>1.3266799853999998</v>
      </c>
      <c r="U36" s="5">
        <f t="shared" si="70"/>
        <v>3.0289497383561637</v>
      </c>
      <c r="V36" s="5">
        <f t="shared" si="63"/>
        <v>1.5311288336483795</v>
      </c>
    </row>
    <row r="37" spans="2:22" x14ac:dyDescent="0.3">
      <c r="B37">
        <v>5</v>
      </c>
      <c r="C37">
        <v>6377.2</v>
      </c>
      <c r="D37">
        <v>196569.60000000001</v>
      </c>
      <c r="E37">
        <v>37112</v>
      </c>
      <c r="F37">
        <f t="shared" si="60"/>
        <v>19.656960000000002</v>
      </c>
      <c r="G37">
        <f t="shared" si="61"/>
        <v>0.63771999999999995</v>
      </c>
      <c r="H37">
        <f t="shared" si="62"/>
        <v>19.01924</v>
      </c>
      <c r="I37">
        <f t="shared" si="64"/>
        <v>3.7111999999999998</v>
      </c>
      <c r="K37" s="67"/>
      <c r="L37" s="3">
        <v>-96.8</v>
      </c>
      <c r="M37" s="5">
        <f t="shared" si="71"/>
        <v>1.4000000000000057</v>
      </c>
      <c r="N37" s="5">
        <f t="shared" si="65"/>
        <v>37.414240753916886</v>
      </c>
      <c r="O37" s="5">
        <f t="shared" si="66"/>
        <v>1.1066438002735886</v>
      </c>
      <c r="P37" s="4">
        <v>3</v>
      </c>
      <c r="Q37" s="5">
        <f t="shared" si="67"/>
        <v>19.01924</v>
      </c>
      <c r="R37" s="5">
        <f t="shared" si="67"/>
        <v>3.7111999999999998</v>
      </c>
      <c r="S37" s="5">
        <f t="shared" si="68"/>
        <v>21.13037564</v>
      </c>
      <c r="T37" s="5">
        <f t="shared" si="69"/>
        <v>1.2678225383999999</v>
      </c>
      <c r="U37" s="5">
        <f t="shared" si="70"/>
        <v>2.8945720054794521</v>
      </c>
      <c r="V37" s="5">
        <f t="shared" si="63"/>
        <v>1.1066438002735886</v>
      </c>
    </row>
    <row r="38" spans="2:22" x14ac:dyDescent="0.3">
      <c r="B38">
        <v>6</v>
      </c>
      <c r="C38">
        <v>790</v>
      </c>
      <c r="D38">
        <v>261111.9</v>
      </c>
      <c r="E38">
        <v>44155</v>
      </c>
      <c r="F38">
        <f t="shared" si="60"/>
        <v>26.111190000000001</v>
      </c>
      <c r="G38">
        <f t="shared" si="61"/>
        <v>7.9000000000000001E-2</v>
      </c>
      <c r="H38">
        <f t="shared" si="62"/>
        <v>26.03219</v>
      </c>
      <c r="I38">
        <f t="shared" si="64"/>
        <v>4.4154999999999998</v>
      </c>
      <c r="K38" s="67"/>
      <c r="L38" s="3">
        <v>-96.3</v>
      </c>
      <c r="M38" s="5">
        <f t="shared" si="71"/>
        <v>1.9000000000000057</v>
      </c>
      <c r="N38" s="5">
        <f t="shared" si="65"/>
        <v>44.970060517830404</v>
      </c>
      <c r="O38" s="5">
        <f t="shared" si="66"/>
        <v>0.76601060869959436</v>
      </c>
      <c r="P38" s="4">
        <v>4</v>
      </c>
      <c r="Q38" s="5">
        <f t="shared" si="67"/>
        <v>26.03219</v>
      </c>
      <c r="R38" s="5">
        <f t="shared" si="67"/>
        <v>4.4154999999999998</v>
      </c>
      <c r="S38" s="5">
        <f t="shared" si="68"/>
        <v>21.691322317499999</v>
      </c>
      <c r="T38" s="5">
        <f t="shared" si="69"/>
        <v>1.3014793390499999</v>
      </c>
      <c r="U38" s="5">
        <f t="shared" si="70"/>
        <v>2.9714140160958902</v>
      </c>
      <c r="V38" s="5">
        <f t="shared" si="63"/>
        <v>0.76601060869959436</v>
      </c>
    </row>
    <row r="39" spans="2:22" x14ac:dyDescent="0.3">
      <c r="B39">
        <v>7</v>
      </c>
      <c r="C39">
        <v>4979.1000000000004</v>
      </c>
      <c r="D39">
        <v>225963</v>
      </c>
      <c r="E39">
        <v>28486.9</v>
      </c>
      <c r="F39">
        <f t="shared" si="60"/>
        <v>22.596299999999999</v>
      </c>
      <c r="G39">
        <f t="shared" si="61"/>
        <v>0.49791000000000002</v>
      </c>
      <c r="H39">
        <f t="shared" si="62"/>
        <v>22.098389999999998</v>
      </c>
      <c r="I39">
        <f t="shared" si="64"/>
        <v>2.8486899999999999</v>
      </c>
      <c r="K39" s="67"/>
      <c r="L39" s="3">
        <v>-95.8</v>
      </c>
      <c r="M39" s="5">
        <f t="shared" si="71"/>
        <v>2.4000000000000057</v>
      </c>
      <c r="N39" s="5">
        <f t="shared" si="65"/>
        <v>52.890724234957723</v>
      </c>
      <c r="O39" s="5">
        <f t="shared" si="66"/>
        <v>0.55376142640169557</v>
      </c>
      <c r="P39" s="4">
        <v>4</v>
      </c>
      <c r="Q39" s="5">
        <f t="shared" si="67"/>
        <v>22.098389999999998</v>
      </c>
      <c r="R39" s="5">
        <f t="shared" si="67"/>
        <v>2.8486899999999999</v>
      </c>
      <c r="S39" s="5">
        <f t="shared" si="68"/>
        <v>18.413483467499997</v>
      </c>
      <c r="T39" s="5">
        <f t="shared" si="69"/>
        <v>1.1048090080499997</v>
      </c>
      <c r="U39" s="5">
        <f t="shared" si="70"/>
        <v>2.5223949955479448</v>
      </c>
      <c r="V39" s="5">
        <f t="shared" si="63"/>
        <v>0.55376142640169557</v>
      </c>
    </row>
    <row r="40" spans="2:22" x14ac:dyDescent="0.3">
      <c r="B40">
        <v>8</v>
      </c>
      <c r="C40">
        <v>-251.1</v>
      </c>
      <c r="D40">
        <v>255813.5</v>
      </c>
      <c r="E40">
        <v>23282.1</v>
      </c>
      <c r="F40">
        <f t="shared" si="60"/>
        <v>25.58135</v>
      </c>
      <c r="G40">
        <f t="shared" si="61"/>
        <v>-2.511E-2</v>
      </c>
      <c r="H40">
        <f t="shared" si="62"/>
        <v>25.606460000000002</v>
      </c>
      <c r="I40">
        <f t="shared" si="64"/>
        <v>2.3282099999999999</v>
      </c>
      <c r="K40" s="67"/>
      <c r="L40" s="3">
        <v>-95.5</v>
      </c>
      <c r="M40" s="5">
        <f t="shared" si="71"/>
        <v>2.7000000000000028</v>
      </c>
      <c r="N40" s="5">
        <f t="shared" si="65"/>
        <v>57.756125383651771</v>
      </c>
      <c r="O40" s="5">
        <f t="shared" si="66"/>
        <v>0.46439295988135315</v>
      </c>
      <c r="P40" s="4">
        <v>5</v>
      </c>
      <c r="Q40" s="5">
        <f t="shared" si="67"/>
        <v>25.606460000000002</v>
      </c>
      <c r="R40" s="5">
        <f t="shared" si="67"/>
        <v>2.3282099999999999</v>
      </c>
      <c r="S40" s="5">
        <f t="shared" si="68"/>
        <v>17.069266236000004</v>
      </c>
      <c r="T40" s="5">
        <f t="shared" si="69"/>
        <v>1.0241559741600001</v>
      </c>
      <c r="U40" s="5">
        <f t="shared" si="70"/>
        <v>2.3382556487671238</v>
      </c>
      <c r="V40" s="5">
        <f t="shared" si="63"/>
        <v>0.46439295988135315</v>
      </c>
    </row>
    <row r="41" spans="2:22" x14ac:dyDescent="0.3">
      <c r="B41">
        <v>9</v>
      </c>
      <c r="C41">
        <v>-1841.6</v>
      </c>
      <c r="D41">
        <v>350805.1</v>
      </c>
      <c r="E41">
        <v>20843.7</v>
      </c>
      <c r="F41">
        <f t="shared" si="60"/>
        <v>35.080509999999997</v>
      </c>
      <c r="G41">
        <f t="shared" si="61"/>
        <v>-0.18415999999999999</v>
      </c>
      <c r="H41">
        <f t="shared" si="62"/>
        <v>35.264669999999995</v>
      </c>
      <c r="I41">
        <f t="shared" si="64"/>
        <v>2.0843700000000003</v>
      </c>
      <c r="K41" s="67"/>
      <c r="L41" s="5">
        <v>-95.1</v>
      </c>
      <c r="M41" s="5">
        <f t="shared" si="71"/>
        <v>3.1000000000000085</v>
      </c>
      <c r="N41" s="5">
        <f t="shared" si="65"/>
        <v>64.335352920706185</v>
      </c>
      <c r="O41" s="5">
        <f t="shared" si="66"/>
        <v>0.37426770404311599</v>
      </c>
      <c r="P41" s="4">
        <v>8</v>
      </c>
      <c r="Q41" s="5">
        <f t="shared" si="67"/>
        <v>35.264669999999995</v>
      </c>
      <c r="R41" s="5">
        <f t="shared" si="67"/>
        <v>2.0843700000000003</v>
      </c>
      <c r="S41" s="5">
        <f t="shared" si="68"/>
        <v>14.692143138749996</v>
      </c>
      <c r="T41" s="5">
        <f t="shared" si="69"/>
        <v>0.8815285883249997</v>
      </c>
      <c r="U41" s="5">
        <f t="shared" si="70"/>
        <v>2.0126223477739722</v>
      </c>
      <c r="V41" s="5">
        <f t="shared" si="63"/>
        <v>0.37426770404311599</v>
      </c>
    </row>
    <row r="42" spans="2:22" x14ac:dyDescent="0.3">
      <c r="B42">
        <v>10</v>
      </c>
      <c r="C42">
        <v>-5086</v>
      </c>
      <c r="D42">
        <v>435156.9</v>
      </c>
      <c r="E42">
        <v>22718.7</v>
      </c>
      <c r="F42">
        <f t="shared" si="60"/>
        <v>43.515689999999999</v>
      </c>
      <c r="G42">
        <f t="shared" si="61"/>
        <v>-0.50860000000000005</v>
      </c>
      <c r="H42">
        <f t="shared" si="62"/>
        <v>44.024290000000001</v>
      </c>
      <c r="I42">
        <f t="shared" si="64"/>
        <v>2.2718700000000003</v>
      </c>
      <c r="K42" s="67"/>
      <c r="L42" s="5">
        <v>-94.399999999999991</v>
      </c>
      <c r="M42" s="5">
        <f t="shared" si="71"/>
        <v>3.8000000000000114</v>
      </c>
      <c r="N42" s="5">
        <f t="shared" si="65"/>
        <v>76.025152245972833</v>
      </c>
      <c r="O42" s="5">
        <f t="shared" si="66"/>
        <v>0.26801995585460153</v>
      </c>
      <c r="P42" s="4">
        <v>14</v>
      </c>
      <c r="Q42" s="5">
        <f t="shared" si="67"/>
        <v>44.024290000000001</v>
      </c>
      <c r="R42" s="5">
        <f t="shared" si="67"/>
        <v>2.2718700000000003</v>
      </c>
      <c r="S42" s="5">
        <f t="shared" si="68"/>
        <v>10.480925612142858</v>
      </c>
      <c r="T42" s="5">
        <f t="shared" si="69"/>
        <v>0.62885553672857142</v>
      </c>
      <c r="U42" s="5">
        <f t="shared" si="70"/>
        <v>1.4357432345401175</v>
      </c>
      <c r="V42" s="5">
        <f t="shared" si="63"/>
        <v>0.26801995585460153</v>
      </c>
    </row>
    <row r="43" spans="2:22" ht="15" thickBot="1" x14ac:dyDescent="0.35">
      <c r="B43">
        <v>11</v>
      </c>
      <c r="C43">
        <v>-9014</v>
      </c>
      <c r="D43">
        <v>230344.9</v>
      </c>
      <c r="E43">
        <v>92016.5</v>
      </c>
      <c r="F43">
        <f t="shared" si="60"/>
        <v>23.034489999999998</v>
      </c>
      <c r="G43">
        <f t="shared" si="61"/>
        <v>-0.90139999999999998</v>
      </c>
      <c r="H43">
        <f t="shared" si="62"/>
        <v>23.935889999999997</v>
      </c>
      <c r="I43">
        <f t="shared" si="64"/>
        <v>9.2016500000000008</v>
      </c>
      <c r="K43" s="68"/>
      <c r="L43" s="6">
        <v>-93.3</v>
      </c>
      <c r="M43" s="6">
        <f t="shared" si="71"/>
        <v>4.9000000000000057</v>
      </c>
      <c r="N43" s="6">
        <f t="shared" si="65"/>
        <v>94.671337139281746</v>
      </c>
      <c r="O43" s="6">
        <f t="shared" si="66"/>
        <v>0.17284017847267674</v>
      </c>
      <c r="P43" s="7">
        <v>21</v>
      </c>
      <c r="Q43" s="6">
        <f t="shared" si="67"/>
        <v>23.935889999999997</v>
      </c>
      <c r="R43" s="6">
        <f t="shared" si="67"/>
        <v>9.2016500000000008</v>
      </c>
      <c r="S43" s="6">
        <f t="shared" si="68"/>
        <v>3.7989676842857141</v>
      </c>
      <c r="T43" s="6">
        <f t="shared" si="69"/>
        <v>0.22793806105714284</v>
      </c>
      <c r="U43" s="6">
        <f t="shared" si="70"/>
        <v>0.52040653209393339</v>
      </c>
      <c r="V43" s="6">
        <f t="shared" si="63"/>
        <v>0.17284017847267674</v>
      </c>
    </row>
    <row r="44" spans="2:22" ht="15" thickTop="1" x14ac:dyDescent="0.3"/>
    <row r="45" spans="2:22" ht="15" thickBot="1" x14ac:dyDescent="0.35"/>
    <row r="46" spans="2:22" ht="17.399999999999999" thickTop="1" thickBot="1" x14ac:dyDescent="0.35">
      <c r="B46" t="s">
        <v>22</v>
      </c>
      <c r="C46" t="s">
        <v>2</v>
      </c>
      <c r="D46" t="s">
        <v>1</v>
      </c>
      <c r="E46" t="s">
        <v>5</v>
      </c>
      <c r="F46" t="s">
        <v>0</v>
      </c>
      <c r="G46" t="s">
        <v>3</v>
      </c>
      <c r="H46" t="s">
        <v>4</v>
      </c>
      <c r="I46" t="s">
        <v>6</v>
      </c>
      <c r="K46" s="9" t="s">
        <v>41</v>
      </c>
      <c r="L46" s="10" t="s">
        <v>42</v>
      </c>
      <c r="M46" s="10" t="s">
        <v>43</v>
      </c>
      <c r="N46" s="10" t="s">
        <v>47</v>
      </c>
      <c r="O46" s="10" t="s">
        <v>44</v>
      </c>
      <c r="P46" s="10" t="s">
        <v>45</v>
      </c>
      <c r="Q46" s="10" t="s">
        <v>48</v>
      </c>
      <c r="R46" s="10" t="s">
        <v>49</v>
      </c>
      <c r="S46" s="13" t="s">
        <v>50</v>
      </c>
      <c r="T46" s="13" t="s">
        <v>52</v>
      </c>
      <c r="U46" s="13" t="s">
        <v>51</v>
      </c>
      <c r="V46" s="10" t="s">
        <v>44</v>
      </c>
    </row>
    <row r="47" spans="2:22" ht="15" thickTop="1" x14ac:dyDescent="0.3">
      <c r="B47">
        <v>1</v>
      </c>
      <c r="C47">
        <v>-5448.6</v>
      </c>
      <c r="D47">
        <v>260359.1</v>
      </c>
      <c r="E47">
        <v>16850.400000000001</v>
      </c>
      <c r="F47">
        <f t="shared" ref="F47:F57" si="72">D47/10000</f>
        <v>26.035910000000001</v>
      </c>
      <c r="G47">
        <f t="shared" ref="G47:G57" si="73">C47/10000</f>
        <v>-0.54486000000000001</v>
      </c>
      <c r="H47">
        <f t="shared" ref="H47:H57" si="74">F47-G47</f>
        <v>26.580770000000001</v>
      </c>
      <c r="I47">
        <f>E47/10000</f>
        <v>1.6850400000000001</v>
      </c>
      <c r="K47" s="66">
        <v>4</v>
      </c>
      <c r="L47" s="1">
        <v>-98.2</v>
      </c>
      <c r="M47" s="8">
        <f>L47+98.2</f>
        <v>0</v>
      </c>
      <c r="N47" s="8">
        <f>20.56036*SQRT(1+((L47-(-98.58903))*1.03*1095.70644/(3.14159*20.56036^2))^2)</f>
        <v>21.654820206582954</v>
      </c>
      <c r="O47" s="8">
        <f>2*$Z$1/$Z$2/PI()/(N47*10^-4)^2/$K$47/$Z$7</f>
        <v>2.477615031750708</v>
      </c>
      <c r="P47" s="2">
        <v>3</v>
      </c>
      <c r="Q47" s="8">
        <f>H47</f>
        <v>26.580770000000001</v>
      </c>
      <c r="R47" s="8">
        <f>I47</f>
        <v>1.6850400000000001</v>
      </c>
      <c r="S47" s="8">
        <f>Q47/10^6*$Z$4*$Z$3/P47*10^12</f>
        <v>29.531235470000002</v>
      </c>
      <c r="T47" s="8">
        <f>S47*0.06</f>
        <v>1.7718741282000001</v>
      </c>
      <c r="U47" s="8">
        <f>S47/$Z$1</f>
        <v>4.0453747219178089</v>
      </c>
      <c r="V47" s="12">
        <f t="shared" ref="V47:V57" si="75">O47</f>
        <v>2.477615031750708</v>
      </c>
    </row>
    <row r="48" spans="2:22" x14ac:dyDescent="0.3">
      <c r="B48">
        <v>2</v>
      </c>
      <c r="C48">
        <v>707.4</v>
      </c>
      <c r="D48">
        <v>252503.4</v>
      </c>
      <c r="E48">
        <v>22630.6</v>
      </c>
      <c r="F48">
        <f t="shared" si="72"/>
        <v>25.250339999999998</v>
      </c>
      <c r="G48">
        <f t="shared" si="73"/>
        <v>7.0739999999999997E-2</v>
      </c>
      <c r="H48">
        <f t="shared" si="74"/>
        <v>25.179599999999997</v>
      </c>
      <c r="I48">
        <f t="shared" ref="I48:I57" si="76">E48/10000</f>
        <v>2.2630599999999998</v>
      </c>
      <c r="K48" s="67"/>
      <c r="L48" s="3">
        <v>-98</v>
      </c>
      <c r="M48" s="5">
        <f>L48+98.2</f>
        <v>0.20000000000000284</v>
      </c>
      <c r="N48" s="5">
        <f t="shared" ref="N48:N57" si="77">20.56036*SQRT(1+((L48-(-98.58903))*1.03*1095.70644/(3.14159*20.56036^2))^2)</f>
        <v>22.992351577801337</v>
      </c>
      <c r="O48" s="5">
        <f t="shared" ref="O48:O57" si="78">2*$Z$1/$Z$2/PI()/(N48*10^-4)^2/$K$47/$Z$7</f>
        <v>2.1977394726231827</v>
      </c>
      <c r="P48" s="4">
        <v>3</v>
      </c>
      <c r="Q48" s="5">
        <f t="shared" ref="Q48:R57" si="79">H48</f>
        <v>25.179599999999997</v>
      </c>
      <c r="R48" s="5">
        <f t="shared" si="79"/>
        <v>2.2630599999999998</v>
      </c>
      <c r="S48" s="5">
        <f t="shared" ref="S48:S57" si="80">Q48/10^6*$Z$4*$Z$3/P48*10^12</f>
        <v>27.974535600000003</v>
      </c>
      <c r="T48" s="5">
        <f t="shared" ref="T48:T57" si="81">S48*0.06</f>
        <v>1.6784721360000001</v>
      </c>
      <c r="U48" s="5">
        <f t="shared" ref="U48:U57" si="82">S48/$Z$1</f>
        <v>3.8321281643835623</v>
      </c>
      <c r="V48" s="5">
        <f t="shared" si="75"/>
        <v>2.1977394726231827</v>
      </c>
    </row>
    <row r="49" spans="2:22" x14ac:dyDescent="0.3">
      <c r="B49">
        <v>3</v>
      </c>
      <c r="C49">
        <v>-1261.2</v>
      </c>
      <c r="D49">
        <v>263788.3</v>
      </c>
      <c r="E49">
        <v>31594</v>
      </c>
      <c r="F49">
        <f t="shared" si="72"/>
        <v>26.378829999999997</v>
      </c>
      <c r="G49">
        <f t="shared" si="73"/>
        <v>-0.12612000000000001</v>
      </c>
      <c r="H49">
        <f t="shared" si="74"/>
        <v>26.504949999999997</v>
      </c>
      <c r="I49">
        <f t="shared" si="76"/>
        <v>3.1594000000000002</v>
      </c>
      <c r="K49" s="67"/>
      <c r="L49" s="3">
        <v>-97.8</v>
      </c>
      <c r="M49" s="5">
        <f t="shared" ref="M49:M57" si="83">L49+98.2</f>
        <v>0.40000000000000568</v>
      </c>
      <c r="N49" s="5">
        <f t="shared" si="77"/>
        <v>24.754552179927092</v>
      </c>
      <c r="O49" s="5">
        <f t="shared" si="78"/>
        <v>1.8959760342683765</v>
      </c>
      <c r="P49" s="4">
        <v>3</v>
      </c>
      <c r="Q49" s="5">
        <f t="shared" si="79"/>
        <v>26.504949999999997</v>
      </c>
      <c r="R49" s="5">
        <f t="shared" si="79"/>
        <v>3.1594000000000002</v>
      </c>
      <c r="S49" s="5">
        <f t="shared" si="80"/>
        <v>29.446999449999996</v>
      </c>
      <c r="T49" s="5">
        <f t="shared" si="81"/>
        <v>1.7668199669999998</v>
      </c>
      <c r="U49" s="5">
        <f t="shared" si="82"/>
        <v>4.0338355410958897</v>
      </c>
      <c r="V49" s="5">
        <f t="shared" si="75"/>
        <v>1.8959760342683765</v>
      </c>
    </row>
    <row r="50" spans="2:22" x14ac:dyDescent="0.3">
      <c r="B50">
        <v>4</v>
      </c>
      <c r="C50">
        <v>1399.8</v>
      </c>
      <c r="D50">
        <v>229320</v>
      </c>
      <c r="E50">
        <v>42421.4</v>
      </c>
      <c r="F50">
        <f t="shared" si="72"/>
        <v>22.931999999999999</v>
      </c>
      <c r="G50">
        <f t="shared" si="73"/>
        <v>0.13997999999999999</v>
      </c>
      <c r="H50">
        <f t="shared" si="74"/>
        <v>22.792019999999997</v>
      </c>
      <c r="I50">
        <f t="shared" si="76"/>
        <v>4.24214</v>
      </c>
      <c r="K50" s="67"/>
      <c r="L50" s="3">
        <v>-97.2</v>
      </c>
      <c r="M50" s="5">
        <f t="shared" si="83"/>
        <v>1</v>
      </c>
      <c r="N50" s="5">
        <f t="shared" si="77"/>
        <v>31.807899949628325</v>
      </c>
      <c r="O50" s="5">
        <f t="shared" si="78"/>
        <v>1.1483466252362846</v>
      </c>
      <c r="P50" s="4">
        <v>3</v>
      </c>
      <c r="Q50" s="5">
        <f t="shared" si="79"/>
        <v>22.792019999999997</v>
      </c>
      <c r="R50" s="5">
        <f t="shared" si="79"/>
        <v>4.24214</v>
      </c>
      <c r="S50" s="5">
        <f t="shared" si="80"/>
        <v>25.321934219999996</v>
      </c>
      <c r="T50" s="5">
        <f t="shared" si="81"/>
        <v>1.5193160531999996</v>
      </c>
      <c r="U50" s="5">
        <f t="shared" si="82"/>
        <v>3.4687581123287665</v>
      </c>
      <c r="V50" s="5">
        <f t="shared" si="75"/>
        <v>1.1483466252362846</v>
      </c>
    </row>
    <row r="51" spans="2:22" x14ac:dyDescent="0.3">
      <c r="B51">
        <v>5</v>
      </c>
      <c r="C51">
        <v>3365.8</v>
      </c>
      <c r="D51">
        <v>202491.8</v>
      </c>
      <c r="E51">
        <v>47225.8</v>
      </c>
      <c r="F51">
        <f t="shared" si="72"/>
        <v>20.249179999999999</v>
      </c>
      <c r="G51">
        <f t="shared" si="73"/>
        <v>0.33658000000000005</v>
      </c>
      <c r="H51">
        <f t="shared" si="74"/>
        <v>19.912599999999998</v>
      </c>
      <c r="I51">
        <f t="shared" si="76"/>
        <v>4.7225800000000007</v>
      </c>
      <c r="K51" s="67"/>
      <c r="L51" s="3">
        <v>-96.8</v>
      </c>
      <c r="M51" s="5">
        <f t="shared" si="83"/>
        <v>1.4000000000000057</v>
      </c>
      <c r="N51" s="5">
        <f t="shared" si="77"/>
        <v>37.414240753916886</v>
      </c>
      <c r="O51" s="5">
        <f t="shared" si="78"/>
        <v>0.82998285020519136</v>
      </c>
      <c r="P51" s="4">
        <v>3</v>
      </c>
      <c r="Q51" s="5">
        <f t="shared" si="79"/>
        <v>19.912599999999998</v>
      </c>
      <c r="R51" s="5">
        <f t="shared" si="79"/>
        <v>4.7225800000000007</v>
      </c>
      <c r="S51" s="5">
        <f t="shared" si="80"/>
        <v>22.122898599999996</v>
      </c>
      <c r="T51" s="5">
        <f t="shared" si="81"/>
        <v>1.3273739159999998</v>
      </c>
      <c r="U51" s="5">
        <f t="shared" si="82"/>
        <v>3.0305340547945199</v>
      </c>
      <c r="V51" s="5">
        <f t="shared" si="75"/>
        <v>0.82998285020519136</v>
      </c>
    </row>
    <row r="52" spans="2:22" x14ac:dyDescent="0.3">
      <c r="B52">
        <v>6</v>
      </c>
      <c r="C52">
        <v>4047.5</v>
      </c>
      <c r="D52">
        <v>195300.6</v>
      </c>
      <c r="E52">
        <v>42617.7</v>
      </c>
      <c r="F52">
        <f t="shared" si="72"/>
        <v>19.530059999999999</v>
      </c>
      <c r="G52">
        <f t="shared" si="73"/>
        <v>0.40475</v>
      </c>
      <c r="H52">
        <f t="shared" si="74"/>
        <v>19.125309999999999</v>
      </c>
      <c r="I52">
        <f t="shared" si="76"/>
        <v>4.2617699999999994</v>
      </c>
      <c r="K52" s="67"/>
      <c r="L52" s="3">
        <v>-96.3</v>
      </c>
      <c r="M52" s="5">
        <f t="shared" si="83"/>
        <v>1.9000000000000057</v>
      </c>
      <c r="N52" s="5">
        <f t="shared" si="77"/>
        <v>44.970060517830404</v>
      </c>
      <c r="O52" s="5">
        <f t="shared" si="78"/>
        <v>0.57450795652469577</v>
      </c>
      <c r="P52" s="4">
        <v>4</v>
      </c>
      <c r="Q52" s="5">
        <f t="shared" si="79"/>
        <v>19.125309999999999</v>
      </c>
      <c r="R52" s="5">
        <f t="shared" si="79"/>
        <v>4.2617699999999994</v>
      </c>
      <c r="S52" s="5">
        <f t="shared" si="80"/>
        <v>15.936164557499998</v>
      </c>
      <c r="T52" s="5">
        <f t="shared" si="81"/>
        <v>0.95616987344999982</v>
      </c>
      <c r="U52" s="5">
        <f t="shared" si="82"/>
        <v>2.1830362407534243</v>
      </c>
      <c r="V52" s="5">
        <f t="shared" si="75"/>
        <v>0.57450795652469577</v>
      </c>
    </row>
    <row r="53" spans="2:22" x14ac:dyDescent="0.3">
      <c r="B53">
        <v>7</v>
      </c>
      <c r="C53">
        <v>6919.1</v>
      </c>
      <c r="D53">
        <v>163525.9</v>
      </c>
      <c r="E53">
        <v>26883.8</v>
      </c>
      <c r="F53">
        <f t="shared" si="72"/>
        <v>16.352589999999999</v>
      </c>
      <c r="G53">
        <f t="shared" si="73"/>
        <v>0.69191000000000003</v>
      </c>
      <c r="H53">
        <f t="shared" si="74"/>
        <v>15.660679999999999</v>
      </c>
      <c r="I53">
        <f t="shared" si="76"/>
        <v>2.68838</v>
      </c>
      <c r="K53" s="67"/>
      <c r="L53" s="3">
        <v>-95.8</v>
      </c>
      <c r="M53" s="5">
        <f t="shared" si="83"/>
        <v>2.4000000000000057</v>
      </c>
      <c r="N53" s="5">
        <f t="shared" si="77"/>
        <v>52.890724234957723</v>
      </c>
      <c r="O53" s="5">
        <f t="shared" si="78"/>
        <v>0.41532106980127165</v>
      </c>
      <c r="P53" s="4">
        <v>4</v>
      </c>
      <c r="Q53" s="5">
        <f t="shared" si="79"/>
        <v>15.660679999999999</v>
      </c>
      <c r="R53" s="5">
        <f t="shared" si="79"/>
        <v>2.68838</v>
      </c>
      <c r="S53" s="5">
        <f t="shared" si="80"/>
        <v>13.04926161</v>
      </c>
      <c r="T53" s="5">
        <f t="shared" si="81"/>
        <v>0.78295569659999997</v>
      </c>
      <c r="U53" s="5">
        <f t="shared" si="82"/>
        <v>1.7875700835616439</v>
      </c>
      <c r="V53" s="5">
        <f t="shared" si="75"/>
        <v>0.41532106980127165</v>
      </c>
    </row>
    <row r="54" spans="2:22" x14ac:dyDescent="0.3">
      <c r="B54">
        <v>8</v>
      </c>
      <c r="C54">
        <v>4835.3999999999996</v>
      </c>
      <c r="D54">
        <v>173566.9</v>
      </c>
      <c r="E54">
        <v>27650.2</v>
      </c>
      <c r="F54">
        <f t="shared" si="72"/>
        <v>17.35669</v>
      </c>
      <c r="G54">
        <f t="shared" si="73"/>
        <v>0.48353999999999997</v>
      </c>
      <c r="H54">
        <f t="shared" si="74"/>
        <v>16.873149999999999</v>
      </c>
      <c r="I54">
        <f t="shared" si="76"/>
        <v>2.7650200000000003</v>
      </c>
      <c r="K54" s="67"/>
      <c r="L54" s="3">
        <v>-95.5</v>
      </c>
      <c r="M54" s="5">
        <f t="shared" si="83"/>
        <v>2.7000000000000028</v>
      </c>
      <c r="N54" s="5">
        <f t="shared" si="77"/>
        <v>57.756125383651771</v>
      </c>
      <c r="O54" s="5">
        <f t="shared" si="78"/>
        <v>0.34829471991101485</v>
      </c>
      <c r="P54" s="4">
        <v>5</v>
      </c>
      <c r="Q54" s="5">
        <f t="shared" si="79"/>
        <v>16.873149999999999</v>
      </c>
      <c r="R54" s="5">
        <f t="shared" si="79"/>
        <v>2.7650200000000003</v>
      </c>
      <c r="S54" s="5">
        <f t="shared" si="80"/>
        <v>11.247641789999999</v>
      </c>
      <c r="T54" s="5">
        <f t="shared" si="81"/>
        <v>0.67485850739999997</v>
      </c>
      <c r="U54" s="5">
        <f t="shared" si="82"/>
        <v>1.5407728479452054</v>
      </c>
      <c r="V54" s="5">
        <f t="shared" si="75"/>
        <v>0.34829471991101485</v>
      </c>
    </row>
    <row r="55" spans="2:22" x14ac:dyDescent="0.3">
      <c r="B55">
        <v>9</v>
      </c>
      <c r="C55">
        <v>7318.7</v>
      </c>
      <c r="D55">
        <v>212859</v>
      </c>
      <c r="E55">
        <v>13387.9</v>
      </c>
      <c r="F55">
        <f t="shared" si="72"/>
        <v>21.285900000000002</v>
      </c>
      <c r="G55">
        <f t="shared" si="73"/>
        <v>0.73187000000000002</v>
      </c>
      <c r="H55">
        <f t="shared" si="74"/>
        <v>20.554030000000001</v>
      </c>
      <c r="I55">
        <f t="shared" si="76"/>
        <v>1.3387899999999999</v>
      </c>
      <c r="K55" s="67"/>
      <c r="L55" s="5">
        <v>-95.1</v>
      </c>
      <c r="M55" s="5">
        <f t="shared" si="83"/>
        <v>3.1000000000000085</v>
      </c>
      <c r="N55" s="5">
        <f t="shared" si="77"/>
        <v>64.335352920706185</v>
      </c>
      <c r="O55" s="5">
        <f t="shared" si="78"/>
        <v>0.28070077803233701</v>
      </c>
      <c r="P55" s="4">
        <v>8</v>
      </c>
      <c r="Q55" s="5">
        <f t="shared" si="79"/>
        <v>20.554030000000001</v>
      </c>
      <c r="R55" s="5">
        <f t="shared" si="79"/>
        <v>1.3387899999999999</v>
      </c>
      <c r="S55" s="5">
        <f t="shared" si="80"/>
        <v>8.5633227487500019</v>
      </c>
      <c r="T55" s="5">
        <f t="shared" si="81"/>
        <v>0.51379936492500011</v>
      </c>
      <c r="U55" s="5">
        <f t="shared" si="82"/>
        <v>1.1730579107876715</v>
      </c>
      <c r="V55" s="5">
        <f t="shared" si="75"/>
        <v>0.28070077803233701</v>
      </c>
    </row>
    <row r="56" spans="2:22" x14ac:dyDescent="0.3">
      <c r="B56">
        <v>10</v>
      </c>
      <c r="C56">
        <v>3286</v>
      </c>
      <c r="D56">
        <v>254308</v>
      </c>
      <c r="E56">
        <v>16897.2</v>
      </c>
      <c r="F56">
        <f t="shared" si="72"/>
        <v>25.430800000000001</v>
      </c>
      <c r="G56">
        <f t="shared" si="73"/>
        <v>0.3286</v>
      </c>
      <c r="H56">
        <f t="shared" si="74"/>
        <v>25.1022</v>
      </c>
      <c r="I56">
        <f t="shared" si="76"/>
        <v>1.6897200000000001</v>
      </c>
      <c r="K56" s="67"/>
      <c r="L56" s="5">
        <v>-94.399999999999991</v>
      </c>
      <c r="M56" s="5">
        <f t="shared" si="83"/>
        <v>3.8000000000000114</v>
      </c>
      <c r="N56" s="5">
        <f t="shared" si="77"/>
        <v>76.025152245972833</v>
      </c>
      <c r="O56" s="5">
        <f t="shared" si="78"/>
        <v>0.20101496689095116</v>
      </c>
      <c r="P56" s="4">
        <v>14</v>
      </c>
      <c r="Q56" s="5">
        <f t="shared" si="79"/>
        <v>25.1022</v>
      </c>
      <c r="R56" s="5">
        <f t="shared" si="79"/>
        <v>1.6897200000000001</v>
      </c>
      <c r="S56" s="5">
        <f t="shared" si="80"/>
        <v>5.9761166142857141</v>
      </c>
      <c r="T56" s="5">
        <f t="shared" si="81"/>
        <v>0.35856699685714283</v>
      </c>
      <c r="U56" s="5">
        <f t="shared" si="82"/>
        <v>0.81864611154598821</v>
      </c>
      <c r="V56" s="5">
        <f t="shared" si="75"/>
        <v>0.20101496689095116</v>
      </c>
    </row>
    <row r="57" spans="2:22" ht="15" thickBot="1" x14ac:dyDescent="0.35">
      <c r="B57">
        <v>11</v>
      </c>
      <c r="C57">
        <v>3505.1</v>
      </c>
      <c r="D57">
        <v>158845</v>
      </c>
      <c r="E57">
        <v>28294.9</v>
      </c>
      <c r="F57">
        <f t="shared" si="72"/>
        <v>15.884499999999999</v>
      </c>
      <c r="G57">
        <f t="shared" si="73"/>
        <v>0.35050999999999999</v>
      </c>
      <c r="H57">
        <f t="shared" si="74"/>
        <v>15.533989999999999</v>
      </c>
      <c r="I57">
        <f t="shared" si="76"/>
        <v>2.8294900000000003</v>
      </c>
      <c r="K57" s="68"/>
      <c r="L57" s="6">
        <v>-93.3</v>
      </c>
      <c r="M57" s="6">
        <f t="shared" si="83"/>
        <v>4.9000000000000057</v>
      </c>
      <c r="N57" s="6">
        <f t="shared" si="77"/>
        <v>94.671337139281746</v>
      </c>
      <c r="O57" s="6">
        <f t="shared" si="78"/>
        <v>0.12963013385450756</v>
      </c>
      <c r="P57" s="7">
        <v>21</v>
      </c>
      <c r="Q57" s="6">
        <f t="shared" si="79"/>
        <v>15.533989999999999</v>
      </c>
      <c r="R57" s="6">
        <f t="shared" si="79"/>
        <v>2.8294900000000003</v>
      </c>
      <c r="S57" s="6">
        <f t="shared" si="80"/>
        <v>2.4654661271428577</v>
      </c>
      <c r="T57" s="6">
        <f t="shared" si="81"/>
        <v>0.14792796762857147</v>
      </c>
      <c r="U57" s="6">
        <f t="shared" si="82"/>
        <v>0.33773508590998053</v>
      </c>
      <c r="V57" s="6">
        <f t="shared" si="75"/>
        <v>0.12963013385450756</v>
      </c>
    </row>
    <row r="58" spans="2:22" ht="15" thickTop="1" x14ac:dyDescent="0.3"/>
    <row r="59" spans="2:22" ht="15" thickBot="1" x14ac:dyDescent="0.35"/>
    <row r="60" spans="2:22" ht="17.399999999999999" thickTop="1" thickBot="1" x14ac:dyDescent="0.35">
      <c r="B60" t="s">
        <v>23</v>
      </c>
      <c r="C60" t="s">
        <v>2</v>
      </c>
      <c r="D60" t="s">
        <v>1</v>
      </c>
      <c r="E60" t="s">
        <v>5</v>
      </c>
      <c r="F60" t="s">
        <v>0</v>
      </c>
      <c r="G60" t="s">
        <v>3</v>
      </c>
      <c r="H60" t="s">
        <v>4</v>
      </c>
      <c r="I60" t="s">
        <v>6</v>
      </c>
      <c r="K60" s="9" t="s">
        <v>41</v>
      </c>
      <c r="L60" s="10" t="s">
        <v>42</v>
      </c>
      <c r="M60" s="10" t="s">
        <v>43</v>
      </c>
      <c r="N60" s="10" t="s">
        <v>47</v>
      </c>
      <c r="O60" s="10" t="s">
        <v>44</v>
      </c>
      <c r="P60" s="10" t="s">
        <v>45</v>
      </c>
      <c r="Q60" s="10" t="s">
        <v>48</v>
      </c>
      <c r="R60" s="10" t="s">
        <v>49</v>
      </c>
      <c r="S60" s="13" t="s">
        <v>50</v>
      </c>
      <c r="T60" s="13" t="s">
        <v>52</v>
      </c>
      <c r="U60" s="13" t="s">
        <v>51</v>
      </c>
      <c r="V60" s="10" t="s">
        <v>44</v>
      </c>
    </row>
    <row r="61" spans="2:22" ht="15" thickTop="1" x14ac:dyDescent="0.3">
      <c r="B61">
        <v>1</v>
      </c>
      <c r="C61">
        <v>-10492.2</v>
      </c>
      <c r="D61">
        <v>293319.59999999998</v>
      </c>
      <c r="E61">
        <v>8569.7999999999993</v>
      </c>
      <c r="F61">
        <f t="shared" ref="F61:F71" si="84">D61/10000</f>
        <v>29.331959999999999</v>
      </c>
      <c r="G61">
        <f t="shared" ref="G61:G71" si="85">C61/10000</f>
        <v>-1.04922</v>
      </c>
      <c r="H61">
        <f t="shared" ref="H61:H71" si="86">F61-G61</f>
        <v>30.381180000000001</v>
      </c>
      <c r="I61">
        <f>E61/10000</f>
        <v>0.85697999999999996</v>
      </c>
      <c r="K61" s="66">
        <v>5</v>
      </c>
      <c r="L61" s="1">
        <v>-98.2</v>
      </c>
      <c r="M61" s="8">
        <f>L61+98.2</f>
        <v>0</v>
      </c>
      <c r="N61" s="8">
        <f>20.56036*SQRT(1+((L61-(-98.58903))*1.03*1095.70644/(3.14159*20.56036^2))^2)</f>
        <v>21.654820206582954</v>
      </c>
      <c r="O61" s="8">
        <f>2*$Z$1/$Z$2/PI()/(N61*10^-4)^2/$K$61/$Z$7</f>
        <v>1.9820920254005663</v>
      </c>
      <c r="P61" s="2">
        <v>3</v>
      </c>
      <c r="Q61" s="8">
        <f>H61</f>
        <v>30.381180000000001</v>
      </c>
      <c r="R61" s="8">
        <f>I61</f>
        <v>0.85697999999999996</v>
      </c>
      <c r="S61" s="8">
        <f>Q61/10^6*$Z$4*$Z$3/P61*10^12</f>
        <v>33.753490980000009</v>
      </c>
      <c r="T61" s="8">
        <f>S61*0.06</f>
        <v>2.0252094588000005</v>
      </c>
      <c r="U61" s="8">
        <f>S61/$Z$1</f>
        <v>4.623765887671234</v>
      </c>
      <c r="V61" s="12">
        <f t="shared" ref="V61:V71" si="87">O61</f>
        <v>1.9820920254005663</v>
      </c>
    </row>
    <row r="62" spans="2:22" x14ac:dyDescent="0.3">
      <c r="B62">
        <v>2</v>
      </c>
      <c r="C62">
        <v>-3541.5</v>
      </c>
      <c r="D62">
        <v>297521.8</v>
      </c>
      <c r="E62">
        <v>12425.5</v>
      </c>
      <c r="F62">
        <f t="shared" si="84"/>
        <v>29.752179999999999</v>
      </c>
      <c r="G62">
        <f t="shared" si="85"/>
        <v>-0.35415000000000002</v>
      </c>
      <c r="H62">
        <f t="shared" si="86"/>
        <v>30.10633</v>
      </c>
      <c r="I62">
        <f t="shared" ref="I62:I71" si="88">E62/10000</f>
        <v>1.24255</v>
      </c>
      <c r="K62" s="67"/>
      <c r="L62" s="3">
        <v>-98</v>
      </c>
      <c r="M62" s="5">
        <f>L62+98.2</f>
        <v>0.20000000000000284</v>
      </c>
      <c r="N62" s="5">
        <f t="shared" ref="N62:N71" si="89">20.56036*SQRT(1+((L62-(-98.58903))*1.03*1095.70644/(3.14159*20.56036^2))^2)</f>
        <v>22.992351577801337</v>
      </c>
      <c r="O62" s="5">
        <f t="shared" ref="O62:O71" si="90">2*$Z$1/$Z$2/PI()/(N62*10^-4)^2/$K$61/$Z$7</f>
        <v>1.7581915780985462</v>
      </c>
      <c r="P62" s="4">
        <v>3</v>
      </c>
      <c r="Q62" s="5">
        <f t="shared" ref="Q62:R71" si="91">H62</f>
        <v>30.10633</v>
      </c>
      <c r="R62" s="5">
        <f t="shared" si="91"/>
        <v>1.24255</v>
      </c>
      <c r="S62" s="5">
        <f t="shared" ref="S62:S71" si="92">Q62/10^6*$Z$4*$Z$3/P62*10^12</f>
        <v>33.448132629999996</v>
      </c>
      <c r="T62" s="5">
        <f t="shared" ref="T62:T71" si="93">S62*0.06</f>
        <v>2.0068879577999996</v>
      </c>
      <c r="U62" s="5">
        <f t="shared" ref="U62:U71" si="94">S62/$Z$1</f>
        <v>4.5819359767123284</v>
      </c>
      <c r="V62" s="5">
        <f t="shared" si="87"/>
        <v>1.7581915780985462</v>
      </c>
    </row>
    <row r="63" spans="2:22" x14ac:dyDescent="0.3">
      <c r="B63">
        <v>3</v>
      </c>
      <c r="C63">
        <v>-3865.5</v>
      </c>
      <c r="D63">
        <v>316233.09999999998</v>
      </c>
      <c r="E63">
        <v>12718.2</v>
      </c>
      <c r="F63">
        <f t="shared" si="84"/>
        <v>31.623309999999996</v>
      </c>
      <c r="G63">
        <f t="shared" si="85"/>
        <v>-0.38655</v>
      </c>
      <c r="H63">
        <f t="shared" si="86"/>
        <v>32.009859999999996</v>
      </c>
      <c r="I63">
        <f t="shared" si="88"/>
        <v>1.2718200000000002</v>
      </c>
      <c r="K63" s="67"/>
      <c r="L63" s="3">
        <v>-97.8</v>
      </c>
      <c r="M63" s="5">
        <f t="shared" ref="M63:M71" si="95">L63+98.2</f>
        <v>0.40000000000000568</v>
      </c>
      <c r="N63" s="5">
        <f t="shared" si="89"/>
        <v>24.754552179927092</v>
      </c>
      <c r="O63" s="5">
        <f t="shared" si="90"/>
        <v>1.5167808274147012</v>
      </c>
      <c r="P63" s="4">
        <v>3</v>
      </c>
      <c r="Q63" s="5">
        <f t="shared" si="91"/>
        <v>32.009859999999996</v>
      </c>
      <c r="R63" s="5">
        <f t="shared" si="91"/>
        <v>1.2718200000000002</v>
      </c>
      <c r="S63" s="5">
        <f t="shared" si="92"/>
        <v>35.562954459999993</v>
      </c>
      <c r="T63" s="5">
        <f t="shared" si="93"/>
        <v>2.1337772675999993</v>
      </c>
      <c r="U63" s="5">
        <f t="shared" si="94"/>
        <v>4.871637597260273</v>
      </c>
      <c r="V63" s="5">
        <f t="shared" si="87"/>
        <v>1.5167808274147012</v>
      </c>
    </row>
    <row r="64" spans="2:22" x14ac:dyDescent="0.3">
      <c r="B64">
        <v>4</v>
      </c>
      <c r="C64">
        <v>-3242.8</v>
      </c>
      <c r="D64">
        <v>285701</v>
      </c>
      <c r="E64">
        <v>30032.7</v>
      </c>
      <c r="F64">
        <f t="shared" si="84"/>
        <v>28.5701</v>
      </c>
      <c r="G64">
        <f t="shared" si="85"/>
        <v>-0.32428000000000001</v>
      </c>
      <c r="H64">
        <f t="shared" si="86"/>
        <v>28.894380000000002</v>
      </c>
      <c r="I64">
        <f t="shared" si="88"/>
        <v>3.0032700000000001</v>
      </c>
      <c r="K64" s="67"/>
      <c r="L64" s="3">
        <v>-97.2</v>
      </c>
      <c r="M64" s="5">
        <f t="shared" si="95"/>
        <v>1</v>
      </c>
      <c r="N64" s="5">
        <f t="shared" si="89"/>
        <v>31.807899949628325</v>
      </c>
      <c r="O64" s="5">
        <f t="shared" si="90"/>
        <v>0.91867730018902771</v>
      </c>
      <c r="P64" s="4">
        <v>3</v>
      </c>
      <c r="Q64" s="5">
        <f t="shared" si="91"/>
        <v>28.894380000000002</v>
      </c>
      <c r="R64" s="5">
        <f t="shared" si="91"/>
        <v>3.0032700000000001</v>
      </c>
      <c r="S64" s="5">
        <f t="shared" si="92"/>
        <v>32.101656179999999</v>
      </c>
      <c r="T64" s="5">
        <f t="shared" si="93"/>
        <v>1.9260993707999998</v>
      </c>
      <c r="U64" s="5">
        <f t="shared" si="94"/>
        <v>4.3974871479452053</v>
      </c>
      <c r="V64" s="5">
        <f t="shared" si="87"/>
        <v>0.91867730018902771</v>
      </c>
    </row>
    <row r="65" spans="2:22" x14ac:dyDescent="0.3">
      <c r="B65">
        <v>5</v>
      </c>
      <c r="C65">
        <v>-238.5</v>
      </c>
      <c r="D65">
        <v>233374.9</v>
      </c>
      <c r="E65">
        <v>30126.3</v>
      </c>
      <c r="F65">
        <f t="shared" si="84"/>
        <v>23.337489999999999</v>
      </c>
      <c r="G65">
        <f t="shared" si="85"/>
        <v>-2.385E-2</v>
      </c>
      <c r="H65">
        <f t="shared" si="86"/>
        <v>23.361339999999998</v>
      </c>
      <c r="I65">
        <f t="shared" si="88"/>
        <v>3.0126300000000001</v>
      </c>
      <c r="K65" s="67"/>
      <c r="L65" s="3">
        <v>-96.8</v>
      </c>
      <c r="M65" s="5">
        <f t="shared" si="95"/>
        <v>1.4000000000000057</v>
      </c>
      <c r="N65" s="5">
        <f t="shared" si="89"/>
        <v>37.414240753916886</v>
      </c>
      <c r="O65" s="5">
        <f t="shared" si="90"/>
        <v>0.66398628016415306</v>
      </c>
      <c r="P65" s="4">
        <v>3</v>
      </c>
      <c r="Q65" s="5">
        <f t="shared" si="91"/>
        <v>23.361339999999998</v>
      </c>
      <c r="R65" s="5">
        <f t="shared" si="91"/>
        <v>3.0126300000000001</v>
      </c>
      <c r="S65" s="5">
        <f t="shared" si="92"/>
        <v>25.95444874</v>
      </c>
      <c r="T65" s="5">
        <f t="shared" si="93"/>
        <v>1.5572669243999999</v>
      </c>
      <c r="U65" s="5">
        <f t="shared" si="94"/>
        <v>3.5554039369863015</v>
      </c>
      <c r="V65" s="5">
        <f t="shared" si="87"/>
        <v>0.66398628016415306</v>
      </c>
    </row>
    <row r="66" spans="2:22" x14ac:dyDescent="0.3">
      <c r="B66">
        <v>6</v>
      </c>
      <c r="C66">
        <v>-2759</v>
      </c>
      <c r="D66">
        <v>174345.1</v>
      </c>
      <c r="E66">
        <v>38162.300000000003</v>
      </c>
      <c r="F66">
        <f t="shared" si="84"/>
        <v>17.43451</v>
      </c>
      <c r="G66">
        <f t="shared" si="85"/>
        <v>-0.27589999999999998</v>
      </c>
      <c r="H66">
        <f t="shared" si="86"/>
        <v>17.71041</v>
      </c>
      <c r="I66">
        <f t="shared" si="88"/>
        <v>3.8162300000000005</v>
      </c>
      <c r="K66" s="67"/>
      <c r="L66" s="3">
        <v>-96.3</v>
      </c>
      <c r="M66" s="5">
        <f t="shared" si="95"/>
        <v>1.9000000000000057</v>
      </c>
      <c r="N66" s="5">
        <f t="shared" si="89"/>
        <v>44.970060517830404</v>
      </c>
      <c r="O66" s="5">
        <f t="shared" si="90"/>
        <v>0.45960636521975662</v>
      </c>
      <c r="P66" s="4">
        <v>4</v>
      </c>
      <c r="Q66" s="5">
        <f t="shared" si="91"/>
        <v>17.71041</v>
      </c>
      <c r="R66" s="5">
        <f t="shared" si="91"/>
        <v>3.8162300000000005</v>
      </c>
      <c r="S66" s="5">
        <f t="shared" si="92"/>
        <v>14.757199132499998</v>
      </c>
      <c r="T66" s="5">
        <f t="shared" si="93"/>
        <v>0.88543194794999991</v>
      </c>
      <c r="U66" s="5">
        <f t="shared" si="94"/>
        <v>2.0215341277397259</v>
      </c>
      <c r="V66" s="5">
        <f t="shared" si="87"/>
        <v>0.45960636521975662</v>
      </c>
    </row>
    <row r="67" spans="2:22" x14ac:dyDescent="0.3">
      <c r="B67">
        <v>7</v>
      </c>
      <c r="C67">
        <v>162.69999999999999</v>
      </c>
      <c r="D67">
        <v>125022.2</v>
      </c>
      <c r="E67">
        <v>22169.599999999999</v>
      </c>
      <c r="F67">
        <f t="shared" si="84"/>
        <v>12.502219999999999</v>
      </c>
      <c r="G67">
        <f t="shared" si="85"/>
        <v>1.627E-2</v>
      </c>
      <c r="H67">
        <f t="shared" si="86"/>
        <v>12.485949999999999</v>
      </c>
      <c r="I67">
        <f t="shared" si="88"/>
        <v>2.2169599999999998</v>
      </c>
      <c r="K67" s="67"/>
      <c r="L67" s="3">
        <v>-95.8</v>
      </c>
      <c r="M67" s="5">
        <f t="shared" si="95"/>
        <v>2.4000000000000057</v>
      </c>
      <c r="N67" s="5">
        <f t="shared" si="89"/>
        <v>52.890724234957723</v>
      </c>
      <c r="O67" s="5">
        <f t="shared" si="90"/>
        <v>0.33225685584101733</v>
      </c>
      <c r="P67" s="4">
        <v>4</v>
      </c>
      <c r="Q67" s="5">
        <f t="shared" si="91"/>
        <v>12.485949999999999</v>
      </c>
      <c r="R67" s="5">
        <f t="shared" si="91"/>
        <v>2.2169599999999998</v>
      </c>
      <c r="S67" s="5">
        <f t="shared" si="92"/>
        <v>10.4039178375</v>
      </c>
      <c r="T67" s="5">
        <f t="shared" si="93"/>
        <v>0.62423507025000002</v>
      </c>
      <c r="U67" s="5">
        <f t="shared" si="94"/>
        <v>1.4251942243150686</v>
      </c>
      <c r="V67" s="5">
        <f t="shared" si="87"/>
        <v>0.33225685584101733</v>
      </c>
    </row>
    <row r="68" spans="2:22" x14ac:dyDescent="0.3">
      <c r="B68">
        <v>8</v>
      </c>
      <c r="C68">
        <v>-997.4</v>
      </c>
      <c r="D68">
        <v>122972.3</v>
      </c>
      <c r="E68">
        <v>21382.3</v>
      </c>
      <c r="F68">
        <f t="shared" si="84"/>
        <v>12.297230000000001</v>
      </c>
      <c r="G68">
        <f t="shared" si="85"/>
        <v>-9.9739999999999995E-2</v>
      </c>
      <c r="H68">
        <f t="shared" si="86"/>
        <v>12.396970000000001</v>
      </c>
      <c r="I68">
        <f t="shared" si="88"/>
        <v>2.1382300000000001</v>
      </c>
      <c r="K68" s="67"/>
      <c r="L68" s="3">
        <v>-95.5</v>
      </c>
      <c r="M68" s="5">
        <f t="shared" si="95"/>
        <v>2.7000000000000028</v>
      </c>
      <c r="N68" s="5">
        <f t="shared" si="89"/>
        <v>57.756125383651771</v>
      </c>
      <c r="O68" s="5">
        <f t="shared" si="90"/>
        <v>0.27863577592881189</v>
      </c>
      <c r="P68" s="4">
        <v>5</v>
      </c>
      <c r="Q68" s="5">
        <f t="shared" si="91"/>
        <v>12.396970000000001</v>
      </c>
      <c r="R68" s="5">
        <f t="shared" si="91"/>
        <v>2.1382300000000001</v>
      </c>
      <c r="S68" s="5">
        <f t="shared" si="92"/>
        <v>8.2638202020000016</v>
      </c>
      <c r="T68" s="5">
        <f t="shared" si="93"/>
        <v>0.49582921212000008</v>
      </c>
      <c r="U68" s="5">
        <f t="shared" si="94"/>
        <v>1.1320301646575346</v>
      </c>
      <c r="V68" s="5">
        <f t="shared" si="87"/>
        <v>0.27863577592881189</v>
      </c>
    </row>
    <row r="69" spans="2:22" x14ac:dyDescent="0.3">
      <c r="B69">
        <v>9</v>
      </c>
      <c r="C69">
        <v>-122.1</v>
      </c>
      <c r="D69">
        <v>154185.9</v>
      </c>
      <c r="E69">
        <v>18667.7</v>
      </c>
      <c r="F69">
        <f t="shared" si="84"/>
        <v>15.41859</v>
      </c>
      <c r="G69">
        <f t="shared" si="85"/>
        <v>-1.2209999999999999E-2</v>
      </c>
      <c r="H69">
        <f t="shared" si="86"/>
        <v>15.4308</v>
      </c>
      <c r="I69">
        <f t="shared" si="88"/>
        <v>1.86677</v>
      </c>
      <c r="K69" s="67"/>
      <c r="L69" s="5">
        <v>-95.1</v>
      </c>
      <c r="M69" s="5">
        <f t="shared" si="95"/>
        <v>3.1000000000000085</v>
      </c>
      <c r="N69" s="5">
        <f t="shared" si="89"/>
        <v>64.335352920706185</v>
      </c>
      <c r="O69" s="5">
        <f t="shared" si="90"/>
        <v>0.2245606224258696</v>
      </c>
      <c r="P69" s="4">
        <v>8</v>
      </c>
      <c r="Q69" s="5">
        <f t="shared" si="91"/>
        <v>15.4308</v>
      </c>
      <c r="R69" s="5">
        <f t="shared" si="91"/>
        <v>1.86677</v>
      </c>
      <c r="S69" s="5">
        <f t="shared" si="92"/>
        <v>6.4288570499999995</v>
      </c>
      <c r="T69" s="5">
        <f t="shared" si="93"/>
        <v>0.38573142299999996</v>
      </c>
      <c r="U69" s="5">
        <f t="shared" si="94"/>
        <v>0.88066534931506846</v>
      </c>
      <c r="V69" s="5">
        <f t="shared" si="87"/>
        <v>0.2245606224258696</v>
      </c>
    </row>
    <row r="70" spans="2:22" x14ac:dyDescent="0.3">
      <c r="B70">
        <v>10</v>
      </c>
      <c r="C70">
        <v>-1983.7</v>
      </c>
      <c r="D70">
        <v>149945.29999999999</v>
      </c>
      <c r="E70">
        <v>17619.8</v>
      </c>
      <c r="F70">
        <f t="shared" si="84"/>
        <v>14.994529999999999</v>
      </c>
      <c r="G70">
        <f t="shared" si="85"/>
        <v>-0.19836999999999999</v>
      </c>
      <c r="H70">
        <f t="shared" si="86"/>
        <v>15.1929</v>
      </c>
      <c r="I70">
        <f t="shared" si="88"/>
        <v>1.7619799999999999</v>
      </c>
      <c r="K70" s="67"/>
      <c r="L70" s="5">
        <v>-94.399999999999991</v>
      </c>
      <c r="M70" s="5">
        <f t="shared" si="95"/>
        <v>3.8000000000000114</v>
      </c>
      <c r="N70" s="5">
        <f t="shared" si="89"/>
        <v>76.025152245972833</v>
      </c>
      <c r="O70" s="5">
        <f t="shared" si="90"/>
        <v>0.16081197351276094</v>
      </c>
      <c r="P70" s="4">
        <v>14</v>
      </c>
      <c r="Q70" s="5">
        <f t="shared" si="91"/>
        <v>15.1929</v>
      </c>
      <c r="R70" s="5">
        <f t="shared" si="91"/>
        <v>1.7619799999999999</v>
      </c>
      <c r="S70" s="5">
        <f t="shared" si="92"/>
        <v>3.6169954071428569</v>
      </c>
      <c r="T70" s="5">
        <f t="shared" si="93"/>
        <v>0.2170197244285714</v>
      </c>
      <c r="U70" s="5">
        <f t="shared" si="94"/>
        <v>0.49547882289628181</v>
      </c>
      <c r="V70" s="5">
        <f t="shared" si="87"/>
        <v>0.16081197351276094</v>
      </c>
    </row>
    <row r="71" spans="2:22" ht="15" thickBot="1" x14ac:dyDescent="0.35">
      <c r="B71">
        <v>11</v>
      </c>
      <c r="C71">
        <v>-2938.8</v>
      </c>
      <c r="D71">
        <v>76305.5</v>
      </c>
      <c r="E71">
        <v>25635</v>
      </c>
      <c r="F71">
        <f t="shared" si="84"/>
        <v>7.6305500000000004</v>
      </c>
      <c r="G71">
        <f t="shared" si="85"/>
        <v>-0.29388000000000003</v>
      </c>
      <c r="H71">
        <f t="shared" si="86"/>
        <v>7.9244300000000001</v>
      </c>
      <c r="I71">
        <f t="shared" si="88"/>
        <v>2.5634999999999999</v>
      </c>
      <c r="K71" s="68"/>
      <c r="L71" s="6">
        <v>-93.3</v>
      </c>
      <c r="M71" s="6">
        <f t="shared" si="95"/>
        <v>4.9000000000000057</v>
      </c>
      <c r="N71" s="6">
        <f t="shared" si="89"/>
        <v>94.671337139281746</v>
      </c>
      <c r="O71" s="6">
        <f t="shared" si="90"/>
        <v>0.10370410708360604</v>
      </c>
      <c r="P71" s="7">
        <v>21</v>
      </c>
      <c r="Q71" s="6">
        <f t="shared" si="91"/>
        <v>7.9244300000000001</v>
      </c>
      <c r="R71" s="6">
        <f t="shared" si="91"/>
        <v>2.5634999999999999</v>
      </c>
      <c r="S71" s="6">
        <f t="shared" si="92"/>
        <v>1.2577202471428572</v>
      </c>
      <c r="T71" s="6">
        <f t="shared" si="93"/>
        <v>7.5463214828571434E-2</v>
      </c>
      <c r="U71" s="6">
        <f t="shared" si="94"/>
        <v>0.17229044481409003</v>
      </c>
      <c r="V71" s="6">
        <f t="shared" si="87"/>
        <v>0.10370410708360604</v>
      </c>
    </row>
    <row r="72" spans="2:22" ht="15" thickTop="1" x14ac:dyDescent="0.3"/>
    <row r="73" spans="2:22" ht="15" thickBot="1" x14ac:dyDescent="0.35"/>
    <row r="74" spans="2:22" ht="17.399999999999999" thickTop="1" thickBot="1" x14ac:dyDescent="0.35">
      <c r="B74" t="s">
        <v>24</v>
      </c>
      <c r="C74" t="s">
        <v>2</v>
      </c>
      <c r="D74" t="s">
        <v>1</v>
      </c>
      <c r="E74" t="s">
        <v>5</v>
      </c>
      <c r="F74" t="s">
        <v>0</v>
      </c>
      <c r="G74" t="s">
        <v>3</v>
      </c>
      <c r="H74" t="s">
        <v>4</v>
      </c>
      <c r="I74" t="s">
        <v>6</v>
      </c>
      <c r="K74" s="9" t="s">
        <v>41</v>
      </c>
      <c r="L74" s="10" t="s">
        <v>42</v>
      </c>
      <c r="M74" s="10" t="s">
        <v>43</v>
      </c>
      <c r="N74" s="10" t="s">
        <v>47</v>
      </c>
      <c r="O74" s="10" t="s">
        <v>44</v>
      </c>
      <c r="P74" s="10" t="s">
        <v>45</v>
      </c>
      <c r="Q74" s="10" t="s">
        <v>48</v>
      </c>
      <c r="R74" s="10" t="s">
        <v>49</v>
      </c>
      <c r="S74" s="13" t="s">
        <v>50</v>
      </c>
      <c r="T74" s="13" t="s">
        <v>52</v>
      </c>
      <c r="U74" s="13" t="s">
        <v>51</v>
      </c>
      <c r="V74" s="10" t="s">
        <v>44</v>
      </c>
    </row>
    <row r="75" spans="2:22" ht="15" thickTop="1" x14ac:dyDescent="0.3">
      <c r="B75">
        <v>1</v>
      </c>
      <c r="C75">
        <v>2575.6999999999998</v>
      </c>
      <c r="D75">
        <v>305790.2</v>
      </c>
      <c r="E75">
        <v>7657.1</v>
      </c>
      <c r="F75">
        <f t="shared" ref="F75:F85" si="96">D75/10000</f>
        <v>30.57902</v>
      </c>
      <c r="G75">
        <f t="shared" ref="G75:G85" si="97">C75/10000</f>
        <v>0.25756999999999997</v>
      </c>
      <c r="H75">
        <f t="shared" ref="H75:H85" si="98">F75-G75</f>
        <v>30.321449999999999</v>
      </c>
      <c r="I75">
        <f>E75/10000</f>
        <v>0.76571</v>
      </c>
      <c r="K75" s="66">
        <v>6</v>
      </c>
      <c r="L75" s="1">
        <v>-98.2</v>
      </c>
      <c r="M75" s="8">
        <f>L75+98.2</f>
        <v>0</v>
      </c>
      <c r="N75" s="8">
        <f>20.56036*SQRT(1+((L75-(-98.58903))*1.03*1095.70644/(3.14159*20.56036^2))^2)</f>
        <v>21.654820206582954</v>
      </c>
      <c r="O75" s="8">
        <f>2*$Z$1/$Z$2/PI()/(N75*10^-4)^2/$K$75/$Z$7</f>
        <v>1.651743354500472</v>
      </c>
      <c r="P75" s="2">
        <v>3</v>
      </c>
      <c r="Q75" s="8">
        <f>H75</f>
        <v>30.321449999999999</v>
      </c>
      <c r="R75" s="8">
        <f>I75</f>
        <v>0.76571</v>
      </c>
      <c r="S75" s="8">
        <f>Q75/10^6*$Z$4*$Z$3/P75*10^12</f>
        <v>33.687130950000004</v>
      </c>
      <c r="T75" s="8">
        <f>S75*0.06</f>
        <v>2.021227857</v>
      </c>
      <c r="U75" s="8">
        <f>S75/$Z$1</f>
        <v>4.6146754726027401</v>
      </c>
      <c r="V75" s="12">
        <f t="shared" ref="V75:V85" si="99">O75</f>
        <v>1.651743354500472</v>
      </c>
    </row>
    <row r="76" spans="2:22" x14ac:dyDescent="0.3">
      <c r="B76">
        <v>2</v>
      </c>
      <c r="C76">
        <v>463.1</v>
      </c>
      <c r="D76">
        <v>311505.8</v>
      </c>
      <c r="E76">
        <v>9396.7999999999993</v>
      </c>
      <c r="F76">
        <f t="shared" si="96"/>
        <v>31.150579999999998</v>
      </c>
      <c r="G76">
        <f t="shared" si="97"/>
        <v>4.6310000000000004E-2</v>
      </c>
      <c r="H76">
        <f t="shared" si="98"/>
        <v>31.10427</v>
      </c>
      <c r="I76">
        <f t="shared" ref="I76:I85" si="100">E76/10000</f>
        <v>0.93967999999999996</v>
      </c>
      <c r="K76" s="67"/>
      <c r="L76" s="3">
        <v>-98</v>
      </c>
      <c r="M76" s="5">
        <f>L76+98.2</f>
        <v>0.20000000000000284</v>
      </c>
      <c r="N76" s="5">
        <f t="shared" ref="N76:N85" si="101">20.56036*SQRT(1+((L76-(-98.58903))*1.03*1095.70644/(3.14159*20.56036^2))^2)</f>
        <v>22.992351577801337</v>
      </c>
      <c r="O76" s="5">
        <f t="shared" ref="O76:O85" si="102">2*$Z$1/$Z$2/PI()/(N76*10^-4)^2/$K$75/$Z$7</f>
        <v>1.4651596484154552</v>
      </c>
      <c r="P76" s="4">
        <v>3</v>
      </c>
      <c r="Q76" s="5">
        <f t="shared" ref="Q76:R85" si="103">H76</f>
        <v>31.10427</v>
      </c>
      <c r="R76" s="5">
        <f t="shared" si="103"/>
        <v>0.93967999999999996</v>
      </c>
      <c r="S76" s="5">
        <f t="shared" ref="S76:S85" si="104">Q76/10^6*$Z$4*$Z$3/P76*10^12</f>
        <v>34.556843970000003</v>
      </c>
      <c r="T76" s="5">
        <f t="shared" ref="T76:T85" si="105">S76*0.06</f>
        <v>2.0734106381999999</v>
      </c>
      <c r="U76" s="5">
        <f t="shared" ref="U76:U85" si="106">S76/$Z$1</f>
        <v>4.7338142424657539</v>
      </c>
      <c r="V76" s="5">
        <f t="shared" si="99"/>
        <v>1.4651596484154552</v>
      </c>
    </row>
    <row r="77" spans="2:22" x14ac:dyDescent="0.3">
      <c r="B77">
        <v>3</v>
      </c>
      <c r="C77">
        <v>-1600.2</v>
      </c>
      <c r="D77">
        <v>320663.7</v>
      </c>
      <c r="E77">
        <v>11029.2</v>
      </c>
      <c r="F77">
        <f t="shared" si="96"/>
        <v>32.066369999999999</v>
      </c>
      <c r="G77">
        <f t="shared" si="97"/>
        <v>-0.16002</v>
      </c>
      <c r="H77">
        <f t="shared" si="98"/>
        <v>32.226390000000002</v>
      </c>
      <c r="I77">
        <f t="shared" si="100"/>
        <v>1.1029200000000001</v>
      </c>
      <c r="K77" s="67"/>
      <c r="L77" s="3">
        <v>-97.8</v>
      </c>
      <c r="M77" s="5">
        <f t="shared" ref="M77:M85" si="107">L77+98.2</f>
        <v>0.40000000000000568</v>
      </c>
      <c r="N77" s="5">
        <f t="shared" si="101"/>
        <v>24.754552179927092</v>
      </c>
      <c r="O77" s="5">
        <f t="shared" si="102"/>
        <v>1.2639840228455843</v>
      </c>
      <c r="P77" s="4">
        <v>3</v>
      </c>
      <c r="Q77" s="5">
        <f t="shared" si="103"/>
        <v>32.226390000000002</v>
      </c>
      <c r="R77" s="5">
        <f t="shared" si="103"/>
        <v>1.1029200000000001</v>
      </c>
      <c r="S77" s="5">
        <f t="shared" si="104"/>
        <v>35.803519290000004</v>
      </c>
      <c r="T77" s="5">
        <f t="shared" si="105"/>
        <v>2.1482111574</v>
      </c>
      <c r="U77" s="5">
        <f t="shared" si="106"/>
        <v>4.9045916835616445</v>
      </c>
      <c r="V77" s="5">
        <f t="shared" si="99"/>
        <v>1.2639840228455843</v>
      </c>
    </row>
    <row r="78" spans="2:22" x14ac:dyDescent="0.3">
      <c r="B78">
        <v>4</v>
      </c>
      <c r="C78">
        <v>230</v>
      </c>
      <c r="D78">
        <v>309565</v>
      </c>
      <c r="E78">
        <v>14209.7</v>
      </c>
      <c r="F78">
        <f t="shared" si="96"/>
        <v>30.956499999999998</v>
      </c>
      <c r="G78">
        <f t="shared" si="97"/>
        <v>2.3E-2</v>
      </c>
      <c r="H78">
        <f t="shared" si="98"/>
        <v>30.933499999999999</v>
      </c>
      <c r="I78">
        <f t="shared" si="100"/>
        <v>1.4209700000000001</v>
      </c>
      <c r="K78" s="67"/>
      <c r="L78" s="3">
        <v>-97.2</v>
      </c>
      <c r="M78" s="5">
        <f t="shared" si="107"/>
        <v>1</v>
      </c>
      <c r="N78" s="5">
        <f t="shared" si="101"/>
        <v>31.807899949628325</v>
      </c>
      <c r="O78" s="5">
        <f t="shared" si="102"/>
        <v>0.76556441682418974</v>
      </c>
      <c r="P78" s="4">
        <v>3</v>
      </c>
      <c r="Q78" s="5">
        <f t="shared" si="103"/>
        <v>30.933499999999999</v>
      </c>
      <c r="R78" s="5">
        <f t="shared" si="103"/>
        <v>1.4209700000000001</v>
      </c>
      <c r="S78" s="5">
        <f t="shared" si="104"/>
        <v>34.367118500000004</v>
      </c>
      <c r="T78" s="5">
        <f t="shared" si="105"/>
        <v>2.0620271100000003</v>
      </c>
      <c r="U78" s="5">
        <f t="shared" si="106"/>
        <v>4.7078244520547949</v>
      </c>
      <c r="V78" s="5">
        <f t="shared" si="99"/>
        <v>0.76556441682418974</v>
      </c>
    </row>
    <row r="79" spans="2:22" x14ac:dyDescent="0.3">
      <c r="B79">
        <v>5</v>
      </c>
      <c r="C79">
        <v>2178.6999999999998</v>
      </c>
      <c r="D79">
        <v>262498.90000000002</v>
      </c>
      <c r="E79">
        <v>12995.9</v>
      </c>
      <c r="F79">
        <f t="shared" si="96"/>
        <v>26.249890000000001</v>
      </c>
      <c r="G79">
        <f t="shared" si="97"/>
        <v>0.21786999999999998</v>
      </c>
      <c r="H79">
        <f t="shared" si="98"/>
        <v>26.032019999999999</v>
      </c>
      <c r="I79">
        <f t="shared" si="100"/>
        <v>1.29959</v>
      </c>
      <c r="K79" s="67"/>
      <c r="L79" s="3">
        <v>-96.8</v>
      </c>
      <c r="M79" s="5">
        <f t="shared" si="107"/>
        <v>1.4000000000000057</v>
      </c>
      <c r="N79" s="5">
        <f t="shared" si="101"/>
        <v>37.414240753916886</v>
      </c>
      <c r="O79" s="5">
        <f t="shared" si="102"/>
        <v>0.55332190013679428</v>
      </c>
      <c r="P79" s="4">
        <v>3</v>
      </c>
      <c r="Q79" s="5">
        <f t="shared" si="103"/>
        <v>26.032019999999999</v>
      </c>
      <c r="R79" s="5">
        <f t="shared" si="103"/>
        <v>1.29959</v>
      </c>
      <c r="S79" s="5">
        <f t="shared" si="104"/>
        <v>28.92157422</v>
      </c>
      <c r="T79" s="5">
        <f t="shared" si="105"/>
        <v>1.7352944531999999</v>
      </c>
      <c r="U79" s="5">
        <f t="shared" si="106"/>
        <v>3.9618594821917807</v>
      </c>
      <c r="V79" s="5">
        <f t="shared" si="99"/>
        <v>0.55332190013679428</v>
      </c>
    </row>
    <row r="80" spans="2:22" x14ac:dyDescent="0.3">
      <c r="B80">
        <v>6</v>
      </c>
      <c r="C80">
        <v>-277.8</v>
      </c>
      <c r="D80">
        <v>174394.2</v>
      </c>
      <c r="E80">
        <v>32443.5</v>
      </c>
      <c r="F80">
        <f t="shared" si="96"/>
        <v>17.439420000000002</v>
      </c>
      <c r="G80">
        <f t="shared" si="97"/>
        <v>-2.7780000000000003E-2</v>
      </c>
      <c r="H80">
        <f t="shared" si="98"/>
        <v>17.467200000000002</v>
      </c>
      <c r="I80">
        <f t="shared" si="100"/>
        <v>3.2443499999999998</v>
      </c>
      <c r="K80" s="67"/>
      <c r="L80" s="3">
        <v>-96.3</v>
      </c>
      <c r="M80" s="5">
        <f t="shared" si="107"/>
        <v>1.9000000000000057</v>
      </c>
      <c r="N80" s="5">
        <f t="shared" si="101"/>
        <v>44.970060517830404</v>
      </c>
      <c r="O80" s="5">
        <f t="shared" si="102"/>
        <v>0.38300530434979718</v>
      </c>
      <c r="P80" s="4">
        <v>4</v>
      </c>
      <c r="Q80" s="5">
        <f t="shared" si="103"/>
        <v>17.467200000000002</v>
      </c>
      <c r="R80" s="5">
        <f t="shared" si="103"/>
        <v>3.2443499999999998</v>
      </c>
      <c r="S80" s="5">
        <f t="shared" si="104"/>
        <v>14.554544400000001</v>
      </c>
      <c r="T80" s="5">
        <f t="shared" si="105"/>
        <v>0.87327266400000003</v>
      </c>
      <c r="U80" s="5">
        <f t="shared" si="106"/>
        <v>1.9937732054794521</v>
      </c>
      <c r="V80" s="5">
        <f t="shared" si="99"/>
        <v>0.38300530434979718</v>
      </c>
    </row>
    <row r="81" spans="2:22" x14ac:dyDescent="0.3">
      <c r="B81">
        <v>7</v>
      </c>
      <c r="C81">
        <v>2248.9</v>
      </c>
      <c r="D81">
        <v>95338.1</v>
      </c>
      <c r="E81">
        <v>15055.5</v>
      </c>
      <c r="F81">
        <f t="shared" si="96"/>
        <v>9.5338100000000008</v>
      </c>
      <c r="G81">
        <f t="shared" si="97"/>
        <v>0.22489000000000001</v>
      </c>
      <c r="H81">
        <f t="shared" si="98"/>
        <v>9.3089200000000005</v>
      </c>
      <c r="I81">
        <f t="shared" si="100"/>
        <v>1.5055499999999999</v>
      </c>
      <c r="K81" s="67"/>
      <c r="L81" s="3">
        <v>-95.8</v>
      </c>
      <c r="M81" s="5">
        <f t="shared" si="107"/>
        <v>2.4000000000000057</v>
      </c>
      <c r="N81" s="5">
        <f t="shared" si="101"/>
        <v>52.890724234957723</v>
      </c>
      <c r="O81" s="5">
        <f t="shared" si="102"/>
        <v>0.27688071320084778</v>
      </c>
      <c r="P81" s="4">
        <v>4</v>
      </c>
      <c r="Q81" s="5">
        <f t="shared" si="103"/>
        <v>9.3089200000000005</v>
      </c>
      <c r="R81" s="5">
        <f t="shared" si="103"/>
        <v>1.5055499999999999</v>
      </c>
      <c r="S81" s="5">
        <f t="shared" si="104"/>
        <v>7.7566575900000005</v>
      </c>
      <c r="T81" s="5">
        <f t="shared" si="105"/>
        <v>0.4653994554</v>
      </c>
      <c r="U81" s="5">
        <f t="shared" si="106"/>
        <v>1.0625558342465755</v>
      </c>
      <c r="V81" s="5">
        <f t="shared" si="99"/>
        <v>0.27688071320084778</v>
      </c>
    </row>
    <row r="82" spans="2:22" x14ac:dyDescent="0.3">
      <c r="B82">
        <v>8</v>
      </c>
      <c r="C82">
        <v>251.9</v>
      </c>
      <c r="D82">
        <v>92604.800000000003</v>
      </c>
      <c r="E82">
        <v>12148.9</v>
      </c>
      <c r="F82">
        <f t="shared" si="96"/>
        <v>9.2604800000000012</v>
      </c>
      <c r="G82">
        <f t="shared" si="97"/>
        <v>2.5190000000000001E-2</v>
      </c>
      <c r="H82">
        <f t="shared" si="98"/>
        <v>9.2352900000000009</v>
      </c>
      <c r="I82">
        <f t="shared" si="100"/>
        <v>1.21489</v>
      </c>
      <c r="K82" s="67"/>
      <c r="L82" s="3">
        <v>-95.5</v>
      </c>
      <c r="M82" s="5">
        <f t="shared" si="107"/>
        <v>2.7000000000000028</v>
      </c>
      <c r="N82" s="5">
        <f t="shared" si="101"/>
        <v>57.756125383651771</v>
      </c>
      <c r="O82" s="5">
        <f t="shared" si="102"/>
        <v>0.23219647994067658</v>
      </c>
      <c r="P82" s="4">
        <v>5</v>
      </c>
      <c r="Q82" s="5">
        <f t="shared" si="103"/>
        <v>9.2352900000000009</v>
      </c>
      <c r="R82" s="5">
        <f t="shared" si="103"/>
        <v>1.21489</v>
      </c>
      <c r="S82" s="5">
        <f t="shared" si="104"/>
        <v>6.1562443140000012</v>
      </c>
      <c r="T82" s="5">
        <f t="shared" si="105"/>
        <v>0.36937465884000004</v>
      </c>
      <c r="U82" s="5">
        <f t="shared" si="106"/>
        <v>0.84332113890410976</v>
      </c>
      <c r="V82" s="5">
        <f t="shared" si="99"/>
        <v>0.23219647994067658</v>
      </c>
    </row>
    <row r="83" spans="2:22" x14ac:dyDescent="0.3">
      <c r="B83">
        <v>9</v>
      </c>
      <c r="C83">
        <v>-1334.9</v>
      </c>
      <c r="D83">
        <v>105800.7</v>
      </c>
      <c r="E83">
        <v>14661.7</v>
      </c>
      <c r="F83">
        <f t="shared" si="96"/>
        <v>10.580069999999999</v>
      </c>
      <c r="G83">
        <f t="shared" si="97"/>
        <v>-0.13349</v>
      </c>
      <c r="H83">
        <f t="shared" si="98"/>
        <v>10.713559999999999</v>
      </c>
      <c r="I83">
        <f t="shared" si="100"/>
        <v>1.46617</v>
      </c>
      <c r="K83" s="67"/>
      <c r="L83" s="5">
        <v>-95.1</v>
      </c>
      <c r="M83" s="5">
        <f t="shared" si="107"/>
        <v>3.1000000000000085</v>
      </c>
      <c r="N83" s="5">
        <f t="shared" si="101"/>
        <v>64.335352920706185</v>
      </c>
      <c r="O83" s="5">
        <f t="shared" si="102"/>
        <v>0.18713385202155799</v>
      </c>
      <c r="P83" s="4">
        <v>8</v>
      </c>
      <c r="Q83" s="5">
        <f t="shared" si="103"/>
        <v>10.713559999999999</v>
      </c>
      <c r="R83" s="5">
        <f t="shared" si="103"/>
        <v>1.46617</v>
      </c>
      <c r="S83" s="5">
        <f t="shared" si="104"/>
        <v>4.4635369349999996</v>
      </c>
      <c r="T83" s="5">
        <f t="shared" si="105"/>
        <v>0.26781221609999994</v>
      </c>
      <c r="U83" s="5">
        <f t="shared" si="106"/>
        <v>0.61144341575342465</v>
      </c>
      <c r="V83" s="5">
        <f t="shared" si="99"/>
        <v>0.18713385202155799</v>
      </c>
    </row>
    <row r="84" spans="2:22" x14ac:dyDescent="0.3">
      <c r="B84">
        <v>10</v>
      </c>
      <c r="C84">
        <v>-2748.5</v>
      </c>
      <c r="D84">
        <v>101493.6</v>
      </c>
      <c r="E84">
        <v>13492.9</v>
      </c>
      <c r="F84">
        <f t="shared" si="96"/>
        <v>10.14936</v>
      </c>
      <c r="G84">
        <f t="shared" si="97"/>
        <v>-0.27484999999999998</v>
      </c>
      <c r="H84">
        <f t="shared" si="98"/>
        <v>10.42421</v>
      </c>
      <c r="I84">
        <f t="shared" si="100"/>
        <v>1.3492899999999999</v>
      </c>
      <c r="K84" s="67"/>
      <c r="L84" s="5">
        <v>-94.399999999999991</v>
      </c>
      <c r="M84" s="5">
        <f t="shared" si="107"/>
        <v>3.8000000000000114</v>
      </c>
      <c r="N84" s="5">
        <f t="shared" si="101"/>
        <v>76.025152245972833</v>
      </c>
      <c r="O84" s="5">
        <f t="shared" si="102"/>
        <v>0.13400997792730077</v>
      </c>
      <c r="P84" s="4">
        <v>14</v>
      </c>
      <c r="Q84" s="5">
        <f t="shared" si="103"/>
        <v>10.42421</v>
      </c>
      <c r="R84" s="5">
        <f t="shared" si="103"/>
        <v>1.3492899999999999</v>
      </c>
      <c r="S84" s="5">
        <f t="shared" si="104"/>
        <v>2.4817065664285716</v>
      </c>
      <c r="T84" s="5">
        <f t="shared" si="105"/>
        <v>0.14890239398571428</v>
      </c>
      <c r="U84" s="5">
        <f t="shared" si="106"/>
        <v>0.33995980362035227</v>
      </c>
      <c r="V84" s="5">
        <f t="shared" si="99"/>
        <v>0.13400997792730077</v>
      </c>
    </row>
    <row r="85" spans="2:22" ht="15" thickBot="1" x14ac:dyDescent="0.35">
      <c r="B85">
        <v>11</v>
      </c>
      <c r="C85">
        <v>-544.20000000000005</v>
      </c>
      <c r="D85">
        <v>39350.1</v>
      </c>
      <c r="E85">
        <v>19499.7</v>
      </c>
      <c r="F85">
        <f t="shared" si="96"/>
        <v>3.9350099999999997</v>
      </c>
      <c r="G85">
        <f t="shared" si="97"/>
        <v>-5.4420000000000003E-2</v>
      </c>
      <c r="H85">
        <f t="shared" si="98"/>
        <v>3.9894299999999996</v>
      </c>
      <c r="I85">
        <f t="shared" si="100"/>
        <v>1.94997</v>
      </c>
      <c r="K85" s="68"/>
      <c r="L85" s="6">
        <v>-93.3</v>
      </c>
      <c r="M85" s="6">
        <f t="shared" si="107"/>
        <v>4.9000000000000057</v>
      </c>
      <c r="N85" s="6">
        <f t="shared" si="101"/>
        <v>94.671337139281746</v>
      </c>
      <c r="O85" s="6">
        <f t="shared" si="102"/>
        <v>8.6420089236338371E-2</v>
      </c>
      <c r="P85" s="7">
        <v>21</v>
      </c>
      <c r="Q85" s="6">
        <f t="shared" si="103"/>
        <v>3.9894299999999996</v>
      </c>
      <c r="R85" s="6">
        <f t="shared" si="103"/>
        <v>1.94997</v>
      </c>
      <c r="S85" s="6">
        <f t="shared" si="104"/>
        <v>0.6331795328571429</v>
      </c>
      <c r="T85" s="6">
        <f t="shared" si="105"/>
        <v>3.7990771971428576E-2</v>
      </c>
      <c r="U85" s="6">
        <f t="shared" si="106"/>
        <v>8.6736922309197662E-2</v>
      </c>
      <c r="V85" s="6">
        <f t="shared" si="99"/>
        <v>8.6420089236338371E-2</v>
      </c>
    </row>
    <row r="86" spans="2:22" ht="15" thickTop="1" x14ac:dyDescent="0.3"/>
    <row r="87" spans="2:22" ht="15" thickBot="1" x14ac:dyDescent="0.35"/>
    <row r="88" spans="2:22" ht="17.399999999999999" thickTop="1" thickBot="1" x14ac:dyDescent="0.35">
      <c r="B88" t="s">
        <v>25</v>
      </c>
      <c r="C88" t="s">
        <v>2</v>
      </c>
      <c r="D88" t="s">
        <v>1</v>
      </c>
      <c r="E88" t="s">
        <v>5</v>
      </c>
      <c r="F88" t="s">
        <v>0</v>
      </c>
      <c r="G88" t="s">
        <v>3</v>
      </c>
      <c r="H88" t="s">
        <v>4</v>
      </c>
      <c r="I88" t="s">
        <v>6</v>
      </c>
      <c r="K88" s="9" t="s">
        <v>41</v>
      </c>
      <c r="L88" s="10" t="s">
        <v>42</v>
      </c>
      <c r="M88" s="10" t="s">
        <v>43</v>
      </c>
      <c r="N88" s="10" t="s">
        <v>47</v>
      </c>
      <c r="O88" s="10" t="s">
        <v>44</v>
      </c>
      <c r="P88" s="10" t="s">
        <v>45</v>
      </c>
      <c r="Q88" s="10" t="s">
        <v>48</v>
      </c>
      <c r="R88" s="10" t="s">
        <v>49</v>
      </c>
      <c r="S88" s="13" t="s">
        <v>50</v>
      </c>
      <c r="T88" s="13" t="s">
        <v>52</v>
      </c>
      <c r="U88" s="13" t="s">
        <v>51</v>
      </c>
      <c r="V88" s="10" t="s">
        <v>44</v>
      </c>
    </row>
    <row r="89" spans="2:22" ht="15" thickTop="1" x14ac:dyDescent="0.3">
      <c r="B89">
        <v>1</v>
      </c>
      <c r="C89">
        <v>-1614.5</v>
      </c>
      <c r="D89">
        <v>298838.40000000002</v>
      </c>
      <c r="E89">
        <v>11484.1</v>
      </c>
      <c r="F89">
        <f t="shared" ref="F89:F99" si="108">D89/10000</f>
        <v>29.883840000000003</v>
      </c>
      <c r="G89">
        <f t="shared" ref="G89:G99" si="109">C89/10000</f>
        <v>-0.16145000000000001</v>
      </c>
      <c r="H89">
        <f t="shared" ref="H89:H99" si="110">F89-G89</f>
        <v>30.045290000000001</v>
      </c>
      <c r="I89">
        <f>E89/10000</f>
        <v>1.1484099999999999</v>
      </c>
      <c r="K89" s="66">
        <v>7</v>
      </c>
      <c r="L89" s="1">
        <v>-98.2</v>
      </c>
      <c r="M89" s="8">
        <f>L89+98.2</f>
        <v>0</v>
      </c>
      <c r="N89" s="8">
        <f>20.56036*SQRT(1+((L89-(-98.58903))*1.03*1095.70644/(3.14159*20.56036^2))^2)</f>
        <v>21.654820206582954</v>
      </c>
      <c r="O89" s="8">
        <f>2*$Z$1/$Z$2/PI()/(N89*10^-4)^2/$K$89/$Z$7</f>
        <v>1.4157800181432616</v>
      </c>
      <c r="P89" s="2">
        <v>3</v>
      </c>
      <c r="Q89" s="8">
        <f>H89</f>
        <v>30.045290000000001</v>
      </c>
      <c r="R89" s="8">
        <f>I89</f>
        <v>1.1484099999999999</v>
      </c>
      <c r="S89" s="8">
        <f>Q89/10^6*$Z$4*$Z$3/P89*10^12</f>
        <v>33.38031719</v>
      </c>
      <c r="T89" s="8">
        <f>S89*0.06</f>
        <v>2.0028190314000001</v>
      </c>
      <c r="U89" s="8">
        <f>S89/$Z$1</f>
        <v>4.5726461904109588</v>
      </c>
      <c r="V89" s="12">
        <f t="shared" ref="V89:V99" si="111">O89</f>
        <v>1.4157800181432616</v>
      </c>
    </row>
    <row r="90" spans="2:22" x14ac:dyDescent="0.3">
      <c r="B90">
        <v>2</v>
      </c>
      <c r="C90">
        <v>-5400.1</v>
      </c>
      <c r="D90">
        <v>311824.90000000002</v>
      </c>
      <c r="E90">
        <v>9391.7999999999993</v>
      </c>
      <c r="F90">
        <f t="shared" si="108"/>
        <v>31.182490000000001</v>
      </c>
      <c r="G90">
        <f t="shared" si="109"/>
        <v>-0.54000999999999999</v>
      </c>
      <c r="H90">
        <f t="shared" si="110"/>
        <v>31.7225</v>
      </c>
      <c r="I90">
        <f t="shared" ref="I90:I99" si="112">E90/10000</f>
        <v>0.9391799999999999</v>
      </c>
      <c r="K90" s="67"/>
      <c r="L90" s="3">
        <v>-98</v>
      </c>
      <c r="M90" s="5">
        <f>L90+98.2</f>
        <v>0.20000000000000284</v>
      </c>
      <c r="N90" s="5">
        <f t="shared" ref="N90:N99" si="113">20.56036*SQRT(1+((L90-(-98.58903))*1.03*1095.70644/(3.14159*20.56036^2))^2)</f>
        <v>22.992351577801337</v>
      </c>
      <c r="O90" s="5">
        <f t="shared" ref="O90:O99" si="114">2*$Z$1/$Z$2/PI()/(N90*10^-4)^2/$K$89/$Z$7</f>
        <v>1.2558511272132473</v>
      </c>
      <c r="P90" s="4">
        <v>3</v>
      </c>
      <c r="Q90" s="5">
        <f t="shared" ref="Q90:R99" si="115">H90</f>
        <v>31.7225</v>
      </c>
      <c r="R90" s="5">
        <f t="shared" si="115"/>
        <v>0.9391799999999999</v>
      </c>
      <c r="S90" s="5">
        <f t="shared" ref="S90:S99" si="116">Q90/10^6*$Z$4*$Z$3/P90*10^12</f>
        <v>35.243697499999996</v>
      </c>
      <c r="T90" s="5">
        <f t="shared" ref="T90:T99" si="117">S90*0.06</f>
        <v>2.1146218499999998</v>
      </c>
      <c r="U90" s="5">
        <f t="shared" ref="U90:U99" si="118">S90/$Z$1</f>
        <v>4.8279037671232876</v>
      </c>
      <c r="V90" s="5">
        <f t="shared" si="111"/>
        <v>1.2558511272132473</v>
      </c>
    </row>
    <row r="91" spans="2:22" x14ac:dyDescent="0.3">
      <c r="B91">
        <v>3</v>
      </c>
      <c r="C91">
        <v>-7410.2</v>
      </c>
      <c r="D91">
        <v>324339.09999999998</v>
      </c>
      <c r="E91">
        <v>5988.9</v>
      </c>
      <c r="F91">
        <f t="shared" si="108"/>
        <v>32.433909999999997</v>
      </c>
      <c r="G91">
        <f t="shared" si="109"/>
        <v>-0.74102000000000001</v>
      </c>
      <c r="H91">
        <f t="shared" si="110"/>
        <v>33.174929999999996</v>
      </c>
      <c r="I91">
        <f t="shared" si="112"/>
        <v>0.59888999999999992</v>
      </c>
      <c r="K91" s="67"/>
      <c r="L91" s="3">
        <v>-97.8</v>
      </c>
      <c r="M91" s="5">
        <f t="shared" ref="M91:M99" si="119">L91+98.2</f>
        <v>0.40000000000000568</v>
      </c>
      <c r="N91" s="5">
        <f t="shared" si="113"/>
        <v>24.754552179927092</v>
      </c>
      <c r="O91" s="5">
        <f t="shared" si="114"/>
        <v>1.0834148767247866</v>
      </c>
      <c r="P91" s="4">
        <v>3</v>
      </c>
      <c r="Q91" s="5">
        <f t="shared" si="115"/>
        <v>33.174929999999996</v>
      </c>
      <c r="R91" s="5">
        <f t="shared" si="115"/>
        <v>0.59888999999999992</v>
      </c>
      <c r="S91" s="5">
        <f t="shared" si="116"/>
        <v>36.857347229999995</v>
      </c>
      <c r="T91" s="5">
        <f t="shared" si="117"/>
        <v>2.2114408337999998</v>
      </c>
      <c r="U91" s="5">
        <f t="shared" si="118"/>
        <v>5.0489516753424653</v>
      </c>
      <c r="V91" s="5">
        <f t="shared" si="111"/>
        <v>1.0834148767247866</v>
      </c>
    </row>
    <row r="92" spans="2:22" x14ac:dyDescent="0.3">
      <c r="B92">
        <v>4</v>
      </c>
      <c r="C92">
        <v>-8391.4</v>
      </c>
      <c r="D92">
        <v>288556.90000000002</v>
      </c>
      <c r="E92">
        <v>13379.1</v>
      </c>
      <c r="F92">
        <f t="shared" si="108"/>
        <v>28.855690000000003</v>
      </c>
      <c r="G92">
        <f t="shared" si="109"/>
        <v>-0.83914</v>
      </c>
      <c r="H92">
        <f t="shared" si="110"/>
        <v>29.694830000000003</v>
      </c>
      <c r="I92">
        <f t="shared" si="112"/>
        <v>1.3379099999999999</v>
      </c>
      <c r="K92" s="67"/>
      <c r="L92" s="3">
        <v>-97.2</v>
      </c>
      <c r="M92" s="5">
        <f t="shared" si="119"/>
        <v>1</v>
      </c>
      <c r="N92" s="5">
        <f t="shared" si="113"/>
        <v>31.807899949628325</v>
      </c>
      <c r="O92" s="5">
        <f t="shared" si="114"/>
        <v>0.65619807156359122</v>
      </c>
      <c r="P92" s="4">
        <v>3</v>
      </c>
      <c r="Q92" s="5">
        <f t="shared" si="115"/>
        <v>29.694830000000003</v>
      </c>
      <c r="R92" s="5">
        <f t="shared" si="115"/>
        <v>1.3379099999999999</v>
      </c>
      <c r="S92" s="5">
        <f t="shared" si="116"/>
        <v>32.990956130000008</v>
      </c>
      <c r="T92" s="5">
        <f t="shared" si="117"/>
        <v>1.9794573678000005</v>
      </c>
      <c r="U92" s="5">
        <f t="shared" si="118"/>
        <v>4.5193090589041107</v>
      </c>
      <c r="V92" s="5">
        <f t="shared" si="111"/>
        <v>0.65619807156359122</v>
      </c>
    </row>
    <row r="93" spans="2:22" x14ac:dyDescent="0.3">
      <c r="B93">
        <v>5</v>
      </c>
      <c r="C93">
        <v>-7690.3</v>
      </c>
      <c r="D93">
        <v>242783.5</v>
      </c>
      <c r="E93">
        <v>10993.8</v>
      </c>
      <c r="F93">
        <f t="shared" si="108"/>
        <v>24.27835</v>
      </c>
      <c r="G93">
        <f t="shared" si="109"/>
        <v>-0.76902999999999999</v>
      </c>
      <c r="H93">
        <f t="shared" si="110"/>
        <v>25.04738</v>
      </c>
      <c r="I93">
        <f t="shared" si="112"/>
        <v>1.09938</v>
      </c>
      <c r="K93" s="67"/>
      <c r="L93" s="3">
        <v>-96.8</v>
      </c>
      <c r="M93" s="5">
        <f t="shared" si="119"/>
        <v>1.4000000000000057</v>
      </c>
      <c r="N93" s="5">
        <f t="shared" si="113"/>
        <v>37.414240753916886</v>
      </c>
      <c r="O93" s="5">
        <f t="shared" si="114"/>
        <v>0.47427591440296651</v>
      </c>
      <c r="P93" s="4">
        <v>3</v>
      </c>
      <c r="Q93" s="5">
        <f t="shared" si="115"/>
        <v>25.04738</v>
      </c>
      <c r="R93" s="5">
        <f t="shared" si="115"/>
        <v>1.09938</v>
      </c>
      <c r="S93" s="5">
        <f t="shared" si="116"/>
        <v>27.827639180000002</v>
      </c>
      <c r="T93" s="5">
        <f t="shared" si="117"/>
        <v>1.6696583508</v>
      </c>
      <c r="U93" s="5">
        <f t="shared" si="118"/>
        <v>3.8120053671232879</v>
      </c>
      <c r="V93" s="5">
        <f t="shared" si="111"/>
        <v>0.47427591440296651</v>
      </c>
    </row>
    <row r="94" spans="2:22" x14ac:dyDescent="0.3">
      <c r="B94">
        <v>6</v>
      </c>
      <c r="C94">
        <v>-10037</v>
      </c>
      <c r="D94">
        <v>144246</v>
      </c>
      <c r="E94">
        <v>26305.5</v>
      </c>
      <c r="F94">
        <f t="shared" si="108"/>
        <v>14.4246</v>
      </c>
      <c r="G94">
        <f t="shared" si="109"/>
        <v>-1.0037</v>
      </c>
      <c r="H94">
        <f t="shared" si="110"/>
        <v>15.4283</v>
      </c>
      <c r="I94">
        <f t="shared" si="112"/>
        <v>2.6305499999999999</v>
      </c>
      <c r="K94" s="67"/>
      <c r="L94" s="3">
        <v>-96.3</v>
      </c>
      <c r="M94" s="5">
        <f t="shared" si="119"/>
        <v>1.9000000000000057</v>
      </c>
      <c r="N94" s="5">
        <f t="shared" si="113"/>
        <v>44.970060517830404</v>
      </c>
      <c r="O94" s="5">
        <f t="shared" si="114"/>
        <v>0.32829026087125474</v>
      </c>
      <c r="P94" s="4">
        <v>4</v>
      </c>
      <c r="Q94" s="5">
        <f t="shared" si="115"/>
        <v>15.4283</v>
      </c>
      <c r="R94" s="5">
        <f t="shared" si="115"/>
        <v>2.6305499999999999</v>
      </c>
      <c r="S94" s="5">
        <f t="shared" si="116"/>
        <v>12.855630975</v>
      </c>
      <c r="T94" s="5">
        <f t="shared" si="117"/>
        <v>0.77133785850000003</v>
      </c>
      <c r="U94" s="5">
        <f t="shared" si="118"/>
        <v>1.7610453390410961</v>
      </c>
      <c r="V94" s="5">
        <f t="shared" si="111"/>
        <v>0.32829026087125474</v>
      </c>
    </row>
    <row r="95" spans="2:22" x14ac:dyDescent="0.3">
      <c r="B95">
        <v>7</v>
      </c>
      <c r="C95">
        <v>-8569.2000000000007</v>
      </c>
      <c r="D95">
        <v>63662.8</v>
      </c>
      <c r="E95">
        <v>13418.1</v>
      </c>
      <c r="F95">
        <f t="shared" si="108"/>
        <v>6.3662800000000006</v>
      </c>
      <c r="G95">
        <f t="shared" si="109"/>
        <v>-0.85692000000000013</v>
      </c>
      <c r="H95">
        <f t="shared" si="110"/>
        <v>7.2232000000000003</v>
      </c>
      <c r="I95">
        <f t="shared" si="112"/>
        <v>1.3418099999999999</v>
      </c>
      <c r="K95" s="67"/>
      <c r="L95" s="3">
        <v>-95.8</v>
      </c>
      <c r="M95" s="5">
        <f t="shared" si="119"/>
        <v>2.4000000000000057</v>
      </c>
      <c r="N95" s="5">
        <f t="shared" si="113"/>
        <v>52.890724234957723</v>
      </c>
      <c r="O95" s="5">
        <f t="shared" si="114"/>
        <v>0.23732632560072667</v>
      </c>
      <c r="P95" s="4">
        <v>4</v>
      </c>
      <c r="Q95" s="5">
        <f t="shared" si="115"/>
        <v>7.2232000000000003</v>
      </c>
      <c r="R95" s="5">
        <f t="shared" si="115"/>
        <v>1.3418099999999999</v>
      </c>
      <c r="S95" s="5">
        <f t="shared" si="116"/>
        <v>6.0187314000000001</v>
      </c>
      <c r="T95" s="5">
        <f t="shared" si="117"/>
        <v>0.36112388400000001</v>
      </c>
      <c r="U95" s="5">
        <f t="shared" si="118"/>
        <v>0.82448375342465752</v>
      </c>
      <c r="V95" s="5">
        <f t="shared" si="111"/>
        <v>0.23732632560072667</v>
      </c>
    </row>
    <row r="96" spans="2:22" x14ac:dyDescent="0.3">
      <c r="B96">
        <v>8</v>
      </c>
      <c r="C96">
        <v>-12040.6</v>
      </c>
      <c r="D96">
        <v>58010.9</v>
      </c>
      <c r="E96">
        <v>10643.4</v>
      </c>
      <c r="F96">
        <f t="shared" si="108"/>
        <v>5.8010900000000003</v>
      </c>
      <c r="G96">
        <f t="shared" si="109"/>
        <v>-1.2040600000000001</v>
      </c>
      <c r="H96">
        <f t="shared" si="110"/>
        <v>7.0051500000000004</v>
      </c>
      <c r="I96">
        <f t="shared" si="112"/>
        <v>1.0643400000000001</v>
      </c>
      <c r="K96" s="67"/>
      <c r="L96" s="3">
        <v>-95.5</v>
      </c>
      <c r="M96" s="5">
        <f t="shared" si="119"/>
        <v>2.7000000000000028</v>
      </c>
      <c r="N96" s="5">
        <f t="shared" si="113"/>
        <v>57.756125383651771</v>
      </c>
      <c r="O96" s="5">
        <f t="shared" si="114"/>
        <v>0.19902555423486562</v>
      </c>
      <c r="P96" s="4">
        <v>5</v>
      </c>
      <c r="Q96" s="5">
        <f t="shared" si="115"/>
        <v>7.0051500000000004</v>
      </c>
      <c r="R96" s="5">
        <f t="shared" si="115"/>
        <v>1.0643400000000001</v>
      </c>
      <c r="S96" s="5">
        <f t="shared" si="116"/>
        <v>4.6696329900000002</v>
      </c>
      <c r="T96" s="5">
        <f t="shared" si="117"/>
        <v>0.2801779794</v>
      </c>
      <c r="U96" s="5">
        <f t="shared" si="118"/>
        <v>0.63967575205479454</v>
      </c>
      <c r="V96" s="5">
        <f t="shared" si="111"/>
        <v>0.19902555423486562</v>
      </c>
    </row>
    <row r="97" spans="2:22" x14ac:dyDescent="0.3">
      <c r="B97">
        <v>9</v>
      </c>
      <c r="C97">
        <v>-13065.6</v>
      </c>
      <c r="D97">
        <v>64312.9</v>
      </c>
      <c r="E97">
        <v>12438.9</v>
      </c>
      <c r="F97">
        <f t="shared" si="108"/>
        <v>6.4312899999999997</v>
      </c>
      <c r="G97">
        <f t="shared" si="109"/>
        <v>-1.3065599999999999</v>
      </c>
      <c r="H97">
        <f t="shared" si="110"/>
        <v>7.7378499999999999</v>
      </c>
      <c r="I97">
        <f t="shared" si="112"/>
        <v>1.2438899999999999</v>
      </c>
      <c r="K97" s="67"/>
      <c r="L97" s="5">
        <v>-95.1</v>
      </c>
      <c r="M97" s="5">
        <f t="shared" si="119"/>
        <v>3.1000000000000085</v>
      </c>
      <c r="N97" s="5">
        <f t="shared" si="113"/>
        <v>64.335352920706185</v>
      </c>
      <c r="O97" s="5">
        <f t="shared" si="114"/>
        <v>0.16040044458990685</v>
      </c>
      <c r="P97" s="4">
        <v>8</v>
      </c>
      <c r="Q97" s="5">
        <f t="shared" si="115"/>
        <v>7.7378499999999999</v>
      </c>
      <c r="R97" s="5">
        <f t="shared" si="115"/>
        <v>1.2438899999999999</v>
      </c>
      <c r="S97" s="5">
        <f t="shared" si="116"/>
        <v>3.2237817562499997</v>
      </c>
      <c r="T97" s="5">
        <f t="shared" si="117"/>
        <v>0.19342690537499999</v>
      </c>
      <c r="U97" s="5">
        <f t="shared" si="118"/>
        <v>0.44161393921232872</v>
      </c>
      <c r="V97" s="5">
        <f t="shared" si="111"/>
        <v>0.16040044458990685</v>
      </c>
    </row>
    <row r="98" spans="2:22" x14ac:dyDescent="0.3">
      <c r="B98">
        <v>10</v>
      </c>
      <c r="C98">
        <v>-16232.5</v>
      </c>
      <c r="D98">
        <v>51172.6</v>
      </c>
      <c r="E98">
        <v>12617.1</v>
      </c>
      <c r="F98">
        <f t="shared" si="108"/>
        <v>5.1172599999999999</v>
      </c>
      <c r="G98">
        <f t="shared" si="109"/>
        <v>-1.6232500000000001</v>
      </c>
      <c r="H98">
        <f t="shared" si="110"/>
        <v>6.7405100000000004</v>
      </c>
      <c r="I98">
        <f t="shared" si="112"/>
        <v>1.2617100000000001</v>
      </c>
      <c r="K98" s="67"/>
      <c r="L98" s="5">
        <v>-94.399999999999991</v>
      </c>
      <c r="M98" s="5">
        <f t="shared" si="119"/>
        <v>3.8000000000000114</v>
      </c>
      <c r="N98" s="5">
        <f t="shared" si="113"/>
        <v>76.025152245972833</v>
      </c>
      <c r="O98" s="5">
        <f t="shared" si="114"/>
        <v>0.11486569536625781</v>
      </c>
      <c r="P98" s="4">
        <v>14</v>
      </c>
      <c r="Q98" s="5">
        <f t="shared" si="115"/>
        <v>6.7405100000000004</v>
      </c>
      <c r="R98" s="5">
        <f t="shared" si="115"/>
        <v>1.2617100000000001</v>
      </c>
      <c r="S98" s="5">
        <f t="shared" si="116"/>
        <v>1.6047228450000004</v>
      </c>
      <c r="T98" s="5">
        <f t="shared" si="117"/>
        <v>9.6283370700000023E-2</v>
      </c>
      <c r="U98" s="5">
        <f t="shared" si="118"/>
        <v>0.21982504726027402</v>
      </c>
      <c r="V98" s="5">
        <f t="shared" si="111"/>
        <v>0.11486569536625781</v>
      </c>
    </row>
    <row r="99" spans="2:22" ht="15" thickBot="1" x14ac:dyDescent="0.35">
      <c r="B99">
        <v>11</v>
      </c>
      <c r="C99">
        <v>-15326.9</v>
      </c>
      <c r="D99">
        <v>12967.9</v>
      </c>
      <c r="E99">
        <v>13711.8</v>
      </c>
      <c r="F99">
        <f t="shared" si="108"/>
        <v>1.2967899999999999</v>
      </c>
      <c r="G99">
        <f t="shared" si="109"/>
        <v>-1.5326899999999999</v>
      </c>
      <c r="H99">
        <f t="shared" si="110"/>
        <v>2.8294799999999998</v>
      </c>
      <c r="I99">
        <f t="shared" si="112"/>
        <v>1.3711799999999998</v>
      </c>
      <c r="K99" s="68"/>
      <c r="L99" s="6">
        <v>-93.3</v>
      </c>
      <c r="M99" s="6">
        <f t="shared" si="119"/>
        <v>4.9000000000000057</v>
      </c>
      <c r="N99" s="6">
        <f t="shared" si="113"/>
        <v>94.671337139281746</v>
      </c>
      <c r="O99" s="6">
        <f t="shared" si="114"/>
        <v>7.4074362202575753E-2</v>
      </c>
      <c r="P99" s="7">
        <v>21</v>
      </c>
      <c r="Q99" s="6">
        <f t="shared" si="115"/>
        <v>2.8294799999999998</v>
      </c>
      <c r="R99" s="6">
        <f t="shared" si="115"/>
        <v>1.3711799999999998</v>
      </c>
      <c r="S99" s="6">
        <f t="shared" si="116"/>
        <v>0.44907889714285715</v>
      </c>
      <c r="T99" s="6">
        <f t="shared" si="117"/>
        <v>2.6944733828571429E-2</v>
      </c>
      <c r="U99" s="6">
        <f t="shared" si="118"/>
        <v>6.1517657142857146E-2</v>
      </c>
      <c r="V99" s="6">
        <f t="shared" si="111"/>
        <v>7.4074362202575753E-2</v>
      </c>
    </row>
    <row r="100" spans="2:22" ht="15" thickTop="1" x14ac:dyDescent="0.3"/>
    <row r="101" spans="2:22" ht="15" thickBot="1" x14ac:dyDescent="0.35"/>
    <row r="102" spans="2:22" ht="17.399999999999999" thickTop="1" thickBot="1" x14ac:dyDescent="0.35">
      <c r="B102" t="s">
        <v>26</v>
      </c>
      <c r="C102" t="s">
        <v>2</v>
      </c>
      <c r="D102" t="s">
        <v>1</v>
      </c>
      <c r="E102" t="s">
        <v>5</v>
      </c>
      <c r="F102" t="s">
        <v>0</v>
      </c>
      <c r="G102" t="s">
        <v>3</v>
      </c>
      <c r="H102" t="s">
        <v>4</v>
      </c>
      <c r="I102" t="s">
        <v>6</v>
      </c>
      <c r="K102" s="9" t="s">
        <v>41</v>
      </c>
      <c r="L102" s="10" t="s">
        <v>42</v>
      </c>
      <c r="M102" s="10" t="s">
        <v>43</v>
      </c>
      <c r="N102" s="10" t="s">
        <v>47</v>
      </c>
      <c r="O102" s="10" t="s">
        <v>44</v>
      </c>
      <c r="P102" s="10" t="s">
        <v>45</v>
      </c>
      <c r="Q102" s="10" t="s">
        <v>48</v>
      </c>
      <c r="R102" s="10" t="s">
        <v>49</v>
      </c>
      <c r="S102" s="13" t="s">
        <v>50</v>
      </c>
      <c r="T102" s="13" t="s">
        <v>52</v>
      </c>
      <c r="U102" s="13" t="s">
        <v>51</v>
      </c>
      <c r="V102" s="10" t="s">
        <v>44</v>
      </c>
    </row>
    <row r="103" spans="2:22" ht="15" thickTop="1" x14ac:dyDescent="0.3">
      <c r="B103">
        <v>1</v>
      </c>
      <c r="C103">
        <v>-4960.8999999999996</v>
      </c>
      <c r="D103">
        <v>302137.7</v>
      </c>
      <c r="E103">
        <v>11375</v>
      </c>
      <c r="F103">
        <f t="shared" ref="F103:F113" si="120">D103/10000</f>
        <v>30.21377</v>
      </c>
      <c r="G103">
        <f t="shared" ref="G103:G113" si="121">C103/10000</f>
        <v>-0.49608999999999998</v>
      </c>
      <c r="H103">
        <f t="shared" ref="H103:H113" si="122">F103-G103</f>
        <v>30.709859999999999</v>
      </c>
      <c r="I103">
        <f t="shared" ref="I103:I113" si="123">E103/10000</f>
        <v>1.1375</v>
      </c>
      <c r="K103" s="66">
        <v>8</v>
      </c>
      <c r="L103" s="1">
        <v>-98.2</v>
      </c>
      <c r="M103" s="8">
        <f>L103+98.2</f>
        <v>0</v>
      </c>
      <c r="N103" s="8">
        <f>20.56036*SQRT(1+((L103-(-98.58903))*1.03*1095.70644/(3.14159*20.56036^2))^2)</f>
        <v>21.654820206582954</v>
      </c>
      <c r="O103" s="8">
        <f>2*$Z$1/$Z$2/PI()/(N103*10^-4)^2/$K$103/$Z$7</f>
        <v>1.238807515875354</v>
      </c>
      <c r="P103" s="2">
        <v>3</v>
      </c>
      <c r="Q103" s="8">
        <f t="shared" ref="Q103:Q113" si="124">H103</f>
        <v>30.709859999999999</v>
      </c>
      <c r="R103" s="8">
        <f t="shared" ref="R103:R113" si="125">I103</f>
        <v>1.1375</v>
      </c>
      <c r="S103" s="8">
        <f>Q103/10^6*$Z$4*$Z$3/P103*10^12</f>
        <v>34.118654459999995</v>
      </c>
      <c r="T103" s="8">
        <f>S103*0.06</f>
        <v>2.0471192675999994</v>
      </c>
      <c r="U103" s="8">
        <f>S103/$Z$1</f>
        <v>4.6737882821917802</v>
      </c>
      <c r="V103" s="12">
        <f t="shared" ref="V103:V113" si="126">O103</f>
        <v>1.238807515875354</v>
      </c>
    </row>
    <row r="104" spans="2:22" x14ac:dyDescent="0.3">
      <c r="B104">
        <v>2</v>
      </c>
      <c r="C104">
        <v>-788.8</v>
      </c>
      <c r="D104">
        <v>309943.59999999998</v>
      </c>
      <c r="E104">
        <v>8345</v>
      </c>
      <c r="F104">
        <f t="shared" si="120"/>
        <v>30.994359999999997</v>
      </c>
      <c r="G104">
        <f t="shared" si="121"/>
        <v>-7.8879999999999992E-2</v>
      </c>
      <c r="H104">
        <f t="shared" si="122"/>
        <v>31.073239999999998</v>
      </c>
      <c r="I104">
        <f t="shared" si="123"/>
        <v>0.83450000000000002</v>
      </c>
      <c r="K104" s="67"/>
      <c r="L104" s="3">
        <v>-98</v>
      </c>
      <c r="M104" s="5">
        <f>L104+98.2</f>
        <v>0.20000000000000284</v>
      </c>
      <c r="N104" s="5">
        <f t="shared" ref="N104:N113" si="127">20.56036*SQRT(1+((L104-(-98.58903))*1.03*1095.70644/(3.14159*20.56036^2))^2)</f>
        <v>22.992351577801337</v>
      </c>
      <c r="O104" s="5">
        <f t="shared" ref="O104:O113" si="128">2*$Z$1/$Z$2/PI()/(N104*10^-4)^2/$K$103/$Z$7</f>
        <v>1.0988697363115913</v>
      </c>
      <c r="P104" s="4">
        <v>3</v>
      </c>
      <c r="Q104" s="5">
        <f t="shared" si="124"/>
        <v>31.073239999999998</v>
      </c>
      <c r="R104" s="5">
        <f t="shared" si="125"/>
        <v>0.83450000000000002</v>
      </c>
      <c r="S104" s="5">
        <f t="shared" ref="S104:S113" si="129">Q104/10^6*$Z$4*$Z$3/P104*10^12</f>
        <v>34.522369639999994</v>
      </c>
      <c r="T104" s="5">
        <f t="shared" ref="T104:T113" si="130">S104*0.06</f>
        <v>2.0713421783999997</v>
      </c>
      <c r="U104" s="5">
        <f t="shared" ref="U104:U113" si="131">S104/$Z$1</f>
        <v>4.7290917315068484</v>
      </c>
      <c r="V104" s="5">
        <f t="shared" si="126"/>
        <v>1.0988697363115913</v>
      </c>
    </row>
    <row r="105" spans="2:22" x14ac:dyDescent="0.3">
      <c r="B105">
        <v>3</v>
      </c>
      <c r="C105">
        <v>-2436.1</v>
      </c>
      <c r="D105">
        <v>319109.59999999998</v>
      </c>
      <c r="E105">
        <v>8185.5</v>
      </c>
      <c r="F105">
        <f t="shared" si="120"/>
        <v>31.910959999999999</v>
      </c>
      <c r="G105">
        <f t="shared" si="121"/>
        <v>-0.24360999999999999</v>
      </c>
      <c r="H105">
        <f t="shared" si="122"/>
        <v>32.15457</v>
      </c>
      <c r="I105">
        <f t="shared" si="123"/>
        <v>0.81855</v>
      </c>
      <c r="K105" s="67"/>
      <c r="L105" s="3">
        <v>-97.8</v>
      </c>
      <c r="M105" s="5">
        <f t="shared" ref="M105:M113" si="132">L105+98.2</f>
        <v>0.40000000000000568</v>
      </c>
      <c r="N105" s="5">
        <f t="shared" si="127"/>
        <v>24.754552179927092</v>
      </c>
      <c r="O105" s="5">
        <f t="shared" si="128"/>
        <v>0.94798801713418823</v>
      </c>
      <c r="P105" s="4">
        <v>3</v>
      </c>
      <c r="Q105" s="5">
        <f t="shared" si="124"/>
        <v>32.15457</v>
      </c>
      <c r="R105" s="5">
        <f t="shared" si="125"/>
        <v>0.81855</v>
      </c>
      <c r="S105" s="5">
        <f t="shared" si="129"/>
        <v>35.723727269999998</v>
      </c>
      <c r="T105" s="5">
        <f t="shared" si="130"/>
        <v>2.1434236361999996</v>
      </c>
      <c r="U105" s="5">
        <f t="shared" si="131"/>
        <v>4.8936612698630135</v>
      </c>
      <c r="V105" s="5">
        <f t="shared" si="126"/>
        <v>0.94798801713418823</v>
      </c>
    </row>
    <row r="106" spans="2:22" x14ac:dyDescent="0.3">
      <c r="B106">
        <v>4</v>
      </c>
      <c r="C106">
        <v>-1456.9</v>
      </c>
      <c r="D106">
        <v>284247.90000000002</v>
      </c>
      <c r="E106">
        <v>9397.2999999999993</v>
      </c>
      <c r="F106">
        <f t="shared" si="120"/>
        <v>28.424790000000002</v>
      </c>
      <c r="G106">
        <f t="shared" si="121"/>
        <v>-0.14569000000000001</v>
      </c>
      <c r="H106">
        <f t="shared" si="122"/>
        <v>28.57048</v>
      </c>
      <c r="I106">
        <f t="shared" si="123"/>
        <v>0.93972999999999995</v>
      </c>
      <c r="K106" s="67"/>
      <c r="L106" s="3">
        <v>-97.2</v>
      </c>
      <c r="M106" s="5">
        <f t="shared" si="132"/>
        <v>1</v>
      </c>
      <c r="N106" s="5">
        <f t="shared" si="127"/>
        <v>31.807899949628325</v>
      </c>
      <c r="O106" s="5">
        <f t="shared" si="128"/>
        <v>0.57417331261814231</v>
      </c>
      <c r="P106" s="4">
        <v>3</v>
      </c>
      <c r="Q106" s="5">
        <f t="shared" si="124"/>
        <v>28.57048</v>
      </c>
      <c r="R106" s="5">
        <f t="shared" si="125"/>
        <v>0.93972999999999995</v>
      </c>
      <c r="S106" s="5">
        <f t="shared" si="129"/>
        <v>31.741803280000003</v>
      </c>
      <c r="T106" s="5">
        <f t="shared" si="130"/>
        <v>1.9045081968000002</v>
      </c>
      <c r="U106" s="5">
        <f t="shared" si="131"/>
        <v>4.3481922301369869</v>
      </c>
      <c r="V106" s="5">
        <f t="shared" si="126"/>
        <v>0.57417331261814231</v>
      </c>
    </row>
    <row r="107" spans="2:22" x14ac:dyDescent="0.3">
      <c r="B107">
        <v>5</v>
      </c>
      <c r="C107">
        <v>599</v>
      </c>
      <c r="D107">
        <v>245721.4</v>
      </c>
      <c r="E107">
        <v>10998.8</v>
      </c>
      <c r="F107">
        <f t="shared" si="120"/>
        <v>24.572140000000001</v>
      </c>
      <c r="G107">
        <f t="shared" si="121"/>
        <v>5.9900000000000002E-2</v>
      </c>
      <c r="H107">
        <f t="shared" si="122"/>
        <v>24.512240000000002</v>
      </c>
      <c r="I107">
        <f t="shared" si="123"/>
        <v>1.09988</v>
      </c>
      <c r="K107" s="67"/>
      <c r="L107" s="3">
        <v>-96.8</v>
      </c>
      <c r="M107" s="5">
        <f t="shared" si="132"/>
        <v>1.4000000000000057</v>
      </c>
      <c r="N107" s="5">
        <f t="shared" si="127"/>
        <v>37.414240753916886</v>
      </c>
      <c r="O107" s="5">
        <f t="shared" si="128"/>
        <v>0.41499142510259568</v>
      </c>
      <c r="P107" s="4">
        <v>3</v>
      </c>
      <c r="Q107" s="5">
        <f t="shared" si="124"/>
        <v>24.512240000000002</v>
      </c>
      <c r="R107" s="5">
        <f t="shared" si="125"/>
        <v>1.09988</v>
      </c>
      <c r="S107" s="5">
        <f t="shared" si="129"/>
        <v>27.233098640000001</v>
      </c>
      <c r="T107" s="5">
        <f t="shared" si="130"/>
        <v>1.6339859184000001</v>
      </c>
      <c r="U107" s="5">
        <f t="shared" si="131"/>
        <v>3.7305614575342467</v>
      </c>
      <c r="V107" s="5">
        <f t="shared" si="126"/>
        <v>0.41499142510259568</v>
      </c>
    </row>
    <row r="108" spans="2:22" x14ac:dyDescent="0.3">
      <c r="B108">
        <v>6</v>
      </c>
      <c r="C108">
        <v>-2316</v>
      </c>
      <c r="D108">
        <v>149191.79999999999</v>
      </c>
      <c r="E108">
        <v>25624.400000000001</v>
      </c>
      <c r="F108">
        <f t="shared" si="120"/>
        <v>14.919179999999999</v>
      </c>
      <c r="G108">
        <f t="shared" si="121"/>
        <v>-0.2316</v>
      </c>
      <c r="H108">
        <f t="shared" si="122"/>
        <v>15.150779999999999</v>
      </c>
      <c r="I108">
        <f t="shared" si="123"/>
        <v>2.5624400000000001</v>
      </c>
      <c r="K108" s="67"/>
      <c r="L108" s="3">
        <v>-96.3</v>
      </c>
      <c r="M108" s="5">
        <f t="shared" si="132"/>
        <v>1.9000000000000057</v>
      </c>
      <c r="N108" s="5">
        <f t="shared" si="127"/>
        <v>44.970060517830404</v>
      </c>
      <c r="O108" s="5">
        <f t="shared" si="128"/>
        <v>0.28725397826234789</v>
      </c>
      <c r="P108" s="4">
        <v>4</v>
      </c>
      <c r="Q108" s="5">
        <f t="shared" si="124"/>
        <v>15.150779999999999</v>
      </c>
      <c r="R108" s="5">
        <f t="shared" si="125"/>
        <v>2.5624400000000001</v>
      </c>
      <c r="S108" s="5">
        <f t="shared" si="129"/>
        <v>12.624387434999999</v>
      </c>
      <c r="T108" s="5">
        <f t="shared" si="130"/>
        <v>0.75746324609999993</v>
      </c>
      <c r="U108" s="5">
        <f t="shared" si="131"/>
        <v>1.7293681417808218</v>
      </c>
      <c r="V108" s="5">
        <f t="shared" si="126"/>
        <v>0.28725397826234789</v>
      </c>
    </row>
    <row r="109" spans="2:22" x14ac:dyDescent="0.3">
      <c r="B109">
        <v>7</v>
      </c>
      <c r="C109">
        <v>1207.3</v>
      </c>
      <c r="D109">
        <v>68468.5</v>
      </c>
      <c r="E109">
        <v>14194.7</v>
      </c>
      <c r="F109">
        <f t="shared" si="120"/>
        <v>6.8468499999999999</v>
      </c>
      <c r="G109">
        <f t="shared" si="121"/>
        <v>0.12072999999999999</v>
      </c>
      <c r="H109">
        <f t="shared" si="122"/>
        <v>6.7261199999999999</v>
      </c>
      <c r="I109">
        <f t="shared" si="123"/>
        <v>1.41947</v>
      </c>
      <c r="K109" s="67"/>
      <c r="L109" s="3">
        <v>-95.8</v>
      </c>
      <c r="M109" s="5">
        <f t="shared" si="132"/>
        <v>2.4000000000000057</v>
      </c>
      <c r="N109" s="5">
        <f t="shared" si="127"/>
        <v>52.890724234957723</v>
      </c>
      <c r="O109" s="5">
        <f t="shared" si="128"/>
        <v>0.20766053490063582</v>
      </c>
      <c r="P109" s="4">
        <v>4</v>
      </c>
      <c r="Q109" s="5">
        <f t="shared" si="124"/>
        <v>6.7261199999999999</v>
      </c>
      <c r="R109" s="5">
        <f t="shared" si="125"/>
        <v>1.41947</v>
      </c>
      <c r="S109" s="5">
        <f t="shared" si="129"/>
        <v>5.6045394899999996</v>
      </c>
      <c r="T109" s="5">
        <f t="shared" si="130"/>
        <v>0.33627236939999994</v>
      </c>
      <c r="U109" s="5">
        <f t="shared" si="131"/>
        <v>0.76774513561643831</v>
      </c>
      <c r="V109" s="5">
        <f t="shared" si="126"/>
        <v>0.20766053490063582</v>
      </c>
    </row>
    <row r="110" spans="2:22" x14ac:dyDescent="0.3">
      <c r="B110">
        <v>8</v>
      </c>
      <c r="C110">
        <v>468.6</v>
      </c>
      <c r="D110">
        <v>59501.599999999999</v>
      </c>
      <c r="E110">
        <v>10113.200000000001</v>
      </c>
      <c r="F110">
        <f t="shared" si="120"/>
        <v>5.9501599999999994</v>
      </c>
      <c r="G110">
        <f t="shared" si="121"/>
        <v>4.6859999999999999E-2</v>
      </c>
      <c r="H110">
        <f t="shared" si="122"/>
        <v>5.9032999999999998</v>
      </c>
      <c r="I110">
        <f t="shared" si="123"/>
        <v>1.01132</v>
      </c>
      <c r="K110" s="67"/>
      <c r="L110" s="3">
        <v>-95.5</v>
      </c>
      <c r="M110" s="5">
        <f t="shared" si="132"/>
        <v>2.7000000000000028</v>
      </c>
      <c r="N110" s="5">
        <f t="shared" si="127"/>
        <v>57.756125383651771</v>
      </c>
      <c r="O110" s="5">
        <f t="shared" si="128"/>
        <v>0.17414735995550742</v>
      </c>
      <c r="P110" s="4">
        <v>5</v>
      </c>
      <c r="Q110" s="5">
        <f t="shared" si="124"/>
        <v>5.9032999999999998</v>
      </c>
      <c r="R110" s="5">
        <f t="shared" si="125"/>
        <v>1.01132</v>
      </c>
      <c r="S110" s="5">
        <f t="shared" si="129"/>
        <v>3.9351397799999996</v>
      </c>
      <c r="T110" s="5">
        <f t="shared" si="130"/>
        <v>0.23610838679999996</v>
      </c>
      <c r="U110" s="5">
        <f t="shared" si="131"/>
        <v>0.53906024383561635</v>
      </c>
      <c r="V110" s="5">
        <f t="shared" si="126"/>
        <v>0.17414735995550742</v>
      </c>
    </row>
    <row r="111" spans="2:22" x14ac:dyDescent="0.3">
      <c r="B111">
        <v>9</v>
      </c>
      <c r="C111">
        <v>2041.3</v>
      </c>
      <c r="D111">
        <v>52964.4</v>
      </c>
      <c r="E111">
        <v>11537.7</v>
      </c>
      <c r="F111">
        <f t="shared" si="120"/>
        <v>5.2964400000000005</v>
      </c>
      <c r="G111">
        <f t="shared" si="121"/>
        <v>0.20413000000000001</v>
      </c>
      <c r="H111">
        <f t="shared" si="122"/>
        <v>5.0923100000000003</v>
      </c>
      <c r="I111">
        <f t="shared" si="123"/>
        <v>1.15377</v>
      </c>
      <c r="K111" s="67"/>
      <c r="L111" s="5">
        <v>-95.1</v>
      </c>
      <c r="M111" s="5">
        <f t="shared" si="132"/>
        <v>3.1000000000000085</v>
      </c>
      <c r="N111" s="5">
        <f t="shared" si="127"/>
        <v>64.335352920706185</v>
      </c>
      <c r="O111" s="5">
        <f t="shared" si="128"/>
        <v>0.1403503890161685</v>
      </c>
      <c r="P111" s="4">
        <v>8</v>
      </c>
      <c r="Q111" s="5">
        <f t="shared" si="124"/>
        <v>5.0923100000000003</v>
      </c>
      <c r="R111" s="5">
        <f t="shared" si="125"/>
        <v>1.15377</v>
      </c>
      <c r="S111" s="5">
        <f t="shared" si="129"/>
        <v>2.1215836537500001</v>
      </c>
      <c r="T111" s="5">
        <f t="shared" si="130"/>
        <v>0.127295019225</v>
      </c>
      <c r="U111" s="5">
        <f t="shared" si="131"/>
        <v>0.29062789777397263</v>
      </c>
      <c r="V111" s="5">
        <f t="shared" si="126"/>
        <v>0.1403503890161685</v>
      </c>
    </row>
    <row r="112" spans="2:22" x14ac:dyDescent="0.3">
      <c r="B112">
        <v>10</v>
      </c>
      <c r="C112">
        <v>1005.9</v>
      </c>
      <c r="D112">
        <v>47002.7</v>
      </c>
      <c r="E112">
        <v>12130.7</v>
      </c>
      <c r="F112">
        <f t="shared" si="120"/>
        <v>4.7002699999999997</v>
      </c>
      <c r="G112">
        <f t="shared" si="121"/>
        <v>0.10059</v>
      </c>
      <c r="H112">
        <f t="shared" si="122"/>
        <v>4.5996799999999993</v>
      </c>
      <c r="I112">
        <f t="shared" si="123"/>
        <v>1.2130700000000001</v>
      </c>
      <c r="K112" s="67"/>
      <c r="L112" s="5">
        <v>-94.399999999999991</v>
      </c>
      <c r="M112" s="5">
        <f t="shared" si="132"/>
        <v>3.8000000000000114</v>
      </c>
      <c r="N112" s="5">
        <f t="shared" si="127"/>
        <v>76.025152245972833</v>
      </c>
      <c r="O112" s="5">
        <f t="shared" si="128"/>
        <v>0.10050748344547558</v>
      </c>
      <c r="P112" s="4">
        <v>14</v>
      </c>
      <c r="Q112" s="5">
        <f t="shared" si="124"/>
        <v>4.5996799999999993</v>
      </c>
      <c r="R112" s="5">
        <f t="shared" si="125"/>
        <v>1.2130700000000001</v>
      </c>
      <c r="S112" s="5">
        <f t="shared" si="129"/>
        <v>1.0950523885714285</v>
      </c>
      <c r="T112" s="5">
        <f t="shared" si="130"/>
        <v>6.5703143314285714E-2</v>
      </c>
      <c r="U112" s="5">
        <f t="shared" si="131"/>
        <v>0.15000717651663403</v>
      </c>
      <c r="V112" s="5">
        <f t="shared" si="126"/>
        <v>0.10050748344547558</v>
      </c>
    </row>
    <row r="113" spans="2:22" ht="15" thickBot="1" x14ac:dyDescent="0.35">
      <c r="B113">
        <v>11</v>
      </c>
      <c r="C113">
        <v>905.9</v>
      </c>
      <c r="D113">
        <v>16250.6</v>
      </c>
      <c r="E113">
        <v>11587.6</v>
      </c>
      <c r="F113">
        <f t="shared" si="120"/>
        <v>1.6250599999999999</v>
      </c>
      <c r="G113">
        <f t="shared" si="121"/>
        <v>9.0590000000000004E-2</v>
      </c>
      <c r="H113">
        <f t="shared" si="122"/>
        <v>1.53447</v>
      </c>
      <c r="I113">
        <f t="shared" si="123"/>
        <v>1.15876</v>
      </c>
      <c r="K113" s="68"/>
      <c r="L113" s="6">
        <v>-93.3</v>
      </c>
      <c r="M113" s="6">
        <f t="shared" si="132"/>
        <v>4.9000000000000057</v>
      </c>
      <c r="N113" s="6">
        <f t="shared" si="127"/>
        <v>94.671337139281746</v>
      </c>
      <c r="O113" s="6">
        <f t="shared" si="128"/>
        <v>6.4815066927253778E-2</v>
      </c>
      <c r="P113" s="7">
        <v>21</v>
      </c>
      <c r="Q113" s="6">
        <f t="shared" si="124"/>
        <v>1.53447</v>
      </c>
      <c r="R113" s="6">
        <f t="shared" si="125"/>
        <v>1.15876</v>
      </c>
      <c r="S113" s="6">
        <f t="shared" si="129"/>
        <v>0.24354231000000004</v>
      </c>
      <c r="T113" s="6">
        <f t="shared" si="130"/>
        <v>1.4612538600000002E-2</v>
      </c>
      <c r="U113" s="6">
        <f t="shared" si="131"/>
        <v>3.3361960273972611E-2</v>
      </c>
      <c r="V113" s="6">
        <f t="shared" si="126"/>
        <v>6.4815066927253778E-2</v>
      </c>
    </row>
    <row r="114" spans="2:22" ht="15" thickTop="1" x14ac:dyDescent="0.3"/>
    <row r="115" spans="2:22" ht="15" thickBot="1" x14ac:dyDescent="0.35"/>
    <row r="116" spans="2:22" ht="17.399999999999999" thickTop="1" thickBot="1" x14ac:dyDescent="0.35">
      <c r="B116" t="s">
        <v>27</v>
      </c>
      <c r="C116" t="s">
        <v>2</v>
      </c>
      <c r="D116" t="s">
        <v>1</v>
      </c>
      <c r="E116" t="s">
        <v>5</v>
      </c>
      <c r="F116" t="s">
        <v>0</v>
      </c>
      <c r="G116" t="s">
        <v>3</v>
      </c>
      <c r="H116" t="s">
        <v>4</v>
      </c>
      <c r="I116" t="s">
        <v>6</v>
      </c>
      <c r="K116" s="9" t="s">
        <v>41</v>
      </c>
      <c r="L116" s="10" t="s">
        <v>42</v>
      </c>
      <c r="M116" s="10" t="s">
        <v>43</v>
      </c>
      <c r="N116" s="10" t="s">
        <v>47</v>
      </c>
      <c r="O116" s="10" t="s">
        <v>44</v>
      </c>
      <c r="P116" s="10" t="s">
        <v>45</v>
      </c>
      <c r="Q116" s="10" t="s">
        <v>48</v>
      </c>
      <c r="R116" s="10" t="s">
        <v>49</v>
      </c>
      <c r="S116" s="13" t="s">
        <v>50</v>
      </c>
      <c r="T116" s="13" t="s">
        <v>52</v>
      </c>
      <c r="U116" s="13" t="s">
        <v>51</v>
      </c>
      <c r="V116" s="10" t="s">
        <v>44</v>
      </c>
    </row>
    <row r="117" spans="2:22" ht="15" thickTop="1" x14ac:dyDescent="0.3">
      <c r="B117">
        <v>1</v>
      </c>
      <c r="C117">
        <v>15765.4</v>
      </c>
      <c r="D117">
        <v>305161.3</v>
      </c>
      <c r="E117">
        <v>11109.7</v>
      </c>
      <c r="F117">
        <f t="shared" ref="F117:F127" si="133">D117/10000</f>
        <v>30.51613</v>
      </c>
      <c r="G117">
        <f t="shared" ref="G117:G127" si="134">C117/10000</f>
        <v>1.5765400000000001</v>
      </c>
      <c r="H117">
        <f t="shared" ref="H117:H127" si="135">F117-G117</f>
        <v>28.939589999999999</v>
      </c>
      <c r="I117">
        <f t="shared" ref="I117:I127" si="136">E117/10000</f>
        <v>1.11097</v>
      </c>
      <c r="K117" s="66">
        <v>9</v>
      </c>
      <c r="L117" s="1">
        <v>-98.2</v>
      </c>
      <c r="M117" s="8">
        <f>L117+98.2</f>
        <v>0</v>
      </c>
      <c r="N117" s="8">
        <f>20.56036*SQRT(1+((L117-(-98.58903))*1.03*1095.70644/(3.14159*20.56036^2))^2)</f>
        <v>21.654820206582954</v>
      </c>
      <c r="O117" s="8">
        <f>2*$Z$1/$Z$2/PI()/(N117*10^-4)^2/$K$117/$Z$7</f>
        <v>1.101162236333648</v>
      </c>
      <c r="P117" s="2">
        <v>3</v>
      </c>
      <c r="Q117" s="8">
        <f t="shared" ref="Q117:Q127" si="137">H117</f>
        <v>28.939589999999999</v>
      </c>
      <c r="R117" s="8">
        <f t="shared" ref="R117:R127" si="138">I117</f>
        <v>1.11097</v>
      </c>
      <c r="S117" s="8">
        <f>Q117/10^6*$Z$4*$Z$3/P117*10^12</f>
        <v>32.15188449</v>
      </c>
      <c r="T117" s="8">
        <f>S117*0.06</f>
        <v>1.9291130694</v>
      </c>
      <c r="U117" s="8">
        <f>S117/$Z$1</f>
        <v>4.4043677383561644</v>
      </c>
      <c r="V117" s="12">
        <f t="shared" ref="V117:V127" si="139">O117</f>
        <v>1.101162236333648</v>
      </c>
    </row>
    <row r="118" spans="2:22" x14ac:dyDescent="0.3">
      <c r="B118">
        <v>2</v>
      </c>
      <c r="C118">
        <v>14764.5</v>
      </c>
      <c r="D118">
        <v>314102.40000000002</v>
      </c>
      <c r="E118">
        <v>11034.2</v>
      </c>
      <c r="F118">
        <f t="shared" si="133"/>
        <v>31.410240000000002</v>
      </c>
      <c r="G118">
        <f t="shared" si="134"/>
        <v>1.47645</v>
      </c>
      <c r="H118">
        <f t="shared" si="135"/>
        <v>29.933790000000002</v>
      </c>
      <c r="I118">
        <f t="shared" si="136"/>
        <v>1.1034200000000001</v>
      </c>
      <c r="K118" s="67"/>
      <c r="L118" s="3">
        <v>-98</v>
      </c>
      <c r="M118" s="5">
        <f>L118+98.2</f>
        <v>0.20000000000000284</v>
      </c>
      <c r="N118" s="5">
        <f t="shared" ref="N118:N127" si="140">20.56036*SQRT(1+((L118-(-98.58903))*1.03*1095.70644/(3.14159*20.56036^2))^2)</f>
        <v>22.992351577801337</v>
      </c>
      <c r="O118" s="5">
        <f t="shared" ref="O118:O127" si="141">2*$Z$1/$Z$2/PI()/(N118*10^-4)^2/$K$117/$Z$7</f>
        <v>0.97677309894363673</v>
      </c>
      <c r="P118" s="4">
        <v>3</v>
      </c>
      <c r="Q118" s="5">
        <f t="shared" si="137"/>
        <v>29.933790000000002</v>
      </c>
      <c r="R118" s="5">
        <f t="shared" si="138"/>
        <v>1.1034200000000001</v>
      </c>
      <c r="S118" s="5">
        <f t="shared" ref="S118:S127" si="142">Q118/10^6*$Z$4*$Z$3/P118*10^12</f>
        <v>33.256440689999998</v>
      </c>
      <c r="T118" s="5">
        <f t="shared" ref="T118:T127" si="143">S118*0.06</f>
        <v>1.9953864413999998</v>
      </c>
      <c r="U118" s="5">
        <f t="shared" ref="U118:U127" si="144">S118/$Z$1</f>
        <v>4.5556768068493145</v>
      </c>
      <c r="V118" s="5">
        <f t="shared" si="139"/>
        <v>0.97677309894363673</v>
      </c>
    </row>
    <row r="119" spans="2:22" x14ac:dyDescent="0.3">
      <c r="B119">
        <v>3</v>
      </c>
      <c r="C119">
        <v>9857.2999999999993</v>
      </c>
      <c r="D119">
        <v>320460.5</v>
      </c>
      <c r="E119">
        <v>7330.3</v>
      </c>
      <c r="F119">
        <f t="shared" si="133"/>
        <v>32.046050000000001</v>
      </c>
      <c r="G119">
        <f t="shared" si="134"/>
        <v>0.98572999999999988</v>
      </c>
      <c r="H119">
        <f t="shared" si="135"/>
        <v>31.060320000000001</v>
      </c>
      <c r="I119">
        <f t="shared" si="136"/>
        <v>0.73303000000000007</v>
      </c>
      <c r="K119" s="67"/>
      <c r="L119" s="3">
        <v>-97.8</v>
      </c>
      <c r="M119" s="5">
        <f t="shared" ref="M119:M127" si="145">L119+98.2</f>
        <v>0.40000000000000568</v>
      </c>
      <c r="N119" s="5">
        <f t="shared" si="140"/>
        <v>24.754552179927092</v>
      </c>
      <c r="O119" s="5">
        <f t="shared" si="141"/>
        <v>0.84265601523038958</v>
      </c>
      <c r="P119" s="4">
        <v>3</v>
      </c>
      <c r="Q119" s="5">
        <f t="shared" si="137"/>
        <v>31.060320000000001</v>
      </c>
      <c r="R119" s="5">
        <f t="shared" si="138"/>
        <v>0.73303000000000007</v>
      </c>
      <c r="S119" s="5">
        <f t="shared" si="142"/>
        <v>34.508015520000001</v>
      </c>
      <c r="T119" s="5">
        <f t="shared" si="143"/>
        <v>2.0704809312000001</v>
      </c>
      <c r="U119" s="5">
        <f t="shared" si="144"/>
        <v>4.72712541369863</v>
      </c>
      <c r="V119" s="5">
        <f t="shared" si="139"/>
        <v>0.84265601523038958</v>
      </c>
    </row>
    <row r="120" spans="2:22" x14ac:dyDescent="0.3">
      <c r="B120">
        <v>4</v>
      </c>
      <c r="C120">
        <v>8291.9</v>
      </c>
      <c r="D120">
        <v>280801.09999999998</v>
      </c>
      <c r="E120">
        <v>10042.4</v>
      </c>
      <c r="F120">
        <f t="shared" si="133"/>
        <v>28.080109999999998</v>
      </c>
      <c r="G120">
        <f t="shared" si="134"/>
        <v>0.82918999999999998</v>
      </c>
      <c r="H120">
        <f t="shared" si="135"/>
        <v>27.250919999999997</v>
      </c>
      <c r="I120">
        <f t="shared" si="136"/>
        <v>1.00424</v>
      </c>
      <c r="K120" s="67"/>
      <c r="L120" s="3">
        <v>-97.2</v>
      </c>
      <c r="M120" s="5">
        <f t="shared" si="145"/>
        <v>1</v>
      </c>
      <c r="N120" s="5">
        <f t="shared" si="140"/>
        <v>31.807899949628325</v>
      </c>
      <c r="O120" s="5">
        <f t="shared" si="141"/>
        <v>0.51037627788279316</v>
      </c>
      <c r="P120" s="4">
        <v>3</v>
      </c>
      <c r="Q120" s="5">
        <f t="shared" si="137"/>
        <v>27.250919999999997</v>
      </c>
      <c r="R120" s="5">
        <f t="shared" si="138"/>
        <v>1.00424</v>
      </c>
      <c r="S120" s="5">
        <f t="shared" si="142"/>
        <v>30.275772120000003</v>
      </c>
      <c r="T120" s="5">
        <f t="shared" si="143"/>
        <v>1.8165463272000002</v>
      </c>
      <c r="U120" s="5">
        <f t="shared" si="144"/>
        <v>4.1473660438356168</v>
      </c>
      <c r="V120" s="5">
        <f t="shared" si="139"/>
        <v>0.51037627788279316</v>
      </c>
    </row>
    <row r="121" spans="2:22" x14ac:dyDescent="0.3">
      <c r="B121">
        <v>5</v>
      </c>
      <c r="C121">
        <v>5561.4</v>
      </c>
      <c r="D121">
        <v>217319.3</v>
      </c>
      <c r="E121">
        <v>8379.7000000000007</v>
      </c>
      <c r="F121">
        <f t="shared" si="133"/>
        <v>21.731929999999998</v>
      </c>
      <c r="G121">
        <f t="shared" si="134"/>
        <v>0.55613999999999997</v>
      </c>
      <c r="H121">
        <f t="shared" si="135"/>
        <v>21.175789999999999</v>
      </c>
      <c r="I121">
        <f t="shared" si="136"/>
        <v>0.8379700000000001</v>
      </c>
      <c r="K121" s="67"/>
      <c r="L121" s="3">
        <v>-96.8</v>
      </c>
      <c r="M121" s="5">
        <f t="shared" si="145"/>
        <v>1.4000000000000057</v>
      </c>
      <c r="N121" s="5">
        <f t="shared" si="140"/>
        <v>37.414240753916886</v>
      </c>
      <c r="O121" s="5">
        <f t="shared" si="141"/>
        <v>0.36888126675786281</v>
      </c>
      <c r="P121" s="4">
        <v>3</v>
      </c>
      <c r="Q121" s="5">
        <f t="shared" si="137"/>
        <v>21.175789999999999</v>
      </c>
      <c r="R121" s="5">
        <f t="shared" si="138"/>
        <v>0.8379700000000001</v>
      </c>
      <c r="S121" s="5">
        <f t="shared" si="142"/>
        <v>23.526302690000005</v>
      </c>
      <c r="T121" s="5">
        <f t="shared" si="143"/>
        <v>1.4115781614000003</v>
      </c>
      <c r="U121" s="5">
        <f t="shared" si="144"/>
        <v>3.2227811904109598</v>
      </c>
      <c r="V121" s="5">
        <f t="shared" si="139"/>
        <v>0.36888126675786281</v>
      </c>
    </row>
    <row r="122" spans="2:22" x14ac:dyDescent="0.3">
      <c r="B122">
        <v>6</v>
      </c>
      <c r="C122">
        <v>2152.8000000000002</v>
      </c>
      <c r="D122">
        <v>109490.8</v>
      </c>
      <c r="E122">
        <v>27202.5</v>
      </c>
      <c r="F122">
        <f t="shared" si="133"/>
        <v>10.94908</v>
      </c>
      <c r="G122">
        <f t="shared" si="134"/>
        <v>0.21528000000000003</v>
      </c>
      <c r="H122">
        <f t="shared" si="135"/>
        <v>10.7338</v>
      </c>
      <c r="I122">
        <f t="shared" si="136"/>
        <v>2.7202500000000001</v>
      </c>
      <c r="K122" s="67"/>
      <c r="L122" s="3">
        <v>-96.3</v>
      </c>
      <c r="M122" s="5">
        <f t="shared" si="145"/>
        <v>1.9000000000000057</v>
      </c>
      <c r="N122" s="5">
        <f t="shared" si="140"/>
        <v>44.970060517830404</v>
      </c>
      <c r="O122" s="5">
        <f t="shared" si="141"/>
        <v>0.25533686956653145</v>
      </c>
      <c r="P122" s="4">
        <v>4</v>
      </c>
      <c r="Q122" s="5">
        <f t="shared" si="137"/>
        <v>10.7338</v>
      </c>
      <c r="R122" s="5">
        <f t="shared" si="138"/>
        <v>2.7202500000000001</v>
      </c>
      <c r="S122" s="5">
        <f t="shared" si="142"/>
        <v>8.9439388500000003</v>
      </c>
      <c r="T122" s="5">
        <f t="shared" si="143"/>
        <v>0.53663633099999997</v>
      </c>
      <c r="U122" s="5">
        <f t="shared" si="144"/>
        <v>1.2251971027397262</v>
      </c>
      <c r="V122" s="5">
        <f t="shared" si="139"/>
        <v>0.25533686956653145</v>
      </c>
    </row>
    <row r="123" spans="2:22" x14ac:dyDescent="0.3">
      <c r="B123">
        <v>7</v>
      </c>
      <c r="C123">
        <v>3743.1</v>
      </c>
      <c r="D123">
        <v>51463.199999999997</v>
      </c>
      <c r="E123">
        <v>8984.4</v>
      </c>
      <c r="F123">
        <f t="shared" si="133"/>
        <v>5.1463199999999993</v>
      </c>
      <c r="G123">
        <f t="shared" si="134"/>
        <v>0.37430999999999998</v>
      </c>
      <c r="H123">
        <f t="shared" si="135"/>
        <v>4.772009999999999</v>
      </c>
      <c r="I123">
        <f t="shared" si="136"/>
        <v>0.89844000000000002</v>
      </c>
      <c r="K123" s="67"/>
      <c r="L123" s="3">
        <v>-95.8</v>
      </c>
      <c r="M123" s="5">
        <f t="shared" si="145"/>
        <v>2.4000000000000057</v>
      </c>
      <c r="N123" s="5">
        <f t="shared" si="140"/>
        <v>52.890724234957723</v>
      </c>
      <c r="O123" s="5">
        <f t="shared" si="141"/>
        <v>0.18458714213389851</v>
      </c>
      <c r="P123" s="4">
        <v>4</v>
      </c>
      <c r="Q123" s="5">
        <f t="shared" si="137"/>
        <v>4.772009999999999</v>
      </c>
      <c r="R123" s="5">
        <f t="shared" si="138"/>
        <v>0.89844000000000002</v>
      </c>
      <c r="S123" s="5">
        <f t="shared" si="142"/>
        <v>3.9762773325</v>
      </c>
      <c r="T123" s="5">
        <f t="shared" si="143"/>
        <v>0.23857663995</v>
      </c>
      <c r="U123" s="5">
        <f t="shared" si="144"/>
        <v>0.54469552500000007</v>
      </c>
      <c r="V123" s="5">
        <f t="shared" si="139"/>
        <v>0.18458714213389851</v>
      </c>
    </row>
    <row r="124" spans="2:22" x14ac:dyDescent="0.3">
      <c r="B124">
        <v>8</v>
      </c>
      <c r="C124">
        <v>346.8</v>
      </c>
      <c r="D124">
        <v>49747.9</v>
      </c>
      <c r="E124">
        <v>8012</v>
      </c>
      <c r="F124">
        <f t="shared" si="133"/>
        <v>4.9747900000000005</v>
      </c>
      <c r="G124">
        <f t="shared" si="134"/>
        <v>3.4680000000000002E-2</v>
      </c>
      <c r="H124">
        <f t="shared" si="135"/>
        <v>4.9401100000000007</v>
      </c>
      <c r="I124">
        <f t="shared" si="136"/>
        <v>0.80120000000000002</v>
      </c>
      <c r="K124" s="67"/>
      <c r="L124" s="3">
        <v>-95.5</v>
      </c>
      <c r="M124" s="5">
        <f t="shared" si="145"/>
        <v>2.7000000000000028</v>
      </c>
      <c r="N124" s="5">
        <f t="shared" si="140"/>
        <v>57.756125383651771</v>
      </c>
      <c r="O124" s="5">
        <f t="shared" si="141"/>
        <v>0.15479765329378437</v>
      </c>
      <c r="P124" s="4">
        <v>5</v>
      </c>
      <c r="Q124" s="5">
        <f t="shared" si="137"/>
        <v>4.9401100000000007</v>
      </c>
      <c r="R124" s="5">
        <f t="shared" si="138"/>
        <v>0.80120000000000002</v>
      </c>
      <c r="S124" s="5">
        <f t="shared" si="142"/>
        <v>3.2930773260000006</v>
      </c>
      <c r="T124" s="5">
        <f t="shared" si="143"/>
        <v>0.19758463956000002</v>
      </c>
      <c r="U124" s="5">
        <f t="shared" si="144"/>
        <v>0.45110648301369871</v>
      </c>
      <c r="V124" s="5">
        <f t="shared" si="139"/>
        <v>0.15479765329378437</v>
      </c>
    </row>
    <row r="125" spans="2:22" x14ac:dyDescent="0.3">
      <c r="B125">
        <v>9</v>
      </c>
      <c r="C125">
        <v>-916</v>
      </c>
      <c r="D125">
        <v>37794.6</v>
      </c>
      <c r="E125">
        <v>11299.6</v>
      </c>
      <c r="F125">
        <f t="shared" si="133"/>
        <v>3.7794599999999998</v>
      </c>
      <c r="G125">
        <f t="shared" si="134"/>
        <v>-9.1600000000000001E-2</v>
      </c>
      <c r="H125">
        <f t="shared" si="135"/>
        <v>3.8710599999999999</v>
      </c>
      <c r="I125">
        <f t="shared" si="136"/>
        <v>1.1299600000000001</v>
      </c>
      <c r="K125" s="67"/>
      <c r="L125" s="5">
        <v>-95.1</v>
      </c>
      <c r="M125" s="5">
        <f t="shared" si="145"/>
        <v>3.1000000000000085</v>
      </c>
      <c r="N125" s="5">
        <f t="shared" si="140"/>
        <v>64.335352920706185</v>
      </c>
      <c r="O125" s="5">
        <f t="shared" si="141"/>
        <v>0.12475590134770534</v>
      </c>
      <c r="P125" s="4">
        <v>8</v>
      </c>
      <c r="Q125" s="5">
        <f t="shared" si="137"/>
        <v>3.8710599999999999</v>
      </c>
      <c r="R125" s="5">
        <f t="shared" si="138"/>
        <v>1.1299600000000001</v>
      </c>
      <c r="S125" s="5">
        <f t="shared" si="142"/>
        <v>1.6127803724999998</v>
      </c>
      <c r="T125" s="5">
        <f t="shared" si="143"/>
        <v>9.676682234999999E-2</v>
      </c>
      <c r="U125" s="5">
        <f t="shared" si="144"/>
        <v>0.22092881815068491</v>
      </c>
      <c r="V125" s="5">
        <f t="shared" si="139"/>
        <v>0.12475590134770534</v>
      </c>
    </row>
    <row r="126" spans="2:22" x14ac:dyDescent="0.3">
      <c r="B126">
        <v>10</v>
      </c>
      <c r="C126">
        <v>-5845.7</v>
      </c>
      <c r="D126">
        <v>32426.799999999999</v>
      </c>
      <c r="E126">
        <v>11160.3</v>
      </c>
      <c r="F126">
        <f t="shared" si="133"/>
        <v>3.24268</v>
      </c>
      <c r="G126">
        <f t="shared" si="134"/>
        <v>-0.58457000000000003</v>
      </c>
      <c r="H126">
        <f t="shared" si="135"/>
        <v>3.8272500000000003</v>
      </c>
      <c r="I126">
        <f t="shared" si="136"/>
        <v>1.1160299999999999</v>
      </c>
      <c r="K126" s="67"/>
      <c r="L126" s="5">
        <v>-94.399999999999991</v>
      </c>
      <c r="M126" s="5">
        <f t="shared" si="145"/>
        <v>3.8000000000000114</v>
      </c>
      <c r="N126" s="5">
        <f t="shared" si="140"/>
        <v>76.025152245972833</v>
      </c>
      <c r="O126" s="5">
        <f t="shared" si="141"/>
        <v>8.9339985284867182E-2</v>
      </c>
      <c r="P126" s="4">
        <v>14</v>
      </c>
      <c r="Q126" s="5">
        <f t="shared" si="137"/>
        <v>3.8272500000000003</v>
      </c>
      <c r="R126" s="5">
        <f t="shared" si="138"/>
        <v>1.1160299999999999</v>
      </c>
      <c r="S126" s="5">
        <f t="shared" si="142"/>
        <v>0.91115887500000026</v>
      </c>
      <c r="T126" s="5">
        <f t="shared" si="143"/>
        <v>5.4669532500000013E-2</v>
      </c>
      <c r="U126" s="5">
        <f t="shared" si="144"/>
        <v>0.12481628424657538</v>
      </c>
      <c r="V126" s="5">
        <f t="shared" si="139"/>
        <v>8.9339985284867182E-2</v>
      </c>
    </row>
    <row r="127" spans="2:22" ht="15" thickBot="1" x14ac:dyDescent="0.35">
      <c r="B127">
        <v>11</v>
      </c>
      <c r="C127">
        <v>0</v>
      </c>
      <c r="D127">
        <v>0</v>
      </c>
      <c r="E127">
        <v>0</v>
      </c>
      <c r="F127">
        <f t="shared" si="133"/>
        <v>0</v>
      </c>
      <c r="G127">
        <f t="shared" si="134"/>
        <v>0</v>
      </c>
      <c r="H127">
        <f t="shared" si="135"/>
        <v>0</v>
      </c>
      <c r="I127">
        <f t="shared" si="136"/>
        <v>0</v>
      </c>
      <c r="K127" s="68"/>
      <c r="L127" s="6">
        <v>-93.3</v>
      </c>
      <c r="M127" s="6">
        <f t="shared" si="145"/>
        <v>4.9000000000000057</v>
      </c>
      <c r="N127" s="6">
        <f t="shared" si="140"/>
        <v>94.671337139281746</v>
      </c>
      <c r="O127" s="6">
        <f t="shared" si="141"/>
        <v>5.7613392824225583E-2</v>
      </c>
      <c r="P127" s="7">
        <v>21</v>
      </c>
      <c r="Q127" s="6">
        <f t="shared" si="137"/>
        <v>0</v>
      </c>
      <c r="R127" s="6">
        <f t="shared" si="138"/>
        <v>0</v>
      </c>
      <c r="S127" s="6">
        <f t="shared" si="142"/>
        <v>0</v>
      </c>
      <c r="T127" s="6">
        <f t="shared" si="143"/>
        <v>0</v>
      </c>
      <c r="U127" s="6">
        <f t="shared" si="144"/>
        <v>0</v>
      </c>
      <c r="V127" s="6">
        <f t="shared" si="139"/>
        <v>5.7613392824225583E-2</v>
      </c>
    </row>
    <row r="128" spans="2:22" ht="15" thickTop="1" x14ac:dyDescent="0.3"/>
    <row r="130" spans="11:22" x14ac:dyDescent="0.3">
      <c r="K130" s="23"/>
      <c r="L130" s="24"/>
      <c r="M130" s="24"/>
      <c r="N130" s="24"/>
      <c r="O130" s="24"/>
      <c r="P130" s="24"/>
      <c r="Q130" s="24"/>
      <c r="R130" s="24"/>
      <c r="S130" s="25"/>
      <c r="T130" s="25"/>
      <c r="U130" s="25"/>
      <c r="V130" s="24"/>
    </row>
    <row r="131" spans="11:22" x14ac:dyDescent="0.3">
      <c r="K131" s="65"/>
      <c r="L131" s="16"/>
      <c r="M131" s="18"/>
      <c r="N131" s="18"/>
      <c r="O131" s="18"/>
      <c r="P131" s="17"/>
      <c r="Q131" s="18"/>
      <c r="R131" s="18"/>
      <c r="S131" s="18"/>
      <c r="T131" s="18"/>
      <c r="U131" s="18"/>
      <c r="V131" s="18"/>
    </row>
    <row r="132" spans="11:22" x14ac:dyDescent="0.3">
      <c r="K132" s="65"/>
      <c r="L132" s="16"/>
      <c r="M132" s="18"/>
      <c r="N132" s="18"/>
      <c r="O132" s="18"/>
      <c r="P132" s="21"/>
      <c r="Q132" s="18"/>
      <c r="R132" s="18"/>
      <c r="S132" s="18"/>
      <c r="T132" s="18"/>
      <c r="U132" s="18"/>
      <c r="V132" s="18"/>
    </row>
    <row r="133" spans="11:22" x14ac:dyDescent="0.3">
      <c r="K133" s="65"/>
      <c r="L133" s="16"/>
      <c r="M133" s="18"/>
      <c r="N133" s="18"/>
      <c r="O133" s="18"/>
      <c r="P133" s="21"/>
      <c r="Q133" s="18"/>
      <c r="R133" s="18"/>
      <c r="S133" s="18"/>
      <c r="T133" s="18"/>
      <c r="U133" s="18"/>
      <c r="V133" s="18"/>
    </row>
    <row r="134" spans="11:22" x14ac:dyDescent="0.3">
      <c r="K134" s="65"/>
      <c r="L134" s="16"/>
      <c r="M134" s="18"/>
      <c r="N134" s="18"/>
      <c r="O134" s="18"/>
      <c r="P134" s="21"/>
      <c r="Q134" s="18"/>
      <c r="R134" s="18"/>
      <c r="S134" s="18"/>
      <c r="T134" s="18"/>
      <c r="U134" s="18"/>
      <c r="V134" s="18"/>
    </row>
    <row r="135" spans="11:22" x14ac:dyDescent="0.3">
      <c r="K135" s="65"/>
      <c r="L135" s="16"/>
      <c r="M135" s="18"/>
      <c r="N135" s="18"/>
      <c r="O135" s="18"/>
      <c r="P135" s="21"/>
      <c r="Q135" s="18"/>
      <c r="R135" s="18"/>
      <c r="S135" s="18"/>
      <c r="T135" s="18"/>
      <c r="U135" s="18"/>
      <c r="V135" s="18"/>
    </row>
    <row r="136" spans="11:22" x14ac:dyDescent="0.3">
      <c r="K136" s="65"/>
      <c r="L136" s="16"/>
      <c r="M136" s="18"/>
      <c r="N136" s="18"/>
      <c r="O136" s="18"/>
      <c r="P136" s="21"/>
      <c r="Q136" s="18"/>
      <c r="R136" s="18"/>
      <c r="S136" s="18"/>
      <c r="T136" s="18"/>
      <c r="U136" s="18"/>
      <c r="V136" s="18"/>
    </row>
    <row r="137" spans="11:22" x14ac:dyDescent="0.3">
      <c r="K137" s="65"/>
      <c r="L137" s="16"/>
      <c r="M137" s="18"/>
      <c r="N137" s="18"/>
      <c r="O137" s="18"/>
      <c r="P137" s="21"/>
      <c r="Q137" s="18"/>
      <c r="R137" s="18"/>
      <c r="S137" s="18"/>
      <c r="T137" s="18"/>
      <c r="U137" s="18"/>
      <c r="V137" s="18"/>
    </row>
    <row r="138" spans="11:22" x14ac:dyDescent="0.3">
      <c r="K138" s="65"/>
      <c r="L138" s="16"/>
      <c r="M138" s="18"/>
      <c r="N138" s="18"/>
      <c r="O138" s="18"/>
      <c r="P138" s="21"/>
      <c r="Q138" s="18"/>
      <c r="R138" s="18"/>
      <c r="S138" s="18"/>
      <c r="T138" s="18"/>
      <c r="U138" s="18"/>
      <c r="V138" s="18"/>
    </row>
    <row r="139" spans="11:22" x14ac:dyDescent="0.3">
      <c r="K139" s="65"/>
      <c r="L139" s="18"/>
      <c r="M139" s="18"/>
      <c r="N139" s="18"/>
      <c r="O139" s="18"/>
      <c r="P139" s="21"/>
      <c r="Q139" s="18"/>
      <c r="R139" s="18"/>
      <c r="S139" s="18"/>
      <c r="T139" s="18"/>
      <c r="U139" s="18"/>
      <c r="V139" s="18"/>
    </row>
    <row r="140" spans="11:22" x14ac:dyDescent="0.3">
      <c r="K140" s="65"/>
      <c r="L140" s="18"/>
      <c r="M140" s="18"/>
      <c r="N140" s="18"/>
      <c r="O140" s="18"/>
      <c r="P140" s="21"/>
      <c r="Q140" s="18"/>
      <c r="R140" s="18"/>
      <c r="S140" s="18"/>
      <c r="T140" s="18"/>
      <c r="U140" s="18"/>
      <c r="V140" s="18"/>
    </row>
    <row r="141" spans="11:22" x14ac:dyDescent="0.3">
      <c r="K141" s="65"/>
      <c r="L141" s="18"/>
      <c r="M141" s="18"/>
      <c r="N141" s="18"/>
      <c r="O141" s="18"/>
      <c r="P141" s="21"/>
      <c r="Q141" s="18"/>
      <c r="R141" s="18"/>
      <c r="S141" s="18"/>
      <c r="T141" s="18"/>
      <c r="U141" s="18"/>
      <c r="V141" s="18"/>
    </row>
    <row r="144" spans="11:22" x14ac:dyDescent="0.3">
      <c r="K144" s="23"/>
      <c r="L144" s="24"/>
      <c r="M144" s="24"/>
      <c r="N144" s="24"/>
      <c r="O144" s="24"/>
      <c r="P144" s="24"/>
      <c r="Q144" s="24"/>
      <c r="R144" s="24"/>
      <c r="S144" s="25"/>
      <c r="T144" s="25"/>
      <c r="U144" s="25"/>
      <c r="V144" s="24"/>
    </row>
    <row r="145" spans="11:22" x14ac:dyDescent="0.3">
      <c r="K145" s="65"/>
      <c r="L145" s="16"/>
      <c r="M145" s="18"/>
      <c r="N145" s="18"/>
      <c r="O145" s="18"/>
      <c r="P145" s="17"/>
      <c r="Q145" s="18"/>
      <c r="R145" s="18"/>
      <c r="S145" s="18"/>
      <c r="T145" s="18"/>
      <c r="U145" s="18"/>
      <c r="V145" s="18"/>
    </row>
    <row r="146" spans="11:22" x14ac:dyDescent="0.3">
      <c r="K146" s="65"/>
      <c r="L146" s="16"/>
      <c r="M146" s="18"/>
      <c r="N146" s="18"/>
      <c r="O146" s="18"/>
      <c r="P146" s="21"/>
      <c r="Q146" s="18"/>
      <c r="R146" s="18"/>
      <c r="S146" s="18"/>
      <c r="T146" s="18"/>
      <c r="U146" s="18"/>
      <c r="V146" s="18"/>
    </row>
    <row r="147" spans="11:22" x14ac:dyDescent="0.3">
      <c r="K147" s="65"/>
      <c r="L147" s="16"/>
      <c r="M147" s="18"/>
      <c r="N147" s="18"/>
      <c r="O147" s="18"/>
      <c r="P147" s="21"/>
      <c r="Q147" s="18"/>
      <c r="R147" s="18"/>
      <c r="S147" s="18"/>
      <c r="T147" s="18"/>
      <c r="U147" s="18"/>
      <c r="V147" s="18"/>
    </row>
    <row r="148" spans="11:22" x14ac:dyDescent="0.3">
      <c r="K148" s="65"/>
      <c r="L148" s="16"/>
      <c r="M148" s="18"/>
      <c r="N148" s="18"/>
      <c r="O148" s="18"/>
      <c r="P148" s="21"/>
      <c r="Q148" s="18"/>
      <c r="R148" s="18"/>
      <c r="S148" s="18"/>
      <c r="T148" s="18"/>
      <c r="U148" s="18"/>
      <c r="V148" s="18"/>
    </row>
    <row r="149" spans="11:22" x14ac:dyDescent="0.3">
      <c r="K149" s="65"/>
      <c r="L149" s="16"/>
      <c r="M149" s="18"/>
      <c r="N149" s="18"/>
      <c r="O149" s="18"/>
      <c r="P149" s="21"/>
      <c r="Q149" s="18"/>
      <c r="R149" s="18"/>
      <c r="S149" s="18"/>
      <c r="T149" s="18"/>
      <c r="U149" s="18"/>
      <c r="V149" s="18"/>
    </row>
    <row r="150" spans="11:22" x14ac:dyDescent="0.3">
      <c r="K150" s="65"/>
      <c r="L150" s="16"/>
      <c r="M150" s="18"/>
      <c r="N150" s="18"/>
      <c r="O150" s="18"/>
      <c r="P150" s="21"/>
      <c r="Q150" s="18"/>
      <c r="R150" s="18"/>
      <c r="S150" s="18"/>
      <c r="T150" s="18"/>
      <c r="U150" s="18"/>
      <c r="V150" s="18"/>
    </row>
    <row r="151" spans="11:22" x14ac:dyDescent="0.3">
      <c r="K151" s="65"/>
      <c r="L151" s="16"/>
      <c r="M151" s="18"/>
      <c r="N151" s="18"/>
      <c r="O151" s="18"/>
      <c r="P151" s="21"/>
      <c r="Q151" s="18"/>
      <c r="R151" s="18"/>
      <c r="S151" s="18"/>
      <c r="T151" s="18"/>
      <c r="U151" s="18"/>
      <c r="V151" s="18"/>
    </row>
    <row r="152" spans="11:22" x14ac:dyDescent="0.3">
      <c r="K152" s="65"/>
      <c r="L152" s="16"/>
      <c r="M152" s="18"/>
      <c r="N152" s="18"/>
      <c r="O152" s="18"/>
      <c r="P152" s="21"/>
      <c r="Q152" s="18"/>
      <c r="R152" s="18"/>
      <c r="S152" s="18"/>
      <c r="T152" s="18"/>
      <c r="U152" s="18"/>
      <c r="V152" s="18"/>
    </row>
    <row r="153" spans="11:22" x14ac:dyDescent="0.3">
      <c r="K153" s="65"/>
      <c r="L153" s="18"/>
      <c r="M153" s="18"/>
      <c r="N153" s="18"/>
      <c r="O153" s="18"/>
      <c r="P153" s="21"/>
      <c r="Q153" s="18"/>
      <c r="R153" s="18"/>
      <c r="S153" s="18"/>
      <c r="T153" s="18"/>
      <c r="U153" s="18"/>
      <c r="V153" s="18"/>
    </row>
    <row r="154" spans="11:22" x14ac:dyDescent="0.3">
      <c r="K154" s="65"/>
      <c r="L154" s="18"/>
      <c r="M154" s="18"/>
      <c r="N154" s="18"/>
      <c r="O154" s="18"/>
      <c r="P154" s="21"/>
      <c r="Q154" s="18"/>
      <c r="R154" s="18"/>
      <c r="S154" s="18"/>
      <c r="T154" s="18"/>
      <c r="U154" s="18"/>
      <c r="V154" s="18"/>
    </row>
    <row r="155" spans="11:22" x14ac:dyDescent="0.3">
      <c r="K155" s="65"/>
      <c r="L155" s="18"/>
      <c r="M155" s="18"/>
      <c r="N155" s="18"/>
      <c r="O155" s="18"/>
      <c r="P155" s="21"/>
      <c r="Q155" s="18"/>
      <c r="R155" s="18"/>
      <c r="S155" s="18"/>
      <c r="T155" s="18"/>
      <c r="U155" s="18"/>
      <c r="V155" s="18"/>
    </row>
    <row r="158" spans="11:22" x14ac:dyDescent="0.3">
      <c r="K158" s="23"/>
      <c r="L158" s="24"/>
      <c r="M158" s="24"/>
      <c r="N158" s="24"/>
      <c r="O158" s="24"/>
      <c r="P158" s="24"/>
      <c r="Q158" s="24"/>
      <c r="R158" s="24"/>
      <c r="S158" s="25"/>
      <c r="T158" s="25"/>
      <c r="U158" s="25"/>
      <c r="V158" s="24"/>
    </row>
    <row r="159" spans="11:22" x14ac:dyDescent="0.3">
      <c r="K159" s="65"/>
      <c r="L159" s="16"/>
      <c r="M159" s="18"/>
      <c r="N159" s="18"/>
      <c r="O159" s="18"/>
      <c r="P159" s="17"/>
      <c r="Q159" s="18"/>
      <c r="R159" s="18"/>
      <c r="S159" s="18"/>
      <c r="T159" s="18"/>
      <c r="U159" s="18"/>
      <c r="V159" s="18"/>
    </row>
    <row r="160" spans="11:22" x14ac:dyDescent="0.3">
      <c r="K160" s="65"/>
      <c r="L160" s="16"/>
      <c r="M160" s="18"/>
      <c r="N160" s="18"/>
      <c r="O160" s="18"/>
      <c r="P160" s="21"/>
      <c r="Q160" s="18"/>
      <c r="R160" s="18"/>
      <c r="S160" s="18"/>
      <c r="T160" s="18"/>
      <c r="U160" s="18"/>
      <c r="V160" s="18"/>
    </row>
    <row r="161" spans="11:22" x14ac:dyDescent="0.3">
      <c r="K161" s="65"/>
      <c r="L161" s="16"/>
      <c r="M161" s="18"/>
      <c r="N161" s="18"/>
      <c r="O161" s="18"/>
      <c r="P161" s="21"/>
      <c r="Q161" s="18"/>
      <c r="R161" s="18"/>
      <c r="S161" s="18"/>
      <c r="T161" s="18"/>
      <c r="U161" s="18"/>
      <c r="V161" s="18"/>
    </row>
    <row r="162" spans="11:22" x14ac:dyDescent="0.3">
      <c r="K162" s="65"/>
      <c r="L162" s="16"/>
      <c r="M162" s="18"/>
      <c r="N162" s="18"/>
      <c r="O162" s="18"/>
      <c r="P162" s="21"/>
      <c r="Q162" s="18"/>
      <c r="R162" s="18"/>
      <c r="S162" s="18"/>
      <c r="T162" s="18"/>
      <c r="U162" s="18"/>
      <c r="V162" s="18"/>
    </row>
    <row r="163" spans="11:22" x14ac:dyDescent="0.3">
      <c r="K163" s="65"/>
      <c r="L163" s="16"/>
      <c r="M163" s="18"/>
      <c r="N163" s="18"/>
      <c r="O163" s="18"/>
      <c r="P163" s="21"/>
      <c r="Q163" s="18"/>
      <c r="R163" s="18"/>
      <c r="S163" s="18"/>
      <c r="T163" s="18"/>
      <c r="U163" s="18"/>
      <c r="V163" s="18"/>
    </row>
    <row r="164" spans="11:22" x14ac:dyDescent="0.3">
      <c r="K164" s="65"/>
      <c r="L164" s="16"/>
      <c r="M164" s="18"/>
      <c r="N164" s="18"/>
      <c r="O164" s="18"/>
      <c r="P164" s="21"/>
      <c r="Q164" s="18"/>
      <c r="R164" s="18"/>
      <c r="S164" s="18"/>
      <c r="T164" s="18"/>
      <c r="U164" s="18"/>
      <c r="V164" s="18"/>
    </row>
    <row r="165" spans="11:22" x14ac:dyDescent="0.3">
      <c r="K165" s="65"/>
      <c r="L165" s="16"/>
      <c r="M165" s="18"/>
      <c r="N165" s="18"/>
      <c r="O165" s="18"/>
      <c r="P165" s="21"/>
      <c r="Q165" s="18"/>
      <c r="R165" s="18"/>
      <c r="S165" s="18"/>
      <c r="T165" s="18"/>
      <c r="U165" s="18"/>
      <c r="V165" s="18"/>
    </row>
    <row r="166" spans="11:22" x14ac:dyDescent="0.3">
      <c r="K166" s="65"/>
      <c r="L166" s="16"/>
      <c r="M166" s="18"/>
      <c r="N166" s="18"/>
      <c r="O166" s="18"/>
      <c r="P166" s="21"/>
      <c r="Q166" s="18"/>
      <c r="R166" s="18"/>
      <c r="S166" s="18"/>
      <c r="T166" s="18"/>
      <c r="U166" s="18"/>
      <c r="V166" s="18"/>
    </row>
    <row r="167" spans="11:22" x14ac:dyDescent="0.3">
      <c r="K167" s="65"/>
      <c r="L167" s="18"/>
      <c r="M167" s="18"/>
      <c r="N167" s="18"/>
      <c r="O167" s="18"/>
      <c r="P167" s="21"/>
      <c r="Q167" s="18"/>
      <c r="R167" s="18"/>
      <c r="S167" s="18"/>
      <c r="T167" s="18"/>
      <c r="U167" s="18"/>
      <c r="V167" s="18"/>
    </row>
    <row r="168" spans="11:22" x14ac:dyDescent="0.3">
      <c r="K168" s="65"/>
      <c r="L168" s="18"/>
      <c r="M168" s="18"/>
      <c r="N168" s="18"/>
      <c r="O168" s="18"/>
      <c r="P168" s="21"/>
      <c r="Q168" s="18"/>
      <c r="R168" s="18"/>
      <c r="S168" s="18"/>
      <c r="T168" s="18"/>
      <c r="U168" s="18"/>
      <c r="V168" s="18"/>
    </row>
    <row r="169" spans="11:22" x14ac:dyDescent="0.3">
      <c r="K169" s="65"/>
      <c r="L169" s="18"/>
      <c r="M169" s="18"/>
      <c r="N169" s="18"/>
      <c r="O169" s="18"/>
      <c r="P169" s="21"/>
      <c r="Q169" s="18"/>
      <c r="R169" s="18"/>
      <c r="S169" s="18"/>
      <c r="T169" s="18"/>
      <c r="U169" s="18"/>
      <c r="V169" s="18"/>
    </row>
  </sheetData>
  <mergeCells count="12">
    <mergeCell ref="K159:K169"/>
    <mergeCell ref="K5:K15"/>
    <mergeCell ref="K19:K29"/>
    <mergeCell ref="K33:K43"/>
    <mergeCell ref="K47:K57"/>
    <mergeCell ref="K61:K71"/>
    <mergeCell ref="K75:K85"/>
    <mergeCell ref="K89:K99"/>
    <mergeCell ref="K103:K113"/>
    <mergeCell ref="K117:K127"/>
    <mergeCell ref="K131:K141"/>
    <mergeCell ref="K145:K1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CuN1</vt:lpstr>
      <vt:lpstr>CuN2</vt:lpstr>
      <vt:lpstr>CuN3</vt:lpstr>
      <vt:lpstr>CuN4</vt:lpstr>
      <vt:lpstr>CuN5</vt:lpstr>
      <vt:lpstr>CuN6</vt:lpstr>
      <vt:lpstr>CuN7</vt:lpstr>
      <vt:lpstr>CuN8</vt:lpstr>
      <vt:lpstr>CuN9</vt:lpstr>
      <vt:lpstr>CuP1</vt:lpstr>
      <vt:lpstr>FeN1</vt:lpstr>
      <vt:lpstr>FeN2</vt:lpstr>
      <vt:lpstr>FeN3</vt:lpstr>
      <vt:lpstr>FeN4</vt:lpstr>
      <vt:lpstr>FeN5</vt:lpstr>
      <vt:lpstr>FeN6</vt:lpstr>
      <vt:lpstr>FeN7</vt:lpstr>
      <vt:lpstr>FeN8</vt:lpstr>
      <vt:lpstr>FeN9</vt:lpstr>
      <vt:lpstr>FeP1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MantasG</dc:creator>
  <cp:lastModifiedBy>Linas Jūrėnas</cp:lastModifiedBy>
  <dcterms:created xsi:type="dcterms:W3CDTF">2019-11-04T13:13:08Z</dcterms:created>
  <dcterms:modified xsi:type="dcterms:W3CDTF">2026-03-02T12:12:16Z</dcterms:modified>
</cp:coreProperties>
</file>