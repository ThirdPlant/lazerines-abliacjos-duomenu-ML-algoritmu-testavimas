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inas\Desktop\learningtorch\"/>
    </mc:Choice>
  </mc:AlternateContent>
  <xr:revisionPtr revIDLastSave="0" documentId="13_ncr:1_{80617C64-3B74-4E9F-889B-B8CB871953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surements" sheetId="1" r:id="rId1"/>
    <sheet name="Copper_ref" sheetId="2" r:id="rId2"/>
    <sheet name="Calculations" sheetId="3" r:id="rId3"/>
    <sheet name="Char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G16" i="3"/>
  <c r="E16" i="3"/>
  <c r="I15" i="3"/>
  <c r="G15" i="3"/>
  <c r="E15" i="3"/>
  <c r="I14" i="3"/>
  <c r="G14" i="3"/>
  <c r="E14" i="3"/>
  <c r="I13" i="3"/>
  <c r="G13" i="3"/>
  <c r="E13" i="3"/>
  <c r="I12" i="3"/>
  <c r="G12" i="3"/>
  <c r="E12" i="3"/>
  <c r="B13" i="3"/>
  <c r="B15" i="3"/>
  <c r="B12" i="3"/>
  <c r="B16" i="3"/>
  <c r="B14" i="3"/>
</calcChain>
</file>

<file path=xl/sharedStrings.xml><?xml version="1.0" encoding="utf-8"?>
<sst xmlns="http://schemas.openxmlformats.org/spreadsheetml/2006/main" count="35" uniqueCount="34">
  <si>
    <t>Cu (varis)</t>
  </si>
  <si>
    <t>Al (aliuminis)</t>
  </si>
  <si>
    <t>Fe (geležis)</t>
  </si>
  <si>
    <t>Brass (žalvaris)</t>
  </si>
  <si>
    <t>t (s)</t>
  </si>
  <si>
    <t>T_Al (°C)</t>
  </si>
  <si>
    <t>T_Žalv (°C)</t>
  </si>
  <si>
    <t>Pastabos</t>
  </si>
  <si>
    <t>Vario (etalono) savitosios šilumos duomenys (naudojami interpoliacijai)</t>
  </si>
  <si>
    <t>Temperatūra (°C)</t>
  </si>
  <si>
    <t>c₁ (J/(g·K))</t>
  </si>
  <si>
    <t>Pastaba</t>
  </si>
  <si>
    <t>Jei pasirenkama temperatūra Tᵢ nesutampa su lentele, c₁(Tᵢ) apskaičiuojama tiesine interpoliacija tarp artimiausių taškų.</t>
  </si>
  <si>
    <t>Skaičiavimai: savitoji šiluma c pagal formulę  c = c₁ · (ρ · ΔT) / (ρ₁ · ΔT₁)</t>
  </si>
  <si>
    <t>Įveskite pasirenkamas temperatūras Tᵢ (rekomenduojama 4–5 reikšmės 50–200 °C).</t>
  </si>
  <si>
    <t>Medžiaga</t>
  </si>
  <si>
    <t>Tankis ρ (g/cm³)</t>
  </si>
  <si>
    <t>ρ₁ (vario) = 8,9 g/cm³.
ΔT ir ΔT₁ įveskite iš T(t) grafikuose nubrėžtų liestinių.
c₁(Tᵢ) apskaičiuojama automatiškai iš 'Copper_ref' lentelės.</t>
  </si>
  <si>
    <t>Pasirinktos temperatūros ir rezultatai</t>
  </si>
  <si>
    <t>Tᵢ (°C)</t>
  </si>
  <si>
    <t>c₁(Tᵢ) (J/(g·K))</t>
  </si>
  <si>
    <t>ΔT₁ (Cu)</t>
  </si>
  <si>
    <t>ΔT (Al)</t>
  </si>
  <si>
    <t>c_Al(Tᵢ)</t>
  </si>
  <si>
    <t>ΔT (Fe)</t>
  </si>
  <si>
    <t>c_Fe(Tᵢ)</t>
  </si>
  <si>
    <t>ΔT (Žalv)</t>
  </si>
  <si>
    <t>c_Žalv(Tᵢ)</t>
  </si>
  <si>
    <t>Komentarai</t>
  </si>
  <si>
    <t>Grafikai (automatiškai atsinaujina pagal suvestus duomenis)</t>
  </si>
  <si>
    <t>1) T(t) – vėsimo kreivės (Bandymas 1)</t>
  </si>
  <si>
    <t>2) c(T) – savitosios šilumos priklausomybė (iš 'Calculations')</t>
  </si>
  <si>
    <t>T_Plienas (°C)</t>
  </si>
  <si>
    <t>T_Cu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</si>
</sst>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/>
    <xf numFmtId="0" fontId="0" fillId="0" borderId="0" xfId="0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lt-LT"/>
              <a:t>T(t) – vėsimo kreivės (Bandymas 1)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Measurements!$B$1</c:f>
              <c:strCache>
                <c:ptCount val="1"/>
                <c:pt idx="0">
                  <c:v>T_Cu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Measurements!$A$2:$A$42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1110</c:v>
                </c:pt>
                <c:pt idx="38">
                  <c:v>1140</c:v>
                </c:pt>
                <c:pt idx="39">
                  <c:v>1170</c:v>
                </c:pt>
                <c:pt idx="40">
                  <c:v>1200</c:v>
                </c:pt>
              </c:numCache>
            </c:numRef>
          </c:cat>
          <c:val>
            <c:numRef>
              <c:f>Measurements!$B$2:$B$42</c:f>
              <c:numCache>
                <c:formatCode>General</c:formatCode>
                <c:ptCount val="41"/>
                <c:pt idx="0">
                  <c:v>254</c:v>
                </c:pt>
                <c:pt idx="1">
                  <c:v>244</c:v>
                </c:pt>
                <c:pt idx="2">
                  <c:v>235</c:v>
                </c:pt>
                <c:pt idx="3">
                  <c:v>226</c:v>
                </c:pt>
                <c:pt idx="4">
                  <c:v>217</c:v>
                </c:pt>
                <c:pt idx="5">
                  <c:v>209</c:v>
                </c:pt>
                <c:pt idx="6">
                  <c:v>201</c:v>
                </c:pt>
                <c:pt idx="7">
                  <c:v>194</c:v>
                </c:pt>
                <c:pt idx="8">
                  <c:v>188</c:v>
                </c:pt>
                <c:pt idx="9">
                  <c:v>182</c:v>
                </c:pt>
                <c:pt idx="10">
                  <c:v>175</c:v>
                </c:pt>
                <c:pt idx="11">
                  <c:v>170</c:v>
                </c:pt>
                <c:pt idx="12">
                  <c:v>165</c:v>
                </c:pt>
                <c:pt idx="13">
                  <c:v>160</c:v>
                </c:pt>
                <c:pt idx="14">
                  <c:v>154</c:v>
                </c:pt>
                <c:pt idx="15">
                  <c:v>149</c:v>
                </c:pt>
                <c:pt idx="16">
                  <c:v>144</c:v>
                </c:pt>
                <c:pt idx="17">
                  <c:v>140</c:v>
                </c:pt>
                <c:pt idx="18">
                  <c:v>135</c:v>
                </c:pt>
                <c:pt idx="19">
                  <c:v>131</c:v>
                </c:pt>
                <c:pt idx="20">
                  <c:v>128</c:v>
                </c:pt>
                <c:pt idx="21">
                  <c:v>124</c:v>
                </c:pt>
                <c:pt idx="22">
                  <c:v>120</c:v>
                </c:pt>
                <c:pt idx="23">
                  <c:v>116</c:v>
                </c:pt>
                <c:pt idx="24">
                  <c:v>113</c:v>
                </c:pt>
                <c:pt idx="25">
                  <c:v>110</c:v>
                </c:pt>
                <c:pt idx="26">
                  <c:v>107</c:v>
                </c:pt>
                <c:pt idx="27">
                  <c:v>104</c:v>
                </c:pt>
                <c:pt idx="28">
                  <c:v>102</c:v>
                </c:pt>
                <c:pt idx="29">
                  <c:v>99</c:v>
                </c:pt>
                <c:pt idx="30">
                  <c:v>96</c:v>
                </c:pt>
                <c:pt idx="31">
                  <c:v>94</c:v>
                </c:pt>
                <c:pt idx="32">
                  <c:v>92</c:v>
                </c:pt>
                <c:pt idx="33">
                  <c:v>89</c:v>
                </c:pt>
                <c:pt idx="34">
                  <c:v>86</c:v>
                </c:pt>
                <c:pt idx="35">
                  <c:v>84</c:v>
                </c:pt>
                <c:pt idx="36">
                  <c:v>83</c:v>
                </c:pt>
                <c:pt idx="37">
                  <c:v>81</c:v>
                </c:pt>
                <c:pt idx="38">
                  <c:v>79</c:v>
                </c:pt>
                <c:pt idx="39">
                  <c:v>77</c:v>
                </c:pt>
                <c:pt idx="40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DA-4946-AFDD-BD9745D9239E}"/>
            </c:ext>
          </c:extLst>
        </c:ser>
        <c:ser>
          <c:idx val="1"/>
          <c:order val="1"/>
          <c:tx>
            <c:strRef>
              <c:f>Measurements!$C$1</c:f>
              <c:strCache>
                <c:ptCount val="1"/>
                <c:pt idx="0">
                  <c:v>T_Al (°C)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Measurements!$A$2:$A$42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1110</c:v>
                </c:pt>
                <c:pt idx="38">
                  <c:v>1140</c:v>
                </c:pt>
                <c:pt idx="39">
                  <c:v>1170</c:v>
                </c:pt>
                <c:pt idx="40">
                  <c:v>1200</c:v>
                </c:pt>
              </c:numCache>
            </c:numRef>
          </c:cat>
          <c:val>
            <c:numRef>
              <c:f>Measurements!$C$2:$C$42</c:f>
              <c:numCache>
                <c:formatCode>General</c:formatCode>
                <c:ptCount val="4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DA-4946-AFDD-BD9745D9239E}"/>
            </c:ext>
          </c:extLst>
        </c:ser>
        <c:ser>
          <c:idx val="2"/>
          <c:order val="2"/>
          <c:tx>
            <c:strRef>
              <c:f>Measurements!$D$1</c:f>
              <c:strCache>
                <c:ptCount val="1"/>
                <c:pt idx="0">
                  <c:v>T_Plienas (°C)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Measurements!$A$2:$A$42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1110</c:v>
                </c:pt>
                <c:pt idx="38">
                  <c:v>1140</c:v>
                </c:pt>
                <c:pt idx="39">
                  <c:v>1170</c:v>
                </c:pt>
                <c:pt idx="40">
                  <c:v>1200</c:v>
                </c:pt>
              </c:numCache>
            </c:numRef>
          </c:cat>
          <c:val>
            <c:numRef>
              <c:f>Measurements!$D$2:$D$42</c:f>
              <c:numCache>
                <c:formatCode>General</c:formatCode>
                <c:ptCount val="4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3DA-4946-AFDD-BD9745D9239E}"/>
            </c:ext>
          </c:extLst>
        </c:ser>
        <c:ser>
          <c:idx val="3"/>
          <c:order val="3"/>
          <c:tx>
            <c:strRef>
              <c:f>Measurements!$E$1</c:f>
              <c:strCache>
                <c:ptCount val="1"/>
                <c:pt idx="0">
                  <c:v>T_Žalv (°C)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Measurements!$A$2:$A$42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1110</c:v>
                </c:pt>
                <c:pt idx="38">
                  <c:v>1140</c:v>
                </c:pt>
                <c:pt idx="39">
                  <c:v>1170</c:v>
                </c:pt>
                <c:pt idx="40">
                  <c:v>1200</c:v>
                </c:pt>
              </c:numCache>
            </c:numRef>
          </c:cat>
          <c:val>
            <c:numRef>
              <c:f>Measurements!$E$2:$E$42</c:f>
              <c:numCache>
                <c:formatCode>General</c:formatCode>
                <c:ptCount val="4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3DA-4946-AFDD-BD9745D92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Laikas t (s)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Temperatūra T (°C)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lt-LT"/>
              <a:t>c(T) – savitosios šilumos priklausomybė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Calculations!$E$11</c:f>
              <c:strCache>
                <c:ptCount val="1"/>
                <c:pt idx="0">
                  <c:v>c_Al(Tᵢ)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Calculations!$A$12:$A$16</c:f>
              <c:numCache>
                <c:formatCode>0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75</c:v>
                </c:pt>
              </c:numCache>
            </c:numRef>
          </c:cat>
          <c:val>
            <c:numRef>
              <c:f>Calculations!$E$12:$E$16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6A-4808-B217-65D79F0C5A00}"/>
            </c:ext>
          </c:extLst>
        </c:ser>
        <c:ser>
          <c:idx val="1"/>
          <c:order val="1"/>
          <c:tx>
            <c:strRef>
              <c:f>Calculations!$G$11</c:f>
              <c:strCache>
                <c:ptCount val="1"/>
                <c:pt idx="0">
                  <c:v>c_Fe(Tᵢ)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Calculations!$A$12:$A$16</c:f>
              <c:numCache>
                <c:formatCode>0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75</c:v>
                </c:pt>
              </c:numCache>
            </c:numRef>
          </c:cat>
          <c:val>
            <c:numRef>
              <c:f>Calculations!$G$12:$G$16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6A-4808-B217-65D79F0C5A00}"/>
            </c:ext>
          </c:extLst>
        </c:ser>
        <c:ser>
          <c:idx val="2"/>
          <c:order val="2"/>
          <c:tx>
            <c:strRef>
              <c:f>Calculations!$I$11</c:f>
              <c:strCache>
                <c:ptCount val="1"/>
                <c:pt idx="0">
                  <c:v>c_Žalv(Tᵢ)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Calculations!$A$12:$A$16</c:f>
              <c:numCache>
                <c:formatCode>0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75</c:v>
                </c:pt>
              </c:numCache>
            </c:numRef>
          </c:cat>
          <c:val>
            <c:numRef>
              <c:f>Calculations!$I$12:$I$16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96A-4808-B217-65D79F0C5A00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Temperatūra T (°C)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 (J/(g·K))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936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936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"/>
  <sheetViews>
    <sheetView tabSelected="1" workbookViewId="0">
      <pane ySplit="2" topLeftCell="A3" activePane="bottomLeft" state="frozen"/>
      <selection pane="bottomLeft" activeCell="C12" sqref="C12"/>
    </sheetView>
  </sheetViews>
  <sheetFormatPr defaultRowHeight="14.4" x14ac:dyDescent="0.3"/>
  <cols>
    <col min="1" max="1" width="10" customWidth="1"/>
    <col min="2" max="5" width="14" customWidth="1"/>
    <col min="6" max="6" width="28" customWidth="1"/>
  </cols>
  <sheetData>
    <row r="1" spans="1:6" x14ac:dyDescent="0.3">
      <c r="A1" s="3" t="s">
        <v>4</v>
      </c>
      <c r="B1" s="3" t="s">
        <v>33</v>
      </c>
      <c r="C1" s="3" t="s">
        <v>5</v>
      </c>
      <c r="D1" s="3" t="s">
        <v>32</v>
      </c>
      <c r="E1" s="3" t="s">
        <v>6</v>
      </c>
      <c r="F1" s="3" t="s">
        <v>7</v>
      </c>
    </row>
    <row r="2" spans="1:6" x14ac:dyDescent="0.3">
      <c r="A2" s="4">
        <v>0</v>
      </c>
      <c r="B2" s="2">
        <v>254</v>
      </c>
      <c r="C2" s="2"/>
      <c r="D2" s="2"/>
      <c r="E2" s="2"/>
      <c r="F2" s="2"/>
    </row>
    <row r="3" spans="1:6" x14ac:dyDescent="0.3">
      <c r="A3" s="4">
        <v>30</v>
      </c>
      <c r="B3" s="2">
        <v>244</v>
      </c>
      <c r="C3" s="2"/>
      <c r="D3" s="2"/>
      <c r="E3" s="2"/>
      <c r="F3" s="2"/>
    </row>
    <row r="4" spans="1:6" ht="18" customHeight="1" x14ac:dyDescent="0.3">
      <c r="A4" s="4">
        <v>60</v>
      </c>
      <c r="B4" s="2">
        <v>235</v>
      </c>
      <c r="C4" s="2"/>
      <c r="D4" s="2"/>
      <c r="E4" s="2"/>
      <c r="F4" s="2"/>
    </row>
    <row r="5" spans="1:6" ht="19.95" customHeight="1" x14ac:dyDescent="0.3">
      <c r="A5" s="4">
        <v>90</v>
      </c>
      <c r="B5" s="2">
        <v>226</v>
      </c>
      <c r="C5" s="2"/>
      <c r="D5" s="2"/>
      <c r="E5" s="2"/>
      <c r="F5" s="2"/>
    </row>
    <row r="6" spans="1:6" x14ac:dyDescent="0.3">
      <c r="A6" s="4">
        <v>120</v>
      </c>
      <c r="B6" s="2">
        <v>217</v>
      </c>
      <c r="C6" s="2"/>
      <c r="D6" s="2"/>
      <c r="E6" s="2"/>
      <c r="F6" s="2"/>
    </row>
    <row r="7" spans="1:6" x14ac:dyDescent="0.3">
      <c r="A7" s="4">
        <v>150</v>
      </c>
      <c r="B7" s="2">
        <v>209</v>
      </c>
      <c r="C7" s="2"/>
      <c r="D7" s="2"/>
      <c r="E7" s="2"/>
      <c r="F7" s="2"/>
    </row>
    <row r="8" spans="1:6" x14ac:dyDescent="0.3">
      <c r="A8" s="4">
        <v>180</v>
      </c>
      <c r="B8" s="2">
        <v>201</v>
      </c>
      <c r="C8" s="2"/>
      <c r="D8" s="2"/>
      <c r="E8" s="2"/>
      <c r="F8" s="2"/>
    </row>
    <row r="9" spans="1:6" x14ac:dyDescent="0.3">
      <c r="A9" s="4">
        <v>210</v>
      </c>
      <c r="B9" s="2">
        <v>194</v>
      </c>
      <c r="C9" s="2"/>
      <c r="D9" s="2"/>
      <c r="E9" s="2"/>
      <c r="F9" s="2"/>
    </row>
    <row r="10" spans="1:6" x14ac:dyDescent="0.3">
      <c r="A10" s="4">
        <v>240</v>
      </c>
      <c r="B10" s="2">
        <v>188</v>
      </c>
      <c r="C10" s="2"/>
      <c r="D10" s="2"/>
      <c r="E10" s="2"/>
      <c r="F10" s="2"/>
    </row>
    <row r="11" spans="1:6" x14ac:dyDescent="0.3">
      <c r="A11" s="4">
        <v>270</v>
      </c>
      <c r="B11" s="2">
        <v>182</v>
      </c>
      <c r="C11" s="2"/>
      <c r="D11" s="2"/>
      <c r="E11" s="2"/>
      <c r="F11" s="2"/>
    </row>
    <row r="12" spans="1:6" x14ac:dyDescent="0.3">
      <c r="A12" s="4">
        <v>300</v>
      </c>
      <c r="B12" s="2">
        <v>175</v>
      </c>
      <c r="C12" s="2"/>
      <c r="D12" s="2"/>
      <c r="E12" s="2"/>
      <c r="F12" s="2"/>
    </row>
    <row r="13" spans="1:6" x14ac:dyDescent="0.3">
      <c r="A13" s="4">
        <v>330</v>
      </c>
      <c r="B13" s="2">
        <v>170</v>
      </c>
      <c r="C13" s="2"/>
      <c r="D13" s="2"/>
      <c r="E13" s="2"/>
      <c r="F13" s="2"/>
    </row>
    <row r="14" spans="1:6" x14ac:dyDescent="0.3">
      <c r="A14" s="4">
        <v>360</v>
      </c>
      <c r="B14" s="2">
        <v>165</v>
      </c>
      <c r="C14" s="2"/>
      <c r="D14" s="2"/>
      <c r="E14" s="2"/>
      <c r="F14" s="2"/>
    </row>
    <row r="15" spans="1:6" x14ac:dyDescent="0.3">
      <c r="A15" s="4">
        <v>390</v>
      </c>
      <c r="B15" s="2">
        <v>160</v>
      </c>
      <c r="C15" s="2"/>
      <c r="D15" s="2"/>
      <c r="E15" s="2"/>
      <c r="F15" s="2"/>
    </row>
    <row r="16" spans="1:6" x14ac:dyDescent="0.3">
      <c r="A16" s="4">
        <v>420</v>
      </c>
      <c r="B16" s="2">
        <v>154</v>
      </c>
      <c r="C16" s="2"/>
      <c r="D16" s="2"/>
      <c r="E16" s="2"/>
      <c r="F16" s="2"/>
    </row>
    <row r="17" spans="1:6" x14ac:dyDescent="0.3">
      <c r="A17" s="4">
        <v>450</v>
      </c>
      <c r="B17" s="2">
        <v>149</v>
      </c>
      <c r="C17" s="2"/>
      <c r="D17" s="2"/>
      <c r="E17" s="2"/>
      <c r="F17" s="2"/>
    </row>
    <row r="18" spans="1:6" x14ac:dyDescent="0.3">
      <c r="A18" s="4">
        <v>480</v>
      </c>
      <c r="B18" s="2">
        <v>144</v>
      </c>
      <c r="C18" s="2"/>
      <c r="D18" s="2"/>
      <c r="E18" s="2"/>
      <c r="F18" s="2"/>
    </row>
    <row r="19" spans="1:6" x14ac:dyDescent="0.3">
      <c r="A19" s="4">
        <v>510</v>
      </c>
      <c r="B19" s="2">
        <v>140</v>
      </c>
      <c r="C19" s="2"/>
      <c r="D19" s="2"/>
      <c r="E19" s="2"/>
      <c r="F19" s="2"/>
    </row>
    <row r="20" spans="1:6" x14ac:dyDescent="0.3">
      <c r="A20" s="4">
        <v>540</v>
      </c>
      <c r="B20" s="2">
        <v>135</v>
      </c>
      <c r="C20" s="2"/>
      <c r="D20" s="2"/>
      <c r="E20" s="2"/>
      <c r="F20" s="2"/>
    </row>
    <row r="21" spans="1:6" x14ac:dyDescent="0.3">
      <c r="A21" s="4">
        <v>570</v>
      </c>
      <c r="B21" s="2">
        <v>131</v>
      </c>
      <c r="C21" s="2"/>
      <c r="D21" s="2"/>
      <c r="E21" s="2"/>
      <c r="F21" s="2"/>
    </row>
    <row r="22" spans="1:6" x14ac:dyDescent="0.3">
      <c r="A22" s="4">
        <v>600</v>
      </c>
      <c r="B22" s="2">
        <v>128</v>
      </c>
      <c r="C22" s="2"/>
      <c r="D22" s="2"/>
      <c r="E22" s="2"/>
      <c r="F22" s="2"/>
    </row>
    <row r="23" spans="1:6" x14ac:dyDescent="0.3">
      <c r="A23" s="4">
        <v>630</v>
      </c>
      <c r="B23" s="2">
        <v>124</v>
      </c>
      <c r="C23" s="2"/>
      <c r="D23" s="2"/>
      <c r="E23" s="2"/>
      <c r="F23" s="2"/>
    </row>
    <row r="24" spans="1:6" x14ac:dyDescent="0.3">
      <c r="A24" s="4">
        <v>660</v>
      </c>
      <c r="B24" s="2">
        <v>120</v>
      </c>
      <c r="C24" s="2"/>
      <c r="D24" s="2"/>
      <c r="E24" s="2"/>
      <c r="F24" s="2"/>
    </row>
    <row r="25" spans="1:6" x14ac:dyDescent="0.3">
      <c r="A25" s="4">
        <v>690</v>
      </c>
      <c r="B25" s="2">
        <v>116</v>
      </c>
      <c r="C25" s="2"/>
      <c r="D25" s="2"/>
      <c r="E25" s="2"/>
      <c r="F25" s="2"/>
    </row>
    <row r="26" spans="1:6" x14ac:dyDescent="0.3">
      <c r="A26" s="4">
        <v>720</v>
      </c>
      <c r="B26" s="2">
        <v>113</v>
      </c>
      <c r="C26" s="2"/>
      <c r="D26" s="2"/>
      <c r="E26" s="2"/>
      <c r="F26" s="2"/>
    </row>
    <row r="27" spans="1:6" x14ac:dyDescent="0.3">
      <c r="A27" s="4">
        <v>750</v>
      </c>
      <c r="B27" s="2">
        <v>110</v>
      </c>
      <c r="C27" s="2"/>
      <c r="D27" s="2"/>
      <c r="E27" s="2"/>
      <c r="F27" s="2"/>
    </row>
    <row r="28" spans="1:6" x14ac:dyDescent="0.3">
      <c r="A28" s="4">
        <v>780</v>
      </c>
      <c r="B28" s="2">
        <v>107</v>
      </c>
      <c r="C28" s="2"/>
      <c r="D28" s="2"/>
      <c r="E28" s="2"/>
      <c r="F28" s="2"/>
    </row>
    <row r="29" spans="1:6" x14ac:dyDescent="0.3">
      <c r="A29" s="4">
        <v>810</v>
      </c>
      <c r="B29" s="2">
        <v>104</v>
      </c>
      <c r="C29" s="2"/>
      <c r="D29" s="2"/>
      <c r="E29" s="2"/>
      <c r="F29" s="2"/>
    </row>
    <row r="30" spans="1:6" x14ac:dyDescent="0.3">
      <c r="A30" s="4">
        <v>840</v>
      </c>
      <c r="B30" s="2">
        <v>102</v>
      </c>
      <c r="C30" s="2"/>
      <c r="D30" s="2"/>
      <c r="E30" s="2"/>
      <c r="F30" s="2"/>
    </row>
    <row r="31" spans="1:6" x14ac:dyDescent="0.3">
      <c r="A31" s="4">
        <v>870</v>
      </c>
      <c r="B31" s="2">
        <v>99</v>
      </c>
      <c r="C31" s="2"/>
      <c r="D31" s="2"/>
      <c r="E31" s="2"/>
      <c r="F31" s="2"/>
    </row>
    <row r="32" spans="1:6" x14ac:dyDescent="0.3">
      <c r="A32" s="4">
        <v>900</v>
      </c>
      <c r="B32" s="2">
        <v>96</v>
      </c>
      <c r="C32" s="2"/>
      <c r="D32" s="2"/>
      <c r="E32" s="2"/>
      <c r="F32" s="2"/>
    </row>
    <row r="33" spans="1:6" x14ac:dyDescent="0.3">
      <c r="A33" s="4">
        <v>930</v>
      </c>
      <c r="B33" s="2">
        <v>94</v>
      </c>
      <c r="C33" s="2"/>
      <c r="D33" s="2"/>
      <c r="E33" s="2"/>
      <c r="F33" s="2"/>
    </row>
    <row r="34" spans="1:6" x14ac:dyDescent="0.3">
      <c r="A34" s="4">
        <v>960</v>
      </c>
      <c r="B34" s="2">
        <v>92</v>
      </c>
      <c r="C34" s="2"/>
      <c r="D34" s="2"/>
      <c r="E34" s="2"/>
      <c r="F34" s="2"/>
    </row>
    <row r="35" spans="1:6" x14ac:dyDescent="0.3">
      <c r="A35" s="4">
        <v>990</v>
      </c>
      <c r="B35" s="2">
        <v>89</v>
      </c>
      <c r="C35" s="2"/>
      <c r="D35" s="2"/>
      <c r="E35" s="2"/>
      <c r="F35" s="2"/>
    </row>
    <row r="36" spans="1:6" x14ac:dyDescent="0.3">
      <c r="A36" s="4">
        <v>1020</v>
      </c>
      <c r="B36" s="2">
        <v>86</v>
      </c>
      <c r="C36" s="2"/>
      <c r="D36" s="2"/>
      <c r="E36" s="2"/>
      <c r="F36" s="2"/>
    </row>
    <row r="37" spans="1:6" x14ac:dyDescent="0.3">
      <c r="A37" s="4">
        <v>1050</v>
      </c>
      <c r="B37" s="2">
        <v>84</v>
      </c>
      <c r="C37" s="2"/>
      <c r="D37" s="2"/>
      <c r="E37" s="2"/>
      <c r="F37" s="2"/>
    </row>
    <row r="38" spans="1:6" x14ac:dyDescent="0.3">
      <c r="A38" s="4">
        <v>1080</v>
      </c>
      <c r="B38" s="2">
        <v>83</v>
      </c>
      <c r="C38" s="2"/>
      <c r="D38" s="2"/>
      <c r="E38" s="2"/>
      <c r="F38" s="2"/>
    </row>
    <row r="39" spans="1:6" x14ac:dyDescent="0.3">
      <c r="A39" s="4">
        <v>1110</v>
      </c>
      <c r="B39" s="2">
        <v>81</v>
      </c>
      <c r="C39" s="2"/>
      <c r="D39" s="2"/>
      <c r="E39" s="2"/>
      <c r="F39" s="2"/>
    </row>
    <row r="40" spans="1:6" x14ac:dyDescent="0.3">
      <c r="A40" s="4">
        <v>1140</v>
      </c>
      <c r="B40" s="2">
        <v>79</v>
      </c>
      <c r="C40" s="2"/>
      <c r="D40" s="2"/>
      <c r="E40" s="2"/>
      <c r="F40" s="2"/>
    </row>
    <row r="41" spans="1:6" x14ac:dyDescent="0.3">
      <c r="A41" s="4">
        <v>1170</v>
      </c>
      <c r="B41" s="2">
        <v>77</v>
      </c>
      <c r="C41" s="2"/>
      <c r="D41" s="2"/>
      <c r="E41" s="2"/>
      <c r="F41" s="2"/>
    </row>
    <row r="42" spans="1:6" x14ac:dyDescent="0.3">
      <c r="A42" s="4">
        <v>1200</v>
      </c>
      <c r="B42" s="2">
        <v>75</v>
      </c>
      <c r="C42" s="2"/>
      <c r="D42" s="2"/>
      <c r="E42" s="2"/>
      <c r="F42" s="2"/>
    </row>
    <row r="43" spans="1:6" x14ac:dyDescent="0.3">
      <c r="A43" s="4">
        <v>1230</v>
      </c>
      <c r="B43" s="2">
        <v>74</v>
      </c>
      <c r="C43" s="2"/>
      <c r="D43" s="2"/>
      <c r="E43" s="2"/>
      <c r="F43" s="2"/>
    </row>
    <row r="44" spans="1:6" x14ac:dyDescent="0.3">
      <c r="A44" s="4">
        <v>1260</v>
      </c>
      <c r="B44" s="2">
        <v>72</v>
      </c>
      <c r="C44" s="2"/>
      <c r="D44" s="2"/>
      <c r="E44" s="2"/>
      <c r="F44" s="2"/>
    </row>
    <row r="45" spans="1:6" x14ac:dyDescent="0.3">
      <c r="A45" s="4">
        <v>1290</v>
      </c>
      <c r="B45" s="7">
        <v>71</v>
      </c>
    </row>
    <row r="46" spans="1:6" x14ac:dyDescent="0.3">
      <c r="A46" s="4">
        <v>1320</v>
      </c>
      <c r="B46" s="7">
        <v>70</v>
      </c>
    </row>
    <row r="47" spans="1:6" x14ac:dyDescent="0.3">
      <c r="A47" s="4">
        <v>1350</v>
      </c>
      <c r="B47" s="7">
        <v>68</v>
      </c>
    </row>
    <row r="48" spans="1:6" x14ac:dyDescent="0.3">
      <c r="A48" s="4">
        <v>1380</v>
      </c>
      <c r="B48" s="7">
        <v>67</v>
      </c>
    </row>
    <row r="49" spans="1:2" x14ac:dyDescent="0.3">
      <c r="A49" s="4">
        <v>1410</v>
      </c>
      <c r="B49" s="7">
        <v>65</v>
      </c>
    </row>
    <row r="50" spans="1:2" x14ac:dyDescent="0.3">
      <c r="A50" s="4">
        <v>1440</v>
      </c>
      <c r="B50" s="7">
        <v>63</v>
      </c>
    </row>
    <row r="51" spans="1:2" x14ac:dyDescent="0.3">
      <c r="A51" s="4">
        <v>1470</v>
      </c>
      <c r="B51" s="7">
        <v>62</v>
      </c>
    </row>
    <row r="52" spans="1:2" x14ac:dyDescent="0.3">
      <c r="A52" s="4">
        <v>1500</v>
      </c>
      <c r="B52" s="7">
        <v>61</v>
      </c>
    </row>
    <row r="53" spans="1:2" x14ac:dyDescent="0.3">
      <c r="A53" s="4">
        <v>1530</v>
      </c>
      <c r="B53" s="7">
        <v>60</v>
      </c>
    </row>
    <row r="54" spans="1:2" x14ac:dyDescent="0.3">
      <c r="A54" s="4">
        <v>1560</v>
      </c>
      <c r="B54" s="7">
        <v>59</v>
      </c>
    </row>
    <row r="55" spans="1:2" x14ac:dyDescent="0.3">
      <c r="A55" s="4">
        <v>1590</v>
      </c>
      <c r="B55" s="7">
        <v>57</v>
      </c>
    </row>
    <row r="56" spans="1:2" x14ac:dyDescent="0.3">
      <c r="A56" s="4">
        <v>1620</v>
      </c>
      <c r="B56" s="7">
        <v>56</v>
      </c>
    </row>
    <row r="57" spans="1:2" x14ac:dyDescent="0.3">
      <c r="A57" s="4">
        <v>1650</v>
      </c>
      <c r="B57" s="7">
        <v>56</v>
      </c>
    </row>
    <row r="58" spans="1:2" x14ac:dyDescent="0.3">
      <c r="A58" s="4">
        <v>1680</v>
      </c>
      <c r="B58" s="7">
        <v>55</v>
      </c>
    </row>
    <row r="59" spans="1:2" x14ac:dyDescent="0.3">
      <c r="A59" s="4">
        <v>1710</v>
      </c>
      <c r="B59" s="7">
        <v>54</v>
      </c>
    </row>
    <row r="60" spans="1:2" x14ac:dyDescent="0.3">
      <c r="A60" s="4">
        <v>1740</v>
      </c>
      <c r="B60" s="7">
        <v>53</v>
      </c>
    </row>
    <row r="61" spans="1:2" x14ac:dyDescent="0.3">
      <c r="A61" s="4">
        <v>1770</v>
      </c>
      <c r="B61" s="7">
        <v>52</v>
      </c>
    </row>
    <row r="62" spans="1:2" x14ac:dyDescent="0.3">
      <c r="A62" s="4">
        <v>1800</v>
      </c>
      <c r="B62" s="7">
        <v>51</v>
      </c>
    </row>
    <row r="63" spans="1:2" x14ac:dyDescent="0.3">
      <c r="A63" s="4">
        <v>1830</v>
      </c>
      <c r="B63" s="7">
        <v>50</v>
      </c>
    </row>
    <row r="64" spans="1:2" x14ac:dyDescent="0.3">
      <c r="A64" s="4">
        <v>1860</v>
      </c>
      <c r="B64" s="7">
        <v>49</v>
      </c>
    </row>
    <row r="65" spans="1:6" ht="18" x14ac:dyDescent="0.35">
      <c r="A65" s="14"/>
      <c r="B65" s="15"/>
      <c r="C65" s="15"/>
      <c r="D65" s="15"/>
      <c r="E65" s="15"/>
      <c r="F65" s="15"/>
    </row>
    <row r="67" spans="1:6" ht="15.6" x14ac:dyDescent="0.3">
      <c r="A67" s="16"/>
      <c r="B67" s="15"/>
      <c r="C67" s="15"/>
      <c r="D67" s="15"/>
      <c r="E67" s="15"/>
      <c r="F67" s="15"/>
    </row>
    <row r="68" spans="1:6" x14ac:dyDescent="0.3">
      <c r="B68" s="2"/>
      <c r="D68" s="2"/>
      <c r="F68" s="2"/>
    </row>
    <row r="69" spans="1:6" x14ac:dyDescent="0.3">
      <c r="A69" s="4"/>
    </row>
    <row r="70" spans="1:6" x14ac:dyDescent="0.3">
      <c r="A70" s="4"/>
    </row>
    <row r="71" spans="1:6" x14ac:dyDescent="0.3">
      <c r="A71" s="4"/>
    </row>
    <row r="72" spans="1:6" x14ac:dyDescent="0.3">
      <c r="A72" s="4"/>
    </row>
    <row r="73" spans="1:6" x14ac:dyDescent="0.3">
      <c r="A73" s="4"/>
    </row>
    <row r="74" spans="1:6" x14ac:dyDescent="0.3">
      <c r="A74" s="4"/>
    </row>
    <row r="75" spans="1:6" x14ac:dyDescent="0.3">
      <c r="A75" s="4"/>
    </row>
    <row r="76" spans="1:6" x14ac:dyDescent="0.3">
      <c r="A76" s="4"/>
    </row>
    <row r="77" spans="1:6" x14ac:dyDescent="0.3">
      <c r="A77" s="4"/>
    </row>
    <row r="78" spans="1:6" x14ac:dyDescent="0.3">
      <c r="A78" s="4"/>
    </row>
    <row r="79" spans="1:6" x14ac:dyDescent="0.3">
      <c r="A79" s="4"/>
    </row>
    <row r="80" spans="1:6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</sheetData>
  <dataValidations count="1">
    <dataValidation type="decimal" allowBlank="1" errorTitle="Neteisinga reikšmė" error="Temperatūra turi būti tarp -20 ir 600 °C." sqref="B2:E44" xr:uid="{00000000-0002-0000-0000-000000000000}">
      <formula1>-20</formula1>
      <formula2>600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sqref="A1:D1"/>
    </sheetView>
  </sheetViews>
  <sheetFormatPr defaultRowHeight="14.4" x14ac:dyDescent="0.3"/>
  <cols>
    <col min="1" max="2" width="18" customWidth="1"/>
    <col min="4" max="4" width="45" customWidth="1"/>
  </cols>
  <sheetData>
    <row r="1" spans="1:4" ht="18" x14ac:dyDescent="0.35">
      <c r="A1" s="8" t="s">
        <v>8</v>
      </c>
      <c r="B1" s="9"/>
      <c r="C1" s="9"/>
      <c r="D1" s="9"/>
    </row>
    <row r="3" spans="1:4" x14ac:dyDescent="0.3">
      <c r="A3" s="3" t="s">
        <v>9</v>
      </c>
      <c r="B3" s="3" t="s">
        <v>10</v>
      </c>
      <c r="D3" s="1" t="s">
        <v>11</v>
      </c>
    </row>
    <row r="4" spans="1:4" x14ac:dyDescent="0.3">
      <c r="A4" s="2">
        <v>0</v>
      </c>
      <c r="B4" s="5">
        <v>0.38100000000000001</v>
      </c>
      <c r="D4" s="10" t="s">
        <v>12</v>
      </c>
    </row>
    <row r="5" spans="1:4" x14ac:dyDescent="0.3">
      <c r="A5" s="2">
        <v>100</v>
      </c>
      <c r="B5" s="5">
        <v>0.39350000000000002</v>
      </c>
      <c r="D5" s="9"/>
    </row>
    <row r="6" spans="1:4" x14ac:dyDescent="0.3">
      <c r="A6" s="2">
        <v>200</v>
      </c>
      <c r="B6" s="5">
        <v>0.40820000000000001</v>
      </c>
      <c r="D6" s="9"/>
    </row>
    <row r="7" spans="1:4" x14ac:dyDescent="0.3">
      <c r="A7" s="2">
        <v>300</v>
      </c>
      <c r="B7" s="5">
        <v>0.42199999999999999</v>
      </c>
      <c r="D7" s="9"/>
    </row>
    <row r="8" spans="1:4" x14ac:dyDescent="0.3">
      <c r="A8" s="2">
        <v>400</v>
      </c>
      <c r="B8" s="5">
        <v>0.43590000000000001</v>
      </c>
      <c r="D8" s="9"/>
    </row>
    <row r="9" spans="1:4" x14ac:dyDescent="0.3">
      <c r="A9" s="2"/>
      <c r="B9" s="2"/>
    </row>
    <row r="10" spans="1:4" x14ac:dyDescent="0.3">
      <c r="A10" s="2"/>
      <c r="B10" s="2"/>
    </row>
  </sheetData>
  <mergeCells count="2">
    <mergeCell ref="A1:D1"/>
    <mergeCell ref="D4: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workbookViewId="0">
      <pane ySplit="10" topLeftCell="A11" activePane="bottomLeft" state="frozen"/>
      <selection pane="bottomLeft" sqref="A1:J1"/>
    </sheetView>
  </sheetViews>
  <sheetFormatPr defaultRowHeight="14.4" x14ac:dyDescent="0.3"/>
  <cols>
    <col min="1" max="1" width="10" customWidth="1"/>
    <col min="2" max="2" width="18" customWidth="1"/>
    <col min="3" max="9" width="12" customWidth="1"/>
    <col min="10" max="10" width="24" customWidth="1"/>
  </cols>
  <sheetData>
    <row r="1" spans="1:10" ht="18" x14ac:dyDescent="0.35">
      <c r="A1" s="8" t="s">
        <v>13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3">
      <c r="A3" s="10" t="s">
        <v>14</v>
      </c>
      <c r="B3" s="9"/>
      <c r="C3" s="9"/>
      <c r="D3" s="9"/>
      <c r="E3" s="9"/>
      <c r="F3" s="9"/>
      <c r="G3" s="9"/>
      <c r="H3" s="9"/>
      <c r="I3" s="9"/>
      <c r="J3" s="9"/>
    </row>
    <row r="5" spans="1:10" x14ac:dyDescent="0.3">
      <c r="A5" s="3" t="s">
        <v>15</v>
      </c>
      <c r="B5" s="3" t="s">
        <v>16</v>
      </c>
      <c r="D5" s="1" t="s">
        <v>11</v>
      </c>
    </row>
    <row r="6" spans="1:10" x14ac:dyDescent="0.3">
      <c r="A6" s="2" t="s">
        <v>0</v>
      </c>
      <c r="B6" s="6">
        <v>8.9</v>
      </c>
      <c r="D6" s="10" t="s">
        <v>17</v>
      </c>
      <c r="E6" s="9"/>
      <c r="F6" s="9"/>
      <c r="G6" s="9"/>
      <c r="H6" s="9"/>
      <c r="I6" s="9"/>
      <c r="J6" s="9"/>
    </row>
    <row r="7" spans="1:10" ht="28.8" x14ac:dyDescent="0.3">
      <c r="A7" s="2" t="s">
        <v>1</v>
      </c>
      <c r="B7" s="6">
        <v>2.7</v>
      </c>
      <c r="D7" s="9"/>
      <c r="E7" s="9"/>
      <c r="F7" s="9"/>
      <c r="G7" s="9"/>
      <c r="H7" s="9"/>
      <c r="I7" s="9"/>
      <c r="J7" s="9"/>
    </row>
    <row r="8" spans="1:10" x14ac:dyDescent="0.3">
      <c r="A8" s="2" t="s">
        <v>2</v>
      </c>
      <c r="B8" s="6">
        <v>7.9</v>
      </c>
      <c r="D8" s="9"/>
      <c r="E8" s="9"/>
      <c r="F8" s="9"/>
      <c r="G8" s="9"/>
      <c r="H8" s="9"/>
      <c r="I8" s="9"/>
      <c r="J8" s="9"/>
    </row>
    <row r="9" spans="1:10" ht="28.8" x14ac:dyDescent="0.3">
      <c r="A9" s="2" t="s">
        <v>3</v>
      </c>
      <c r="B9" s="6">
        <v>8.6</v>
      </c>
      <c r="D9" s="9"/>
      <c r="E9" s="9"/>
      <c r="F9" s="9"/>
      <c r="G9" s="9"/>
      <c r="H9" s="9"/>
      <c r="I9" s="9"/>
      <c r="J9" s="9"/>
    </row>
    <row r="10" spans="1:10" x14ac:dyDescent="0.3">
      <c r="A10" s="11" t="s">
        <v>18</v>
      </c>
      <c r="B10" s="12"/>
      <c r="C10" s="12"/>
      <c r="D10" s="12"/>
      <c r="E10" s="12"/>
      <c r="F10" s="12"/>
      <c r="G10" s="12"/>
      <c r="H10" s="12"/>
      <c r="I10" s="12"/>
      <c r="J10" s="13"/>
    </row>
    <row r="11" spans="1:10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26</v>
      </c>
      <c r="I11" s="3" t="s">
        <v>27</v>
      </c>
      <c r="J11" s="3" t="s">
        <v>28</v>
      </c>
    </row>
    <row r="12" spans="1:10" x14ac:dyDescent="0.3">
      <c r="A12" s="4">
        <v>50</v>
      </c>
      <c r="B12" s="5" t="e">
        <f ca="1">_xludf.LET(Ti,A12,Tcol,Copper_ref!$A$4:$A$8,Ccol,Copper_ref!$B$4:$B$8,Tlow,_xludf.XLOOKUP(Ti,Tcol,Tcol,, -1),Thigh,_xludf.XLOOKUP(Ti,Tcol,Tcol,, 1),clow,_xludf.XLOOKUP(Ti,Tcol,Ccol,, -1),chigh,_xludf.XLOOKUP(Ti,Tcol,Ccol,, 1),IF(Tlow=Thigh,clow,clow+(Ti-Tlow)*(chigh-clow)/(Thigh-Tlow)))</f>
        <v>#NAME?</v>
      </c>
      <c r="C12" s="2"/>
      <c r="D12" s="2"/>
      <c r="E12" s="5" t="str">
        <f>IF(OR(C12="",D12=""),"", B12*($B$7*D12)/($B$6*C12))</f>
        <v/>
      </c>
      <c r="F12" s="2"/>
      <c r="G12" s="5" t="str">
        <f>IF(OR(C12="",F12=""),"", B12*($B$8*F12)/($B$6*C12))</f>
        <v/>
      </c>
      <c r="H12" s="2"/>
      <c r="I12" s="5" t="str">
        <f>IF(OR(C12="",H12=""),"", B12*($B$9*H12)/($B$6*C12))</f>
        <v/>
      </c>
      <c r="J12" s="2"/>
    </row>
    <row r="13" spans="1:10" x14ac:dyDescent="0.3">
      <c r="A13" s="4">
        <v>100</v>
      </c>
      <c r="B13" s="5" t="e">
        <f ca="1">_xludf.LET(Ti,A13,Tcol,Copper_ref!$A$4:$A$8,Ccol,Copper_ref!$B$4:$B$8,Tlow,_xludf.XLOOKUP(Ti,Tcol,Tcol,, -1),Thigh,_xludf.XLOOKUP(Ti,Tcol,Tcol,, 1),clow,_xludf.XLOOKUP(Ti,Tcol,Ccol,, -1),chigh,_xludf.XLOOKUP(Ti,Tcol,Ccol,, 1),IF(Tlow=Thigh,clow,clow+(Ti-Tlow)*(chigh-clow)/(Thigh-Tlow)))</f>
        <v>#NAME?</v>
      </c>
      <c r="C13" s="2"/>
      <c r="D13" s="2"/>
      <c r="E13" s="5" t="str">
        <f>IF(OR(C13="",D13=""),"", B13*($B$7*D13)/($B$6*C13))</f>
        <v/>
      </c>
      <c r="F13" s="2"/>
      <c r="G13" s="5" t="str">
        <f>IF(OR(C13="",F13=""),"", B13*($B$8*F13)/($B$6*C13))</f>
        <v/>
      </c>
      <c r="H13" s="2"/>
      <c r="I13" s="5" t="str">
        <f>IF(OR(C13="",H13=""),"", B13*($B$9*H13)/($B$6*C13))</f>
        <v/>
      </c>
      <c r="J13" s="2"/>
    </row>
    <row r="14" spans="1:10" x14ac:dyDescent="0.3">
      <c r="A14" s="4">
        <v>150</v>
      </c>
      <c r="B14" s="5" t="e">
        <f ca="1">_xludf.LET(Ti,A14,Tcol,Copper_ref!$A$4:$A$8,Ccol,Copper_ref!$B$4:$B$8,Tlow,_xludf.XLOOKUP(Ti,Tcol,Tcol,, -1),Thigh,_xludf.XLOOKUP(Ti,Tcol,Tcol,, 1),clow,_xludf.XLOOKUP(Ti,Tcol,Ccol,, -1),chigh,_xludf.XLOOKUP(Ti,Tcol,Ccol,, 1),IF(Tlow=Thigh,clow,clow+(Ti-Tlow)*(chigh-clow)/(Thigh-Tlow)))</f>
        <v>#NAME?</v>
      </c>
      <c r="C14" s="2"/>
      <c r="D14" s="2"/>
      <c r="E14" s="5" t="str">
        <f>IF(OR(C14="",D14=""),"", B14*($B$7*D14)/($B$6*C14))</f>
        <v/>
      </c>
      <c r="F14" s="2"/>
      <c r="G14" s="5" t="str">
        <f>IF(OR(C14="",F14=""),"", B14*($B$8*F14)/($B$6*C14))</f>
        <v/>
      </c>
      <c r="H14" s="2"/>
      <c r="I14" s="5" t="str">
        <f>IF(OR(C14="",H14=""),"", B14*($B$9*H14)/($B$6*C14))</f>
        <v/>
      </c>
      <c r="J14" s="2"/>
    </row>
    <row r="15" spans="1:10" x14ac:dyDescent="0.3">
      <c r="A15" s="4">
        <v>200</v>
      </c>
      <c r="B15" s="5" t="e">
        <f ca="1">_xludf.LET(Ti,A15,Tcol,Copper_ref!$A$4:$A$8,Ccol,Copper_ref!$B$4:$B$8,Tlow,_xludf.XLOOKUP(Ti,Tcol,Tcol,, -1),Thigh,_xludf.XLOOKUP(Ti,Tcol,Tcol,, 1),clow,_xludf.XLOOKUP(Ti,Tcol,Ccol,, -1),chigh,_xludf.XLOOKUP(Ti,Tcol,Ccol,, 1),IF(Tlow=Thigh,clow,clow+(Ti-Tlow)*(chigh-clow)/(Thigh-Tlow)))</f>
        <v>#NAME?</v>
      </c>
      <c r="C15" s="2"/>
      <c r="D15" s="2"/>
      <c r="E15" s="5" t="str">
        <f>IF(OR(C15="",D15=""),"", B15*($B$7*D15)/($B$6*C15))</f>
        <v/>
      </c>
      <c r="F15" s="2"/>
      <c r="G15" s="5" t="str">
        <f>IF(OR(C15="",F15=""),"", B15*($B$8*F15)/($B$6*C15))</f>
        <v/>
      </c>
      <c r="H15" s="2"/>
      <c r="I15" s="5" t="str">
        <f>IF(OR(C15="",H15=""),"", B15*($B$9*H15)/($B$6*C15))</f>
        <v/>
      </c>
      <c r="J15" s="2"/>
    </row>
    <row r="16" spans="1:10" x14ac:dyDescent="0.3">
      <c r="A16" s="4">
        <v>75</v>
      </c>
      <c r="B16" s="5" t="e">
        <f ca="1">_xludf.LET(Ti,A16,Tcol,Copper_ref!$A$4:$A$8,Ccol,Copper_ref!$B$4:$B$8,Tlow,_xludf.XLOOKUP(Ti,Tcol,Tcol,, -1),Thigh,_xludf.XLOOKUP(Ti,Tcol,Tcol,, 1),clow,_xludf.XLOOKUP(Ti,Tcol,Ccol,, -1),chigh,_xludf.XLOOKUP(Ti,Tcol,Ccol,, 1),IF(Tlow=Thigh,clow,clow+(Ti-Tlow)*(chigh-clow)/(Thigh-Tlow)))</f>
        <v>#NAME?</v>
      </c>
      <c r="C16" s="2"/>
      <c r="D16" s="2"/>
      <c r="E16" s="5" t="str">
        <f>IF(OR(C16="",D16=""),"", B16*($B$7*D16)/($B$6*C16))</f>
        <v/>
      </c>
      <c r="F16" s="2"/>
      <c r="G16" s="5" t="str">
        <f>IF(OR(C16="",F16=""),"", B16*($B$8*F16)/($B$6*C16))</f>
        <v/>
      </c>
      <c r="H16" s="2"/>
      <c r="I16" s="5" t="str">
        <f>IF(OR(C16="",H16=""),"", B16*($B$9*H16)/($B$6*C16))</f>
        <v/>
      </c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mergeCells count="4">
    <mergeCell ref="D6:J9"/>
    <mergeCell ref="A1:J1"/>
    <mergeCell ref="A3:J3"/>
    <mergeCell ref="A10:J10"/>
  </mergeCells>
  <dataValidations count="2">
    <dataValidation type="decimal" allowBlank="1" errorTitle="Neteisinga Tᵢ" error="Tᵢ turi būti tarp 0 ir 400 °C." sqref="A12:A16" xr:uid="{00000000-0002-0000-0200-000000000000}">
      <formula1>0</formula1>
      <formula2>400</formula2>
    </dataValidation>
    <dataValidation type="decimal" allowBlank="1" errorTitle="Neteisingas ΔT" error="ΔT turi būti tarp 0 ir 400." sqref="C12:I16" xr:uid="{00000000-0002-0000-0200-000001000000}">
      <formula1>0</formula1>
      <formula2>400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8" customWidth="1"/>
    <col min="2" max="8" width="14" customWidth="1"/>
  </cols>
  <sheetData>
    <row r="1" spans="1:8" ht="18" x14ac:dyDescent="0.35">
      <c r="A1" s="8" t="s">
        <v>29</v>
      </c>
      <c r="B1" s="9"/>
      <c r="C1" s="9"/>
      <c r="D1" s="9"/>
      <c r="E1" s="9"/>
      <c r="F1" s="9"/>
      <c r="G1" s="9"/>
      <c r="H1" s="9"/>
    </row>
    <row r="3" spans="1:8" x14ac:dyDescent="0.3">
      <c r="A3" s="1" t="s">
        <v>30</v>
      </c>
    </row>
    <row r="20" spans="1:1" x14ac:dyDescent="0.3">
      <c r="A20" s="1" t="s">
        <v>31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Measurements</vt:lpstr>
      <vt:lpstr>Copper_ref</vt:lpstr>
      <vt:lpstr>Calculations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Linas Jūrėnas</cp:lastModifiedBy>
  <dcterms:created xsi:type="dcterms:W3CDTF">2026-02-18T07:19:09Z</dcterms:created>
  <dcterms:modified xsi:type="dcterms:W3CDTF">2026-02-24T20:40:23Z</dcterms:modified>
</cp:coreProperties>
</file>